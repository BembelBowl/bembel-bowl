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ambros\Downloads\Draft\"/>
    </mc:Choice>
  </mc:AlternateContent>
  <xr:revisionPtr revIDLastSave="0" documentId="13_ncr:1_{361675FB-E3FD-4C40-A07C-36CDF97747A1}" xr6:coauthVersionLast="47" xr6:coauthVersionMax="47" xr10:uidLastSave="{00000000-0000-0000-0000-000000000000}"/>
  <bookViews>
    <workbookView xWindow="30624" yWindow="0" windowWidth="30912" windowHeight="16656" xr2:uid="{00000000-000D-0000-FFFF-FFFF00000000}"/>
  </bookViews>
  <sheets>
    <sheet name="Draft Board" sheetId="1" r:id="rId1"/>
    <sheet name="Divisions &amp; Schedule" sheetId="2" r:id="rId2"/>
    <sheet name="Draft Statistics" sheetId="3" r:id="rId3"/>
    <sheet name="Team Statistics" sheetId="4" r:id="rId4"/>
    <sheet name="All Player" sheetId="5" r:id="rId5"/>
    <sheet name="1. Wiesbaden Phantoms" sheetId="6" r:id="rId6"/>
    <sheet name="2. theBoys" sheetId="7" r:id="rId7"/>
    <sheet name="4. 49vengers" sheetId="8" r:id="rId8"/>
    <sheet name="5. Brady Gaga" sheetId="9" r:id="rId9"/>
    <sheet name="6. Bishop Sycamore" sheetId="10" r:id="rId10"/>
    <sheet name="8. Fighting Farmers" sheetId="11" r:id="rId11"/>
    <sheet name="11. Thunder Ducks" sheetId="12" r:id="rId12"/>
    <sheet name="13. Zeugen Ray Lewis" sheetId="13" r:id="rId13"/>
    <sheet name="15. Foxboro Forever" sheetId="14" r:id="rId14"/>
    <sheet name="16. Steelersnation 7" sheetId="15" r:id="rId15"/>
    <sheet name="19. BearD" sheetId="16" r:id="rId16"/>
    <sheet name="20. Johnny Manziel" sheetId="17" r:id="rId17"/>
    <sheet name="Default Sheet" sheetId="18" r:id="rId18"/>
  </sheets>
  <definedNames>
    <definedName name="_xlnm._FilterDatabase" localSheetId="4" hidden="1">'All Player'!$A$1:$D$486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264xjzPeZhQAXYRd1+iKptg2lV7SRJ5Tps8hPCQqSM0="/>
    </ext>
  </extLst>
</workbook>
</file>

<file path=xl/calcChain.xml><?xml version="1.0" encoding="utf-8"?>
<calcChain xmlns="http://schemas.openxmlformats.org/spreadsheetml/2006/main">
  <c r="G47" i="1" l="1"/>
  <c r="L47" i="1" s="1"/>
  <c r="Q47" i="1" s="1"/>
  <c r="V47" i="1" s="1"/>
  <c r="AA47" i="1" s="1"/>
  <c r="AF47" i="1" s="1"/>
  <c r="AK47" i="1" s="1"/>
  <c r="AP47" i="1" s="1"/>
  <c r="AU47" i="1" s="1"/>
  <c r="AZ47" i="1" s="1"/>
  <c r="BE47" i="1" s="1"/>
  <c r="BJ47" i="1" s="1"/>
  <c r="BO47" i="1" s="1"/>
  <c r="BT47" i="1" s="1"/>
  <c r="BY47" i="1" s="1"/>
  <c r="CD47" i="1" s="1"/>
  <c r="CI47" i="1" s="1"/>
  <c r="CN47" i="1" s="1"/>
  <c r="CS47" i="1" s="1"/>
  <c r="CX47" i="1" s="1"/>
  <c r="G44" i="1"/>
  <c r="G41" i="1"/>
  <c r="L41" i="1" s="1"/>
  <c r="Q41" i="1" s="1"/>
  <c r="V41" i="1" s="1"/>
  <c r="AA41" i="1" s="1"/>
  <c r="AF41" i="1" s="1"/>
  <c r="AK41" i="1" s="1"/>
  <c r="AP41" i="1" s="1"/>
  <c r="AU41" i="1" s="1"/>
  <c r="AZ41" i="1" s="1"/>
  <c r="BE41" i="1" s="1"/>
  <c r="BJ41" i="1" s="1"/>
  <c r="BO41" i="1" s="1"/>
  <c r="BT41" i="1" s="1"/>
  <c r="BY41" i="1" s="1"/>
  <c r="CD41" i="1" s="1"/>
  <c r="CI41" i="1" s="1"/>
  <c r="CN41" i="1" s="1"/>
  <c r="CS41" i="1" s="1"/>
  <c r="CX41" i="1" s="1"/>
  <c r="G38" i="1"/>
  <c r="L38" i="1" s="1"/>
  <c r="Q38" i="1" s="1"/>
  <c r="V38" i="1" s="1"/>
  <c r="AA38" i="1" s="1"/>
  <c r="AF38" i="1" s="1"/>
  <c r="AK38" i="1" s="1"/>
  <c r="AP38" i="1" s="1"/>
  <c r="AU38" i="1" s="1"/>
  <c r="AZ38" i="1" s="1"/>
  <c r="BE38" i="1" s="1"/>
  <c r="BJ38" i="1" s="1"/>
  <c r="BO38" i="1" s="1"/>
  <c r="BT38" i="1" s="1"/>
  <c r="BY38" i="1" s="1"/>
  <c r="CD38" i="1" s="1"/>
  <c r="CI38" i="1" s="1"/>
  <c r="CN38" i="1" s="1"/>
  <c r="CS38" i="1" s="1"/>
  <c r="CX38" i="1" s="1"/>
  <c r="G35" i="1"/>
  <c r="G32" i="1"/>
  <c r="L32" i="1" s="1"/>
  <c r="Q32" i="1" s="1"/>
  <c r="V32" i="1" s="1"/>
  <c r="AA32" i="1" s="1"/>
  <c r="AF32" i="1" s="1"/>
  <c r="AK32" i="1" s="1"/>
  <c r="AP32" i="1" s="1"/>
  <c r="AU32" i="1" s="1"/>
  <c r="AZ32" i="1" s="1"/>
  <c r="BE32" i="1" s="1"/>
  <c r="BJ32" i="1" s="1"/>
  <c r="BO32" i="1" s="1"/>
  <c r="BT32" i="1" s="1"/>
  <c r="BY32" i="1" s="1"/>
  <c r="CD32" i="1" s="1"/>
  <c r="CI32" i="1" s="1"/>
  <c r="CN32" i="1" s="1"/>
  <c r="CS32" i="1" s="1"/>
  <c r="CX32" i="1" s="1"/>
  <c r="G29" i="1"/>
  <c r="L29" i="1" s="1"/>
  <c r="Q29" i="1" s="1"/>
  <c r="V29" i="1" s="1"/>
  <c r="AA29" i="1" s="1"/>
  <c r="AF29" i="1" s="1"/>
  <c r="AK29" i="1" s="1"/>
  <c r="AP29" i="1" s="1"/>
  <c r="AU29" i="1" s="1"/>
  <c r="AZ29" i="1" s="1"/>
  <c r="BE29" i="1" s="1"/>
  <c r="BJ29" i="1" s="1"/>
  <c r="BO29" i="1" s="1"/>
  <c r="BT29" i="1" s="1"/>
  <c r="BY29" i="1" s="1"/>
  <c r="CD29" i="1" s="1"/>
  <c r="CI29" i="1" s="1"/>
  <c r="CN29" i="1" s="1"/>
  <c r="CS29" i="1" s="1"/>
  <c r="CX29" i="1" s="1"/>
  <c r="G26" i="1"/>
  <c r="L26" i="1" s="1"/>
  <c r="Q26" i="1" s="1"/>
  <c r="V26" i="1" s="1"/>
  <c r="AA26" i="1" s="1"/>
  <c r="AF26" i="1" s="1"/>
  <c r="AK26" i="1" s="1"/>
  <c r="AP26" i="1" s="1"/>
  <c r="AU26" i="1" s="1"/>
  <c r="AZ26" i="1" s="1"/>
  <c r="BE26" i="1" s="1"/>
  <c r="BJ26" i="1" s="1"/>
  <c r="BO26" i="1" s="1"/>
  <c r="BT26" i="1" s="1"/>
  <c r="BY26" i="1" s="1"/>
  <c r="CD26" i="1" s="1"/>
  <c r="CI26" i="1" s="1"/>
  <c r="CN26" i="1" s="1"/>
  <c r="CS26" i="1" s="1"/>
  <c r="CX26" i="1" s="1"/>
  <c r="G23" i="1"/>
  <c r="L23" i="1" s="1"/>
  <c r="Q23" i="1" s="1"/>
  <c r="V23" i="1" s="1"/>
  <c r="AA23" i="1" s="1"/>
  <c r="AF23" i="1" s="1"/>
  <c r="AK23" i="1" s="1"/>
  <c r="AP23" i="1" s="1"/>
  <c r="AU23" i="1" s="1"/>
  <c r="AZ23" i="1" s="1"/>
  <c r="BE23" i="1" s="1"/>
  <c r="BJ23" i="1" s="1"/>
  <c r="BO23" i="1" s="1"/>
  <c r="BT23" i="1" s="1"/>
  <c r="BY23" i="1" s="1"/>
  <c r="CD23" i="1" s="1"/>
  <c r="CI23" i="1" s="1"/>
  <c r="CN23" i="1" s="1"/>
  <c r="CS23" i="1" s="1"/>
  <c r="CX23" i="1" s="1"/>
  <c r="G20" i="1"/>
  <c r="L20" i="1" s="1"/>
  <c r="Q20" i="1" s="1"/>
  <c r="V20" i="1" s="1"/>
  <c r="AA20" i="1" s="1"/>
  <c r="AF20" i="1" s="1"/>
  <c r="AK20" i="1" s="1"/>
  <c r="AP20" i="1" s="1"/>
  <c r="AU20" i="1" s="1"/>
  <c r="AZ20" i="1" s="1"/>
  <c r="BE20" i="1" s="1"/>
  <c r="BJ20" i="1" s="1"/>
  <c r="BO20" i="1" s="1"/>
  <c r="BT20" i="1" s="1"/>
  <c r="BY20" i="1" s="1"/>
  <c r="CD20" i="1" s="1"/>
  <c r="CI20" i="1" s="1"/>
  <c r="CN20" i="1" s="1"/>
  <c r="CS20" i="1" s="1"/>
  <c r="CX20" i="1" s="1"/>
  <c r="G17" i="1"/>
  <c r="L17" i="1" s="1"/>
  <c r="Q17" i="1" s="1"/>
  <c r="V17" i="1" s="1"/>
  <c r="AA17" i="1" s="1"/>
  <c r="AF17" i="1" s="1"/>
  <c r="AK17" i="1" s="1"/>
  <c r="AP17" i="1" s="1"/>
  <c r="AU17" i="1" s="1"/>
  <c r="AZ17" i="1" s="1"/>
  <c r="BE17" i="1" s="1"/>
  <c r="BJ17" i="1" s="1"/>
  <c r="BO17" i="1" s="1"/>
  <c r="BT17" i="1" s="1"/>
  <c r="BY17" i="1" s="1"/>
  <c r="CD17" i="1" s="1"/>
  <c r="CI17" i="1" s="1"/>
  <c r="CN17" i="1" s="1"/>
  <c r="CS17" i="1" s="1"/>
  <c r="CX17" i="1" s="1"/>
  <c r="L14" i="1"/>
  <c r="Q14" i="1" s="1"/>
  <c r="V14" i="1" s="1"/>
  <c r="AA14" i="1" s="1"/>
  <c r="AF14" i="1" s="1"/>
  <c r="AK14" i="1" s="1"/>
  <c r="AP14" i="1" s="1"/>
  <c r="AU14" i="1" s="1"/>
  <c r="AZ14" i="1" s="1"/>
  <c r="BE14" i="1" s="1"/>
  <c r="BJ14" i="1" s="1"/>
  <c r="BO14" i="1" s="1"/>
  <c r="BT14" i="1" s="1"/>
  <c r="BY14" i="1" s="1"/>
  <c r="CD14" i="1" s="1"/>
  <c r="CI14" i="1" s="1"/>
  <c r="CN14" i="1" s="1"/>
  <c r="CS14" i="1" s="1"/>
  <c r="CX14" i="1" s="1"/>
  <c r="G14" i="1"/>
  <c r="G11" i="1"/>
  <c r="L11" i="1" s="1"/>
  <c r="Q11" i="1" s="1"/>
  <c r="V11" i="1" s="1"/>
  <c r="AA11" i="1" s="1"/>
  <c r="AF11" i="1" s="1"/>
  <c r="AK11" i="1" s="1"/>
  <c r="AP11" i="1" s="1"/>
  <c r="AU11" i="1" s="1"/>
  <c r="AZ11" i="1" s="1"/>
  <c r="BE11" i="1" s="1"/>
  <c r="BJ11" i="1" s="1"/>
  <c r="BO11" i="1" s="1"/>
  <c r="BT11" i="1" s="1"/>
  <c r="BY11" i="1" s="1"/>
  <c r="CD11" i="1" s="1"/>
  <c r="CI11" i="1" s="1"/>
  <c r="CN11" i="1" s="1"/>
  <c r="CS11" i="1" s="1"/>
  <c r="CX11" i="1" s="1"/>
  <c r="G8" i="1"/>
  <c r="L8" i="1" s="1"/>
  <c r="Q8" i="1" s="1"/>
  <c r="V8" i="1" s="1"/>
  <c r="AA8" i="1" s="1"/>
  <c r="AF8" i="1" s="1"/>
  <c r="AK8" i="1" s="1"/>
  <c r="AP8" i="1" s="1"/>
  <c r="AU8" i="1" s="1"/>
  <c r="AZ8" i="1" s="1"/>
  <c r="BE8" i="1" s="1"/>
  <c r="BJ8" i="1" s="1"/>
  <c r="BO8" i="1" s="1"/>
  <c r="BT8" i="1" s="1"/>
  <c r="BY8" i="1" s="1"/>
  <c r="CD8" i="1" s="1"/>
  <c r="CI8" i="1" s="1"/>
  <c r="CN8" i="1" s="1"/>
  <c r="CS8" i="1" s="1"/>
  <c r="CX8" i="1" s="1"/>
  <c r="G5" i="1"/>
  <c r="L5" i="1" s="1"/>
  <c r="Q5" i="1" s="1"/>
  <c r="V5" i="1" s="1"/>
  <c r="AA5" i="1" s="1"/>
  <c r="AF5" i="1" s="1"/>
  <c r="AK5" i="1" s="1"/>
  <c r="AP5" i="1" s="1"/>
  <c r="AU5" i="1" s="1"/>
  <c r="AZ5" i="1" s="1"/>
  <c r="BE5" i="1" s="1"/>
  <c r="BJ5" i="1" s="1"/>
  <c r="BO5" i="1" s="1"/>
  <c r="BT5" i="1" s="1"/>
  <c r="BY5" i="1" s="1"/>
  <c r="CD5" i="1" s="1"/>
  <c r="CI5" i="1" s="1"/>
  <c r="CN5" i="1" s="1"/>
  <c r="CS5" i="1" s="1"/>
  <c r="CX5" i="1" s="1"/>
  <c r="U46" i="15"/>
  <c r="T46" i="15"/>
  <c r="S46" i="15"/>
  <c r="R46" i="15"/>
  <c r="Q46" i="15"/>
  <c r="P46" i="15"/>
  <c r="O46" i="15"/>
  <c r="N46" i="15"/>
  <c r="M46" i="15"/>
  <c r="L46" i="15"/>
  <c r="K46" i="15"/>
  <c r="J46" i="15"/>
  <c r="I46" i="15"/>
  <c r="H46" i="15"/>
  <c r="G46" i="15"/>
  <c r="F46" i="15"/>
  <c r="E46" i="15"/>
  <c r="D46" i="15"/>
  <c r="C46" i="15"/>
  <c r="B46" i="15"/>
  <c r="U45" i="15"/>
  <c r="T45" i="15"/>
  <c r="S45" i="15"/>
  <c r="R45" i="15"/>
  <c r="Q45" i="15"/>
  <c r="P45" i="15"/>
  <c r="O45" i="15"/>
  <c r="N45" i="15"/>
  <c r="M45" i="15"/>
  <c r="L45" i="15"/>
  <c r="K45" i="15"/>
  <c r="J45" i="15"/>
  <c r="I45" i="15"/>
  <c r="H45" i="15"/>
  <c r="G45" i="15"/>
  <c r="F45" i="15"/>
  <c r="E45" i="15"/>
  <c r="D45" i="15"/>
  <c r="C45" i="15"/>
  <c r="B45" i="15"/>
  <c r="U44" i="15"/>
  <c r="T44" i="15"/>
  <c r="S44" i="15"/>
  <c r="R44" i="15"/>
  <c r="Q44" i="15"/>
  <c r="P44" i="15"/>
  <c r="O44" i="15"/>
  <c r="N44" i="15"/>
  <c r="M44" i="15"/>
  <c r="L44" i="15"/>
  <c r="K44" i="15"/>
  <c r="J44" i="15"/>
  <c r="I44" i="15"/>
  <c r="H44" i="15"/>
  <c r="G44" i="15"/>
  <c r="F44" i="15"/>
  <c r="E44" i="15"/>
  <c r="D44" i="15"/>
  <c r="C44" i="15"/>
  <c r="B44" i="15"/>
  <c r="U43" i="15"/>
  <c r="T43" i="15"/>
  <c r="S43" i="15"/>
  <c r="R43" i="15"/>
  <c r="Q43" i="15"/>
  <c r="P43" i="15"/>
  <c r="O43" i="15"/>
  <c r="N43" i="15"/>
  <c r="M43" i="15"/>
  <c r="L43" i="15"/>
  <c r="K43" i="15"/>
  <c r="J43" i="15"/>
  <c r="I43" i="15"/>
  <c r="H43" i="15"/>
  <c r="G43" i="15"/>
  <c r="F43" i="15"/>
  <c r="E43" i="15"/>
  <c r="D43" i="15"/>
  <c r="C43" i="15"/>
  <c r="B43" i="15"/>
  <c r="U42" i="15"/>
  <c r="T42" i="15"/>
  <c r="S42" i="15"/>
  <c r="R42" i="15"/>
  <c r="Q42" i="15"/>
  <c r="P42" i="15"/>
  <c r="O42" i="15"/>
  <c r="N42" i="15"/>
  <c r="M42" i="15"/>
  <c r="L42" i="15"/>
  <c r="K42" i="15"/>
  <c r="J42" i="15"/>
  <c r="I42" i="15"/>
  <c r="H42" i="15"/>
  <c r="G42" i="15"/>
  <c r="F42" i="15"/>
  <c r="E42" i="15"/>
  <c r="D42" i="15"/>
  <c r="C42" i="15"/>
  <c r="B42" i="15"/>
  <c r="U41" i="15"/>
  <c r="T41" i="15"/>
  <c r="S41" i="15"/>
  <c r="R41" i="15"/>
  <c r="Q41" i="15"/>
  <c r="P41" i="15"/>
  <c r="O41" i="15"/>
  <c r="N41" i="15"/>
  <c r="M41" i="15"/>
  <c r="L41" i="15"/>
  <c r="K41" i="15"/>
  <c r="J41" i="15"/>
  <c r="I41" i="15"/>
  <c r="H41" i="15"/>
  <c r="G41" i="15"/>
  <c r="F41" i="15"/>
  <c r="E41" i="15"/>
  <c r="D41" i="15"/>
  <c r="C41" i="15"/>
  <c r="B41" i="15"/>
  <c r="U40" i="15"/>
  <c r="T40" i="15"/>
  <c r="S40" i="15"/>
  <c r="R40" i="15"/>
  <c r="Q40" i="15"/>
  <c r="P40" i="15"/>
  <c r="O40" i="15"/>
  <c r="N40" i="15"/>
  <c r="M40" i="15"/>
  <c r="L40" i="15"/>
  <c r="K40" i="15"/>
  <c r="J40" i="15"/>
  <c r="I40" i="15"/>
  <c r="H40" i="15"/>
  <c r="G40" i="15"/>
  <c r="F40" i="15"/>
  <c r="E40" i="15"/>
  <c r="D40" i="15"/>
  <c r="C40" i="15"/>
  <c r="B40" i="15"/>
  <c r="U39" i="15"/>
  <c r="T39" i="15"/>
  <c r="S39" i="15"/>
  <c r="R39" i="15"/>
  <c r="Q39" i="15"/>
  <c r="P39" i="15"/>
  <c r="O39" i="15"/>
  <c r="N39" i="15"/>
  <c r="M39" i="15"/>
  <c r="L39" i="15"/>
  <c r="K39" i="15"/>
  <c r="J39" i="15"/>
  <c r="I39" i="15"/>
  <c r="H39" i="15"/>
  <c r="G39" i="15"/>
  <c r="F39" i="15"/>
  <c r="E39" i="15"/>
  <c r="D39" i="15"/>
  <c r="C39" i="15"/>
  <c r="B39" i="15"/>
  <c r="U38" i="15"/>
  <c r="T38" i="15"/>
  <c r="S38" i="15"/>
  <c r="R38" i="15"/>
  <c r="Q38" i="15"/>
  <c r="P38" i="15"/>
  <c r="O38" i="15"/>
  <c r="N38" i="15"/>
  <c r="M38" i="15"/>
  <c r="L38" i="15"/>
  <c r="K38" i="15"/>
  <c r="J38" i="15"/>
  <c r="I38" i="15"/>
  <c r="H38" i="15"/>
  <c r="G38" i="15"/>
  <c r="F38" i="15"/>
  <c r="E38" i="15"/>
  <c r="D38" i="15"/>
  <c r="C38" i="15"/>
  <c r="B38" i="15"/>
  <c r="U37" i="15"/>
  <c r="T37" i="15"/>
  <c r="S37" i="15"/>
  <c r="R37" i="15"/>
  <c r="Q37" i="15"/>
  <c r="P37" i="15"/>
  <c r="O37" i="15"/>
  <c r="N37" i="15"/>
  <c r="M37" i="15"/>
  <c r="L37" i="15"/>
  <c r="K37" i="15"/>
  <c r="J37" i="15"/>
  <c r="I37" i="15"/>
  <c r="H37" i="15"/>
  <c r="G37" i="15"/>
  <c r="F37" i="15"/>
  <c r="E37" i="15"/>
  <c r="D37" i="15"/>
  <c r="C37" i="15"/>
  <c r="B37" i="15"/>
  <c r="U36" i="15"/>
  <c r="T36" i="15"/>
  <c r="S36" i="15"/>
  <c r="R36" i="15"/>
  <c r="Q36" i="15"/>
  <c r="P36" i="15"/>
  <c r="O36" i="15"/>
  <c r="N36" i="15"/>
  <c r="M36" i="15"/>
  <c r="L36" i="15"/>
  <c r="K36" i="15"/>
  <c r="J36" i="15"/>
  <c r="I36" i="15"/>
  <c r="H36" i="15"/>
  <c r="G36" i="15"/>
  <c r="F36" i="15"/>
  <c r="E36" i="15"/>
  <c r="D36" i="15"/>
  <c r="C36" i="15"/>
  <c r="B36" i="15"/>
  <c r="U35" i="15"/>
  <c r="T35" i="15"/>
  <c r="S35" i="15"/>
  <c r="R35" i="15"/>
  <c r="Q35" i="15"/>
  <c r="P35" i="15"/>
  <c r="O35" i="15"/>
  <c r="N35" i="15"/>
  <c r="M35" i="15"/>
  <c r="L35" i="15"/>
  <c r="K35" i="15"/>
  <c r="J35" i="15"/>
  <c r="I35" i="15"/>
  <c r="H35" i="15"/>
  <c r="G35" i="15"/>
  <c r="F35" i="15"/>
  <c r="E35" i="15"/>
  <c r="D35" i="15"/>
  <c r="C35" i="15"/>
  <c r="B35" i="15"/>
  <c r="U34" i="15"/>
  <c r="T34" i="15"/>
  <c r="S34" i="15"/>
  <c r="R34" i="15"/>
  <c r="Q34" i="15"/>
  <c r="P34" i="15"/>
  <c r="O34" i="15"/>
  <c r="N34" i="15"/>
  <c r="M34" i="15"/>
  <c r="L34" i="15"/>
  <c r="K34" i="15"/>
  <c r="J34" i="15"/>
  <c r="I34" i="15"/>
  <c r="H34" i="15"/>
  <c r="G34" i="15"/>
  <c r="F34" i="15"/>
  <c r="E34" i="15"/>
  <c r="D34" i="15"/>
  <c r="C34" i="15"/>
  <c r="B34" i="15"/>
  <c r="U33" i="15"/>
  <c r="T33" i="15"/>
  <c r="S33" i="15"/>
  <c r="R33" i="15"/>
  <c r="Q33" i="15"/>
  <c r="P33" i="15"/>
  <c r="O33" i="15"/>
  <c r="N33" i="15"/>
  <c r="M33" i="15"/>
  <c r="L33" i="15"/>
  <c r="K33" i="15"/>
  <c r="J33" i="15"/>
  <c r="I33" i="15"/>
  <c r="H33" i="15"/>
  <c r="G33" i="15"/>
  <c r="F33" i="15"/>
  <c r="E33" i="15"/>
  <c r="D33" i="15"/>
  <c r="C33" i="15"/>
  <c r="B33" i="15"/>
  <c r="U32" i="15"/>
  <c r="T32" i="15"/>
  <c r="S32" i="15"/>
  <c r="R32" i="15"/>
  <c r="Q32" i="15"/>
  <c r="P32" i="15"/>
  <c r="O32" i="15"/>
  <c r="N32" i="15"/>
  <c r="M32" i="15"/>
  <c r="L32" i="15"/>
  <c r="K32" i="15"/>
  <c r="J32" i="15"/>
  <c r="I32" i="15"/>
  <c r="H32" i="15"/>
  <c r="G32" i="15"/>
  <c r="F32" i="15"/>
  <c r="E32" i="15"/>
  <c r="D32" i="15"/>
  <c r="C32" i="15"/>
  <c r="B32" i="15"/>
  <c r="U46" i="14"/>
  <c r="T46" i="14"/>
  <c r="S46" i="14"/>
  <c r="R46" i="14"/>
  <c r="Q46" i="14"/>
  <c r="P46" i="14"/>
  <c r="O46" i="14"/>
  <c r="N46" i="14"/>
  <c r="M46" i="14"/>
  <c r="L46" i="14"/>
  <c r="K46" i="14"/>
  <c r="J46" i="14"/>
  <c r="I46" i="14"/>
  <c r="H46" i="14"/>
  <c r="G46" i="14"/>
  <c r="F46" i="14"/>
  <c r="E46" i="14"/>
  <c r="D46" i="14"/>
  <c r="C46" i="14"/>
  <c r="B46" i="14"/>
  <c r="U45" i="14"/>
  <c r="T45" i="14"/>
  <c r="S45" i="14"/>
  <c r="R45" i="14"/>
  <c r="Q45" i="14"/>
  <c r="P45" i="14"/>
  <c r="O45" i="14"/>
  <c r="N45" i="14"/>
  <c r="M45" i="14"/>
  <c r="L45" i="14"/>
  <c r="K45" i="14"/>
  <c r="J45" i="14"/>
  <c r="I45" i="14"/>
  <c r="H45" i="14"/>
  <c r="G45" i="14"/>
  <c r="F45" i="14"/>
  <c r="E45" i="14"/>
  <c r="D45" i="14"/>
  <c r="C45" i="14"/>
  <c r="B45" i="14"/>
  <c r="U44" i="14"/>
  <c r="T44" i="14"/>
  <c r="S44" i="14"/>
  <c r="R44" i="14"/>
  <c r="Q44" i="14"/>
  <c r="P44" i="14"/>
  <c r="O44" i="14"/>
  <c r="N44" i="14"/>
  <c r="M44" i="14"/>
  <c r="L44" i="14"/>
  <c r="K44" i="14"/>
  <c r="J44" i="14"/>
  <c r="I44" i="14"/>
  <c r="H44" i="14"/>
  <c r="G44" i="14"/>
  <c r="F44" i="14"/>
  <c r="E44" i="14"/>
  <c r="D44" i="14"/>
  <c r="C44" i="14"/>
  <c r="B44" i="14"/>
  <c r="U43" i="14"/>
  <c r="T43" i="14"/>
  <c r="S43" i="14"/>
  <c r="R43" i="14"/>
  <c r="Q43" i="14"/>
  <c r="P43" i="14"/>
  <c r="O43" i="14"/>
  <c r="N43" i="14"/>
  <c r="M43" i="14"/>
  <c r="L43" i="14"/>
  <c r="K43" i="14"/>
  <c r="J43" i="14"/>
  <c r="I43" i="14"/>
  <c r="H43" i="14"/>
  <c r="G43" i="14"/>
  <c r="F43" i="14"/>
  <c r="E43" i="14"/>
  <c r="D43" i="14"/>
  <c r="C43" i="14"/>
  <c r="B43" i="14"/>
  <c r="U42" i="14"/>
  <c r="T42" i="14"/>
  <c r="S42" i="14"/>
  <c r="R42" i="14"/>
  <c r="Q42" i="14"/>
  <c r="P42" i="14"/>
  <c r="O42" i="14"/>
  <c r="N42" i="14"/>
  <c r="M42" i="14"/>
  <c r="L42" i="14"/>
  <c r="K42" i="14"/>
  <c r="J42" i="14"/>
  <c r="I42" i="14"/>
  <c r="H42" i="14"/>
  <c r="G42" i="14"/>
  <c r="F42" i="14"/>
  <c r="E42" i="14"/>
  <c r="D42" i="14"/>
  <c r="C42" i="14"/>
  <c r="B42" i="14"/>
  <c r="U41" i="14"/>
  <c r="T41" i="14"/>
  <c r="S41" i="14"/>
  <c r="R41" i="14"/>
  <c r="Q41" i="14"/>
  <c r="P41" i="14"/>
  <c r="O41" i="14"/>
  <c r="N41" i="14"/>
  <c r="M41" i="14"/>
  <c r="L41" i="14"/>
  <c r="K41" i="14"/>
  <c r="J41" i="14"/>
  <c r="I41" i="14"/>
  <c r="H41" i="14"/>
  <c r="G41" i="14"/>
  <c r="F41" i="14"/>
  <c r="E41" i="14"/>
  <c r="D41" i="14"/>
  <c r="C41" i="14"/>
  <c r="B41" i="14"/>
  <c r="U40" i="14"/>
  <c r="T40" i="14"/>
  <c r="S40" i="14"/>
  <c r="R40" i="14"/>
  <c r="Q40" i="14"/>
  <c r="P40" i="14"/>
  <c r="O40" i="14"/>
  <c r="N40" i="14"/>
  <c r="M40" i="14"/>
  <c r="L40" i="14"/>
  <c r="K40" i="14"/>
  <c r="J40" i="14"/>
  <c r="I40" i="14"/>
  <c r="H40" i="14"/>
  <c r="G40" i="14"/>
  <c r="F40" i="14"/>
  <c r="E40" i="14"/>
  <c r="D40" i="14"/>
  <c r="C40" i="14"/>
  <c r="B40" i="14"/>
  <c r="U39" i="14"/>
  <c r="T39" i="14"/>
  <c r="S39" i="14"/>
  <c r="R39" i="14"/>
  <c r="Q39" i="14"/>
  <c r="P39" i="14"/>
  <c r="O39" i="14"/>
  <c r="N39" i="14"/>
  <c r="M39" i="14"/>
  <c r="L39" i="14"/>
  <c r="K39" i="14"/>
  <c r="J39" i="14"/>
  <c r="I39" i="14"/>
  <c r="H39" i="14"/>
  <c r="G39" i="14"/>
  <c r="F39" i="14"/>
  <c r="E39" i="14"/>
  <c r="D39" i="14"/>
  <c r="C39" i="14"/>
  <c r="B39" i="14"/>
  <c r="U38" i="14"/>
  <c r="T38" i="14"/>
  <c r="S38" i="14"/>
  <c r="R38" i="14"/>
  <c r="Q38" i="14"/>
  <c r="P38" i="14"/>
  <c r="O38" i="14"/>
  <c r="N38" i="14"/>
  <c r="M38" i="14"/>
  <c r="L38" i="14"/>
  <c r="K38" i="14"/>
  <c r="J38" i="14"/>
  <c r="I38" i="14"/>
  <c r="H38" i="14"/>
  <c r="G38" i="14"/>
  <c r="F38" i="14"/>
  <c r="E38" i="14"/>
  <c r="D38" i="14"/>
  <c r="C38" i="14"/>
  <c r="B38" i="14"/>
  <c r="U37" i="14"/>
  <c r="T37" i="14"/>
  <c r="S37" i="14"/>
  <c r="R37" i="14"/>
  <c r="Q37" i="14"/>
  <c r="P37" i="14"/>
  <c r="O37" i="14"/>
  <c r="N37" i="14"/>
  <c r="M37" i="14"/>
  <c r="L37" i="14"/>
  <c r="K37" i="14"/>
  <c r="J37" i="14"/>
  <c r="I37" i="14"/>
  <c r="H37" i="14"/>
  <c r="G37" i="14"/>
  <c r="F37" i="14"/>
  <c r="E37" i="14"/>
  <c r="D37" i="14"/>
  <c r="C37" i="14"/>
  <c r="B37" i="14"/>
  <c r="U36" i="14"/>
  <c r="T36" i="14"/>
  <c r="S36" i="14"/>
  <c r="R36" i="14"/>
  <c r="Q36" i="14"/>
  <c r="P36" i="14"/>
  <c r="O36" i="14"/>
  <c r="N36" i="14"/>
  <c r="M36" i="14"/>
  <c r="L36" i="14"/>
  <c r="K36" i="14"/>
  <c r="J36" i="14"/>
  <c r="I36" i="14"/>
  <c r="H36" i="14"/>
  <c r="G36" i="14"/>
  <c r="F36" i="14"/>
  <c r="E36" i="14"/>
  <c r="D36" i="14"/>
  <c r="C36" i="14"/>
  <c r="B36" i="14"/>
  <c r="U35" i="14"/>
  <c r="T35" i="14"/>
  <c r="S35" i="14"/>
  <c r="R35" i="14"/>
  <c r="Q35" i="14"/>
  <c r="P35" i="14"/>
  <c r="O35" i="14"/>
  <c r="N35" i="14"/>
  <c r="M35" i="14"/>
  <c r="L35" i="14"/>
  <c r="K35" i="14"/>
  <c r="J35" i="14"/>
  <c r="I35" i="14"/>
  <c r="H35" i="14"/>
  <c r="G35" i="14"/>
  <c r="F35" i="14"/>
  <c r="E35" i="14"/>
  <c r="D35" i="14"/>
  <c r="C35" i="14"/>
  <c r="B35" i="14"/>
  <c r="U34" i="14"/>
  <c r="T34" i="14"/>
  <c r="S34" i="14"/>
  <c r="R34" i="14"/>
  <c r="Q34" i="14"/>
  <c r="P34" i="14"/>
  <c r="O34" i="14"/>
  <c r="N34" i="14"/>
  <c r="M34" i="14"/>
  <c r="L34" i="14"/>
  <c r="K34" i="14"/>
  <c r="J34" i="14"/>
  <c r="I34" i="14"/>
  <c r="H34" i="14"/>
  <c r="G34" i="14"/>
  <c r="F34" i="14"/>
  <c r="E34" i="14"/>
  <c r="D34" i="14"/>
  <c r="C34" i="14"/>
  <c r="B34" i="14"/>
  <c r="U33" i="14"/>
  <c r="T33" i="14"/>
  <c r="S33" i="14"/>
  <c r="R33" i="14"/>
  <c r="Q33" i="14"/>
  <c r="P33" i="14"/>
  <c r="O33" i="14"/>
  <c r="N33" i="14"/>
  <c r="M33" i="14"/>
  <c r="L33" i="14"/>
  <c r="K33" i="14"/>
  <c r="J33" i="14"/>
  <c r="I33" i="14"/>
  <c r="H33" i="14"/>
  <c r="G33" i="14"/>
  <c r="F33" i="14"/>
  <c r="E33" i="14"/>
  <c r="D33" i="14"/>
  <c r="C33" i="14"/>
  <c r="B33" i="14"/>
  <c r="U32" i="14"/>
  <c r="T32" i="14"/>
  <c r="S32" i="14"/>
  <c r="R32" i="14"/>
  <c r="Q32" i="14"/>
  <c r="P32" i="14"/>
  <c r="O32" i="14"/>
  <c r="N32" i="14"/>
  <c r="M32" i="14"/>
  <c r="L32" i="14"/>
  <c r="K32" i="14"/>
  <c r="J32" i="14"/>
  <c r="I32" i="14"/>
  <c r="H32" i="14"/>
  <c r="G32" i="14"/>
  <c r="F32" i="14"/>
  <c r="E32" i="14"/>
  <c r="D32" i="14"/>
  <c r="C32" i="14"/>
  <c r="B32" i="14"/>
  <c r="U46" i="12"/>
  <c r="T46" i="12"/>
  <c r="S46" i="12"/>
  <c r="R46" i="12"/>
  <c r="Q46" i="12"/>
  <c r="P46" i="12"/>
  <c r="O46" i="12"/>
  <c r="N46" i="12"/>
  <c r="M46" i="12"/>
  <c r="L46" i="12"/>
  <c r="K46" i="12"/>
  <c r="J46" i="12"/>
  <c r="I46" i="12"/>
  <c r="H46" i="12"/>
  <c r="G46" i="12"/>
  <c r="F46" i="12"/>
  <c r="E46" i="12"/>
  <c r="D46" i="12"/>
  <c r="C46" i="12"/>
  <c r="B46" i="12"/>
  <c r="U45" i="12"/>
  <c r="T45" i="12"/>
  <c r="S45" i="12"/>
  <c r="R45" i="12"/>
  <c r="Q45" i="12"/>
  <c r="P45" i="12"/>
  <c r="O45" i="12"/>
  <c r="N45" i="12"/>
  <c r="M45" i="12"/>
  <c r="L45" i="12"/>
  <c r="K45" i="12"/>
  <c r="J45" i="12"/>
  <c r="I45" i="12"/>
  <c r="H45" i="12"/>
  <c r="G45" i="12"/>
  <c r="F45" i="12"/>
  <c r="E45" i="12"/>
  <c r="D45" i="12"/>
  <c r="C45" i="12"/>
  <c r="B45" i="12"/>
  <c r="U44" i="12"/>
  <c r="T44" i="12"/>
  <c r="S44" i="12"/>
  <c r="R44" i="12"/>
  <c r="Q44" i="12"/>
  <c r="P44" i="12"/>
  <c r="O44" i="12"/>
  <c r="N44" i="12"/>
  <c r="M44" i="12"/>
  <c r="L44" i="12"/>
  <c r="K44" i="12"/>
  <c r="J44" i="12"/>
  <c r="I44" i="12"/>
  <c r="H44" i="12"/>
  <c r="G44" i="12"/>
  <c r="F44" i="12"/>
  <c r="E44" i="12"/>
  <c r="D44" i="12"/>
  <c r="C44" i="12"/>
  <c r="B44" i="12"/>
  <c r="U43" i="12"/>
  <c r="T43" i="12"/>
  <c r="S43" i="12"/>
  <c r="R43" i="12"/>
  <c r="Q43" i="12"/>
  <c r="P43" i="12"/>
  <c r="O43" i="12"/>
  <c r="N43" i="12"/>
  <c r="M43" i="12"/>
  <c r="L43" i="12"/>
  <c r="K43" i="12"/>
  <c r="J43" i="12"/>
  <c r="I43" i="12"/>
  <c r="H43" i="12"/>
  <c r="G43" i="12"/>
  <c r="F43" i="12"/>
  <c r="E43" i="12"/>
  <c r="D43" i="12"/>
  <c r="C43" i="12"/>
  <c r="B43" i="12"/>
  <c r="U42" i="12"/>
  <c r="T42" i="12"/>
  <c r="S42" i="12"/>
  <c r="R42" i="12"/>
  <c r="Q42" i="12"/>
  <c r="P42" i="12"/>
  <c r="O42" i="12"/>
  <c r="N42" i="12"/>
  <c r="M42" i="12"/>
  <c r="L42" i="12"/>
  <c r="K42" i="12"/>
  <c r="J42" i="12"/>
  <c r="I42" i="12"/>
  <c r="H42" i="12"/>
  <c r="G42" i="12"/>
  <c r="F42" i="12"/>
  <c r="E42" i="12"/>
  <c r="D42" i="12"/>
  <c r="C42" i="12"/>
  <c r="B42" i="12"/>
  <c r="U41" i="12"/>
  <c r="T41" i="12"/>
  <c r="S41" i="12"/>
  <c r="R41" i="12"/>
  <c r="Q41" i="12"/>
  <c r="P41" i="12"/>
  <c r="O41" i="12"/>
  <c r="N41" i="12"/>
  <c r="M41" i="12"/>
  <c r="L41" i="12"/>
  <c r="K41" i="12"/>
  <c r="J41" i="12"/>
  <c r="I41" i="12"/>
  <c r="H41" i="12"/>
  <c r="G41" i="12"/>
  <c r="F41" i="12"/>
  <c r="E41" i="12"/>
  <c r="D41" i="12"/>
  <c r="C41" i="12"/>
  <c r="B41" i="12"/>
  <c r="U40" i="12"/>
  <c r="T40" i="12"/>
  <c r="S40" i="12"/>
  <c r="R40" i="12"/>
  <c r="Q40" i="12"/>
  <c r="P40" i="12"/>
  <c r="O40" i="12"/>
  <c r="N40" i="12"/>
  <c r="M40" i="12"/>
  <c r="L40" i="12"/>
  <c r="K40" i="12"/>
  <c r="J40" i="12"/>
  <c r="I40" i="12"/>
  <c r="H40" i="12"/>
  <c r="G40" i="12"/>
  <c r="F40" i="12"/>
  <c r="E40" i="12"/>
  <c r="D40" i="12"/>
  <c r="C40" i="12"/>
  <c r="B40" i="12"/>
  <c r="U39" i="12"/>
  <c r="T39" i="12"/>
  <c r="S39" i="12"/>
  <c r="R39" i="12"/>
  <c r="Q39" i="12"/>
  <c r="P39" i="12"/>
  <c r="O39" i="12"/>
  <c r="N39" i="12"/>
  <c r="M39" i="12"/>
  <c r="L39" i="12"/>
  <c r="K39" i="12"/>
  <c r="J39" i="12"/>
  <c r="I39" i="12"/>
  <c r="H39" i="12"/>
  <c r="G39" i="12"/>
  <c r="F39" i="12"/>
  <c r="E39" i="12"/>
  <c r="D39" i="12"/>
  <c r="C39" i="12"/>
  <c r="B39" i="12"/>
  <c r="U38" i="12"/>
  <c r="T38" i="12"/>
  <c r="S38" i="12"/>
  <c r="R38" i="12"/>
  <c r="Q38" i="12"/>
  <c r="P38" i="12"/>
  <c r="O38" i="12"/>
  <c r="N38" i="12"/>
  <c r="M38" i="12"/>
  <c r="L38" i="12"/>
  <c r="K38" i="12"/>
  <c r="J38" i="12"/>
  <c r="I38" i="12"/>
  <c r="H38" i="12"/>
  <c r="G38" i="12"/>
  <c r="F38" i="12"/>
  <c r="E38" i="12"/>
  <c r="D38" i="12"/>
  <c r="C38" i="12"/>
  <c r="B38" i="12"/>
  <c r="U37" i="12"/>
  <c r="T37" i="12"/>
  <c r="S37" i="12"/>
  <c r="R37" i="12"/>
  <c r="Q37" i="12"/>
  <c r="P37" i="12"/>
  <c r="O37" i="12"/>
  <c r="N37" i="12"/>
  <c r="M37" i="12"/>
  <c r="L37" i="12"/>
  <c r="K37" i="12"/>
  <c r="J37" i="12"/>
  <c r="I37" i="12"/>
  <c r="H37" i="12"/>
  <c r="G37" i="12"/>
  <c r="F37" i="12"/>
  <c r="E37" i="12"/>
  <c r="D37" i="12"/>
  <c r="C37" i="12"/>
  <c r="B37" i="12"/>
  <c r="U36" i="12"/>
  <c r="T36" i="12"/>
  <c r="S36" i="12"/>
  <c r="R36" i="12"/>
  <c r="Q36" i="12"/>
  <c r="P36" i="12"/>
  <c r="O36" i="12"/>
  <c r="N36" i="12"/>
  <c r="M36" i="12"/>
  <c r="L36" i="12"/>
  <c r="K36" i="12"/>
  <c r="J36" i="12"/>
  <c r="I36" i="12"/>
  <c r="H36" i="12"/>
  <c r="G36" i="12"/>
  <c r="F36" i="12"/>
  <c r="E36" i="12"/>
  <c r="D36" i="12"/>
  <c r="C36" i="12"/>
  <c r="B36" i="12"/>
  <c r="U35" i="12"/>
  <c r="T35" i="12"/>
  <c r="S35" i="12"/>
  <c r="R35" i="12"/>
  <c r="Q35" i="12"/>
  <c r="P35" i="12"/>
  <c r="O35" i="12"/>
  <c r="N35" i="12"/>
  <c r="M35" i="12"/>
  <c r="L35" i="12"/>
  <c r="K35" i="12"/>
  <c r="J35" i="12"/>
  <c r="I35" i="12"/>
  <c r="H35" i="12"/>
  <c r="G35" i="12"/>
  <c r="F35" i="12"/>
  <c r="E35" i="12"/>
  <c r="D35" i="12"/>
  <c r="C35" i="12"/>
  <c r="B35" i="12"/>
  <c r="U34" i="12"/>
  <c r="T34" i="12"/>
  <c r="S34" i="12"/>
  <c r="R34" i="12"/>
  <c r="Q34" i="12"/>
  <c r="P34" i="12"/>
  <c r="O34" i="12"/>
  <c r="N34" i="12"/>
  <c r="M34" i="12"/>
  <c r="L34" i="12"/>
  <c r="K34" i="12"/>
  <c r="J34" i="12"/>
  <c r="I34" i="12"/>
  <c r="H34" i="12"/>
  <c r="G34" i="12"/>
  <c r="F34" i="12"/>
  <c r="E34" i="12"/>
  <c r="D34" i="12"/>
  <c r="C34" i="12"/>
  <c r="B34" i="12"/>
  <c r="U33" i="12"/>
  <c r="T33" i="12"/>
  <c r="S33" i="12"/>
  <c r="R33" i="12"/>
  <c r="Q33" i="12"/>
  <c r="P33" i="12"/>
  <c r="O33" i="12"/>
  <c r="N33" i="12"/>
  <c r="M33" i="12"/>
  <c r="L33" i="12"/>
  <c r="K33" i="12"/>
  <c r="J33" i="12"/>
  <c r="I33" i="12"/>
  <c r="H33" i="12"/>
  <c r="G33" i="12"/>
  <c r="F33" i="12"/>
  <c r="E33" i="12"/>
  <c r="D33" i="12"/>
  <c r="C33" i="12"/>
  <c r="B33" i="12"/>
  <c r="U32" i="12"/>
  <c r="T32" i="12"/>
  <c r="S32" i="12"/>
  <c r="R32" i="12"/>
  <c r="Q32" i="12"/>
  <c r="P32" i="12"/>
  <c r="O32" i="12"/>
  <c r="N32" i="12"/>
  <c r="M32" i="12"/>
  <c r="L32" i="12"/>
  <c r="K32" i="12"/>
  <c r="J32" i="12"/>
  <c r="I32" i="12"/>
  <c r="H32" i="12"/>
  <c r="G32" i="12"/>
  <c r="F32" i="12"/>
  <c r="E32" i="12"/>
  <c r="D32" i="12"/>
  <c r="C32" i="12"/>
  <c r="B32" i="12"/>
  <c r="U46" i="11"/>
  <c r="T46" i="11"/>
  <c r="S46" i="11"/>
  <c r="R46" i="11"/>
  <c r="Q46" i="11"/>
  <c r="P46" i="11"/>
  <c r="O46" i="11"/>
  <c r="N46" i="11"/>
  <c r="M46" i="11"/>
  <c r="L46" i="11"/>
  <c r="K46" i="11"/>
  <c r="J46" i="11"/>
  <c r="I46" i="11"/>
  <c r="H46" i="11"/>
  <c r="G46" i="11"/>
  <c r="F46" i="11"/>
  <c r="E46" i="11"/>
  <c r="D46" i="11"/>
  <c r="C46" i="11"/>
  <c r="B46" i="11"/>
  <c r="U45" i="11"/>
  <c r="T45" i="11"/>
  <c r="S45" i="11"/>
  <c r="R45" i="11"/>
  <c r="Q45" i="11"/>
  <c r="P45" i="11"/>
  <c r="O45" i="11"/>
  <c r="N45" i="11"/>
  <c r="M45" i="11"/>
  <c r="L45" i="11"/>
  <c r="K45" i="11"/>
  <c r="J45" i="11"/>
  <c r="I45" i="11"/>
  <c r="H45" i="11"/>
  <c r="G45" i="11"/>
  <c r="F45" i="11"/>
  <c r="E45" i="11"/>
  <c r="D45" i="11"/>
  <c r="C45" i="11"/>
  <c r="B45" i="11"/>
  <c r="U44" i="11"/>
  <c r="T44" i="11"/>
  <c r="S44" i="11"/>
  <c r="R44" i="11"/>
  <c r="Q44" i="11"/>
  <c r="P44" i="11"/>
  <c r="O44" i="11"/>
  <c r="N44" i="11"/>
  <c r="M44" i="11"/>
  <c r="L44" i="11"/>
  <c r="K44" i="11"/>
  <c r="J44" i="11"/>
  <c r="I44" i="11"/>
  <c r="H44" i="11"/>
  <c r="G44" i="11"/>
  <c r="F44" i="11"/>
  <c r="E44" i="11"/>
  <c r="D44" i="11"/>
  <c r="C44" i="11"/>
  <c r="B44" i="11"/>
  <c r="U43" i="11"/>
  <c r="T43" i="11"/>
  <c r="S43" i="11"/>
  <c r="R43" i="11"/>
  <c r="Q43" i="11"/>
  <c r="P43" i="11"/>
  <c r="O43" i="11"/>
  <c r="N43" i="11"/>
  <c r="M43" i="11"/>
  <c r="L43" i="11"/>
  <c r="K43" i="11"/>
  <c r="J43" i="11"/>
  <c r="I43" i="11"/>
  <c r="H43" i="11"/>
  <c r="G43" i="11"/>
  <c r="F43" i="11"/>
  <c r="E43" i="11"/>
  <c r="D43" i="11"/>
  <c r="C43" i="11"/>
  <c r="B43" i="11"/>
  <c r="U42" i="11"/>
  <c r="T42" i="11"/>
  <c r="S42" i="11"/>
  <c r="R42" i="11"/>
  <c r="Q42" i="11"/>
  <c r="P42" i="11"/>
  <c r="O42" i="11"/>
  <c r="N42" i="11"/>
  <c r="M42" i="11"/>
  <c r="L42" i="11"/>
  <c r="K42" i="11"/>
  <c r="J42" i="11"/>
  <c r="I42" i="11"/>
  <c r="H42" i="11"/>
  <c r="G42" i="11"/>
  <c r="F42" i="11"/>
  <c r="E42" i="11"/>
  <c r="D42" i="11"/>
  <c r="C42" i="11"/>
  <c r="B42" i="11"/>
  <c r="U41" i="11"/>
  <c r="T41" i="11"/>
  <c r="S41" i="11"/>
  <c r="R41" i="11"/>
  <c r="Q41" i="11"/>
  <c r="P41" i="11"/>
  <c r="O41" i="11"/>
  <c r="N41" i="11"/>
  <c r="M41" i="11"/>
  <c r="L41" i="11"/>
  <c r="K41" i="11"/>
  <c r="J41" i="11"/>
  <c r="I41" i="11"/>
  <c r="H41" i="11"/>
  <c r="G41" i="11"/>
  <c r="F41" i="11"/>
  <c r="E41" i="11"/>
  <c r="D41" i="11"/>
  <c r="C41" i="11"/>
  <c r="B41" i="11"/>
  <c r="U40" i="11"/>
  <c r="T40" i="11"/>
  <c r="S40" i="11"/>
  <c r="R40" i="11"/>
  <c r="Q40" i="11"/>
  <c r="P40" i="11"/>
  <c r="O40" i="11"/>
  <c r="N40" i="11"/>
  <c r="M40" i="11"/>
  <c r="L40" i="11"/>
  <c r="K40" i="11"/>
  <c r="J40" i="11"/>
  <c r="I40" i="11"/>
  <c r="H40" i="11"/>
  <c r="G40" i="11"/>
  <c r="F40" i="11"/>
  <c r="E40" i="11"/>
  <c r="D40" i="11"/>
  <c r="C40" i="11"/>
  <c r="B40" i="11"/>
  <c r="U39" i="11"/>
  <c r="T39" i="11"/>
  <c r="S39" i="11"/>
  <c r="R39" i="11"/>
  <c r="Q39" i="11"/>
  <c r="P39" i="11"/>
  <c r="O39" i="11"/>
  <c r="N39" i="11"/>
  <c r="M39" i="11"/>
  <c r="L39" i="11"/>
  <c r="K39" i="11"/>
  <c r="J39" i="11"/>
  <c r="I39" i="11"/>
  <c r="H39" i="11"/>
  <c r="G39" i="11"/>
  <c r="F39" i="11"/>
  <c r="E39" i="11"/>
  <c r="D39" i="11"/>
  <c r="C39" i="11"/>
  <c r="B39" i="11"/>
  <c r="U38" i="11"/>
  <c r="T38" i="11"/>
  <c r="S38" i="11"/>
  <c r="R38" i="11"/>
  <c r="Q38" i="11"/>
  <c r="P38" i="11"/>
  <c r="O38" i="11"/>
  <c r="N38" i="11"/>
  <c r="M38" i="11"/>
  <c r="L38" i="11"/>
  <c r="K38" i="11"/>
  <c r="J38" i="11"/>
  <c r="I38" i="11"/>
  <c r="H38" i="11"/>
  <c r="G38" i="11"/>
  <c r="F38" i="11"/>
  <c r="E38" i="11"/>
  <c r="D38" i="11"/>
  <c r="C38" i="11"/>
  <c r="B38" i="11"/>
  <c r="U37" i="11"/>
  <c r="T37" i="11"/>
  <c r="S37" i="11"/>
  <c r="R37" i="11"/>
  <c r="Q37" i="11"/>
  <c r="P37" i="11"/>
  <c r="O37" i="11"/>
  <c r="N37" i="11"/>
  <c r="M37" i="11"/>
  <c r="L37" i="11"/>
  <c r="K37" i="11"/>
  <c r="J37" i="11"/>
  <c r="I37" i="11"/>
  <c r="H37" i="11"/>
  <c r="G37" i="11"/>
  <c r="F37" i="11"/>
  <c r="E37" i="11"/>
  <c r="D37" i="11"/>
  <c r="C37" i="11"/>
  <c r="B37" i="11"/>
  <c r="U36" i="11"/>
  <c r="T36" i="11"/>
  <c r="S36" i="11"/>
  <c r="R36" i="11"/>
  <c r="Q36" i="11"/>
  <c r="P36" i="11"/>
  <c r="O36" i="11"/>
  <c r="N36" i="11"/>
  <c r="M36" i="11"/>
  <c r="L36" i="11"/>
  <c r="K36" i="11"/>
  <c r="J36" i="11"/>
  <c r="I36" i="11"/>
  <c r="H36" i="11"/>
  <c r="G36" i="11"/>
  <c r="F36" i="11"/>
  <c r="E36" i="11"/>
  <c r="D36" i="11"/>
  <c r="C36" i="11"/>
  <c r="B36" i="11"/>
  <c r="U35" i="11"/>
  <c r="T35" i="11"/>
  <c r="S35" i="11"/>
  <c r="R35" i="11"/>
  <c r="Q35" i="11"/>
  <c r="P35" i="11"/>
  <c r="O35" i="11"/>
  <c r="N35" i="11"/>
  <c r="M35" i="11"/>
  <c r="L35" i="11"/>
  <c r="K35" i="11"/>
  <c r="J35" i="11"/>
  <c r="I35" i="11"/>
  <c r="H35" i="11"/>
  <c r="G35" i="11"/>
  <c r="F35" i="11"/>
  <c r="E35" i="11"/>
  <c r="D35" i="11"/>
  <c r="C35" i="11"/>
  <c r="B35" i="11"/>
  <c r="U34" i="11"/>
  <c r="T34" i="11"/>
  <c r="S34" i="11"/>
  <c r="R34" i="11"/>
  <c r="Q34" i="11"/>
  <c r="P34" i="11"/>
  <c r="O34" i="11"/>
  <c r="N34" i="11"/>
  <c r="M34" i="11"/>
  <c r="L34" i="11"/>
  <c r="K34" i="11"/>
  <c r="J34" i="11"/>
  <c r="I34" i="11"/>
  <c r="H34" i="11"/>
  <c r="G34" i="11"/>
  <c r="F34" i="11"/>
  <c r="E34" i="11"/>
  <c r="D34" i="11"/>
  <c r="C34" i="11"/>
  <c r="B34" i="11"/>
  <c r="U33" i="11"/>
  <c r="T33" i="11"/>
  <c r="S33" i="11"/>
  <c r="R33" i="11"/>
  <c r="Q33" i="11"/>
  <c r="P33" i="11"/>
  <c r="O33" i="11"/>
  <c r="N33" i="11"/>
  <c r="M33" i="11"/>
  <c r="L33" i="11"/>
  <c r="K33" i="11"/>
  <c r="J33" i="11"/>
  <c r="I33" i="11"/>
  <c r="H33" i="11"/>
  <c r="G33" i="11"/>
  <c r="F33" i="11"/>
  <c r="E33" i="11"/>
  <c r="D33" i="11"/>
  <c r="C33" i="11"/>
  <c r="B33" i="11"/>
  <c r="U32" i="11"/>
  <c r="T32" i="11"/>
  <c r="S32" i="11"/>
  <c r="R32" i="11"/>
  <c r="Q32" i="11"/>
  <c r="P32" i="11"/>
  <c r="O32" i="11"/>
  <c r="N32" i="11"/>
  <c r="M32" i="11"/>
  <c r="L32" i="11"/>
  <c r="K32" i="11"/>
  <c r="J32" i="11"/>
  <c r="I32" i="11"/>
  <c r="H32" i="11"/>
  <c r="G32" i="11"/>
  <c r="F32" i="11"/>
  <c r="E32" i="11"/>
  <c r="D32" i="11"/>
  <c r="C32" i="11"/>
  <c r="B32" i="11"/>
  <c r="U60" i="10"/>
  <c r="T60" i="10"/>
  <c r="S60" i="10"/>
  <c r="R60" i="10"/>
  <c r="Q60" i="10"/>
  <c r="P60" i="10"/>
  <c r="O60" i="10"/>
  <c r="N60" i="10"/>
  <c r="M60" i="10"/>
  <c r="L60" i="10"/>
  <c r="K60" i="10"/>
  <c r="J60" i="10"/>
  <c r="I60" i="10"/>
  <c r="H60" i="10"/>
  <c r="G60" i="10"/>
  <c r="F60" i="10"/>
  <c r="E60" i="10"/>
  <c r="D60" i="10"/>
  <c r="C60" i="10"/>
  <c r="B60" i="10"/>
  <c r="U59" i="10"/>
  <c r="T59" i="10"/>
  <c r="S59" i="10"/>
  <c r="R59" i="10"/>
  <c r="Q59" i="10"/>
  <c r="P59" i="10"/>
  <c r="O59" i="10"/>
  <c r="N59" i="10"/>
  <c r="M59" i="10"/>
  <c r="L59" i="10"/>
  <c r="K59" i="10"/>
  <c r="J59" i="10"/>
  <c r="I59" i="10"/>
  <c r="H59" i="10"/>
  <c r="G59" i="10"/>
  <c r="F59" i="10"/>
  <c r="E59" i="10"/>
  <c r="D59" i="10"/>
  <c r="C59" i="10"/>
  <c r="B59" i="10"/>
  <c r="U58" i="10"/>
  <c r="T58" i="10"/>
  <c r="S58" i="10"/>
  <c r="R58" i="10"/>
  <c r="Q58" i="10"/>
  <c r="P58" i="10"/>
  <c r="O58" i="10"/>
  <c r="N58" i="10"/>
  <c r="M58" i="10"/>
  <c r="L58" i="10"/>
  <c r="K58" i="10"/>
  <c r="J58" i="10"/>
  <c r="I58" i="10"/>
  <c r="H58" i="10"/>
  <c r="G58" i="10"/>
  <c r="F58" i="10"/>
  <c r="E58" i="10"/>
  <c r="D58" i="10"/>
  <c r="C58" i="10"/>
  <c r="B58" i="10"/>
  <c r="U57" i="10"/>
  <c r="T57" i="10"/>
  <c r="S57" i="10"/>
  <c r="R57" i="10"/>
  <c r="Q57" i="10"/>
  <c r="P57" i="10"/>
  <c r="O57" i="10"/>
  <c r="N57" i="10"/>
  <c r="M57" i="10"/>
  <c r="L57" i="10"/>
  <c r="K57" i="10"/>
  <c r="J57" i="10"/>
  <c r="I57" i="10"/>
  <c r="H57" i="10"/>
  <c r="G57" i="10"/>
  <c r="F57" i="10"/>
  <c r="E57" i="10"/>
  <c r="D57" i="10"/>
  <c r="C57" i="10"/>
  <c r="B57" i="10"/>
  <c r="U56" i="10"/>
  <c r="T56" i="10"/>
  <c r="S56" i="10"/>
  <c r="R56" i="10"/>
  <c r="Q56" i="10"/>
  <c r="P56" i="10"/>
  <c r="O56" i="10"/>
  <c r="N56" i="10"/>
  <c r="M56" i="10"/>
  <c r="L56" i="10"/>
  <c r="K56" i="10"/>
  <c r="J56" i="10"/>
  <c r="I56" i="10"/>
  <c r="H56" i="10"/>
  <c r="G56" i="10"/>
  <c r="F56" i="10"/>
  <c r="E56" i="10"/>
  <c r="D56" i="10"/>
  <c r="C56" i="10"/>
  <c r="B56" i="10"/>
  <c r="U55" i="10"/>
  <c r="T55" i="10"/>
  <c r="S55" i="10"/>
  <c r="R55" i="10"/>
  <c r="Q55" i="10"/>
  <c r="P55" i="10"/>
  <c r="O55" i="10"/>
  <c r="N55" i="10"/>
  <c r="M55" i="10"/>
  <c r="L55" i="10"/>
  <c r="K55" i="10"/>
  <c r="J55" i="10"/>
  <c r="I55" i="10"/>
  <c r="H55" i="10"/>
  <c r="G55" i="10"/>
  <c r="F55" i="10"/>
  <c r="E55" i="10"/>
  <c r="D55" i="10"/>
  <c r="C55" i="10"/>
  <c r="B55" i="10"/>
  <c r="U54" i="10"/>
  <c r="T54" i="10"/>
  <c r="S54" i="10"/>
  <c r="R54" i="10"/>
  <c r="Q54" i="10"/>
  <c r="P54" i="10"/>
  <c r="O54" i="10"/>
  <c r="N54" i="10"/>
  <c r="M54" i="10"/>
  <c r="L54" i="10"/>
  <c r="K54" i="10"/>
  <c r="J54" i="10"/>
  <c r="I54" i="10"/>
  <c r="H54" i="10"/>
  <c r="G54" i="10"/>
  <c r="F54" i="10"/>
  <c r="E54" i="10"/>
  <c r="D54" i="10"/>
  <c r="C54" i="10"/>
  <c r="B54" i="10"/>
  <c r="U53" i="10"/>
  <c r="T53" i="10"/>
  <c r="S53" i="10"/>
  <c r="R53" i="10"/>
  <c r="Q53" i="10"/>
  <c r="P53" i="10"/>
  <c r="O53" i="10"/>
  <c r="N53" i="10"/>
  <c r="M53" i="10"/>
  <c r="L53" i="10"/>
  <c r="K53" i="10"/>
  <c r="J53" i="10"/>
  <c r="I53" i="10"/>
  <c r="H53" i="10"/>
  <c r="G53" i="10"/>
  <c r="F53" i="10"/>
  <c r="E53" i="10"/>
  <c r="D53" i="10"/>
  <c r="C53" i="10"/>
  <c r="B53" i="10"/>
  <c r="U52" i="10"/>
  <c r="T52" i="10"/>
  <c r="S52" i="10"/>
  <c r="R52" i="10"/>
  <c r="Q52" i="10"/>
  <c r="P52" i="10"/>
  <c r="O52" i="10"/>
  <c r="N52" i="10"/>
  <c r="M52" i="10"/>
  <c r="L52" i="10"/>
  <c r="K52" i="10"/>
  <c r="J52" i="10"/>
  <c r="I52" i="10"/>
  <c r="H52" i="10"/>
  <c r="G52" i="10"/>
  <c r="F52" i="10"/>
  <c r="E52" i="10"/>
  <c r="D52" i="10"/>
  <c r="C52" i="10"/>
  <c r="B52" i="10"/>
  <c r="U51" i="10"/>
  <c r="T51" i="10"/>
  <c r="S51" i="10"/>
  <c r="R51" i="10"/>
  <c r="Q51" i="10"/>
  <c r="P51" i="10"/>
  <c r="O51" i="10"/>
  <c r="N51" i="10"/>
  <c r="M51" i="10"/>
  <c r="L51" i="10"/>
  <c r="K51" i="10"/>
  <c r="J51" i="10"/>
  <c r="I51" i="10"/>
  <c r="H51" i="10"/>
  <c r="G51" i="10"/>
  <c r="F51" i="10"/>
  <c r="E51" i="10"/>
  <c r="D51" i="10"/>
  <c r="C51" i="10"/>
  <c r="B51" i="10"/>
  <c r="U50" i="10"/>
  <c r="T50" i="10"/>
  <c r="S50" i="10"/>
  <c r="R50" i="10"/>
  <c r="Q50" i="10"/>
  <c r="P50" i="10"/>
  <c r="O50" i="10"/>
  <c r="N50" i="10"/>
  <c r="M50" i="10"/>
  <c r="L50" i="10"/>
  <c r="K50" i="10"/>
  <c r="J50" i="10"/>
  <c r="I50" i="10"/>
  <c r="H50" i="10"/>
  <c r="G50" i="10"/>
  <c r="F50" i="10"/>
  <c r="E50" i="10"/>
  <c r="D50" i="10"/>
  <c r="C50" i="10"/>
  <c r="B50" i="10"/>
  <c r="U49" i="10"/>
  <c r="T49" i="10"/>
  <c r="S49" i="10"/>
  <c r="R49" i="10"/>
  <c r="Q49" i="10"/>
  <c r="P49" i="10"/>
  <c r="O49" i="10"/>
  <c r="N49" i="10"/>
  <c r="M49" i="10"/>
  <c r="L49" i="10"/>
  <c r="K49" i="10"/>
  <c r="J49" i="10"/>
  <c r="I49" i="10"/>
  <c r="H49" i="10"/>
  <c r="G49" i="10"/>
  <c r="F49" i="10"/>
  <c r="E49" i="10"/>
  <c r="D49" i="10"/>
  <c r="C49" i="10"/>
  <c r="B49" i="10"/>
  <c r="U48" i="10"/>
  <c r="T48" i="10"/>
  <c r="S48" i="10"/>
  <c r="R48" i="10"/>
  <c r="Q48" i="10"/>
  <c r="P48" i="10"/>
  <c r="O48" i="10"/>
  <c r="N48" i="10"/>
  <c r="M48" i="10"/>
  <c r="L48" i="10"/>
  <c r="K48" i="10"/>
  <c r="J48" i="10"/>
  <c r="I48" i="10"/>
  <c r="H48" i="10"/>
  <c r="G48" i="10"/>
  <c r="F48" i="10"/>
  <c r="E48" i="10"/>
  <c r="D48" i="10"/>
  <c r="C48" i="10"/>
  <c r="B48" i="10"/>
  <c r="U47" i="10"/>
  <c r="T47" i="10"/>
  <c r="S47" i="10"/>
  <c r="R47" i="10"/>
  <c r="Q47" i="10"/>
  <c r="P47" i="10"/>
  <c r="O47" i="10"/>
  <c r="N47" i="10"/>
  <c r="M47" i="10"/>
  <c r="L47" i="10"/>
  <c r="K47" i="10"/>
  <c r="J47" i="10"/>
  <c r="I47" i="10"/>
  <c r="H47" i="10"/>
  <c r="G47" i="10"/>
  <c r="F47" i="10"/>
  <c r="E47" i="10"/>
  <c r="D47" i="10"/>
  <c r="C47" i="10"/>
  <c r="B47" i="10"/>
  <c r="U46" i="10"/>
  <c r="T46" i="10"/>
  <c r="S46" i="10"/>
  <c r="R46" i="10"/>
  <c r="Q46" i="10"/>
  <c r="P46" i="10"/>
  <c r="O46" i="10"/>
  <c r="N46" i="10"/>
  <c r="M46" i="10"/>
  <c r="L46" i="10"/>
  <c r="K46" i="10"/>
  <c r="J46" i="10"/>
  <c r="I46" i="10"/>
  <c r="H46" i="10"/>
  <c r="G46" i="10"/>
  <c r="F46" i="10"/>
  <c r="E46" i="10"/>
  <c r="D46" i="10"/>
  <c r="C46" i="10"/>
  <c r="B46" i="10"/>
  <c r="U46" i="9"/>
  <c r="T46" i="9"/>
  <c r="S46" i="9"/>
  <c r="R46" i="9"/>
  <c r="Q46" i="9"/>
  <c r="P46" i="9"/>
  <c r="O46" i="9"/>
  <c r="N46" i="9"/>
  <c r="M46" i="9"/>
  <c r="L46" i="9"/>
  <c r="K46" i="9"/>
  <c r="J46" i="9"/>
  <c r="I46" i="9"/>
  <c r="H46" i="9"/>
  <c r="G46" i="9"/>
  <c r="F46" i="9"/>
  <c r="E46" i="9"/>
  <c r="D46" i="9"/>
  <c r="C46" i="9"/>
  <c r="B46" i="9"/>
  <c r="U45" i="9"/>
  <c r="T45" i="9"/>
  <c r="S45" i="9"/>
  <c r="R45" i="9"/>
  <c r="Q45" i="9"/>
  <c r="P45" i="9"/>
  <c r="O45" i="9"/>
  <c r="N45" i="9"/>
  <c r="M45" i="9"/>
  <c r="L45" i="9"/>
  <c r="K45" i="9"/>
  <c r="J45" i="9"/>
  <c r="I45" i="9"/>
  <c r="H45" i="9"/>
  <c r="G45" i="9"/>
  <c r="F45" i="9"/>
  <c r="E45" i="9"/>
  <c r="D45" i="9"/>
  <c r="C45" i="9"/>
  <c r="B45" i="9"/>
  <c r="U44" i="9"/>
  <c r="T44" i="9"/>
  <c r="S44" i="9"/>
  <c r="R44" i="9"/>
  <c r="Q44" i="9"/>
  <c r="P44" i="9"/>
  <c r="O44" i="9"/>
  <c r="N44" i="9"/>
  <c r="M44" i="9"/>
  <c r="L44" i="9"/>
  <c r="K44" i="9"/>
  <c r="J44" i="9"/>
  <c r="I44" i="9"/>
  <c r="H44" i="9"/>
  <c r="G44" i="9"/>
  <c r="F44" i="9"/>
  <c r="E44" i="9"/>
  <c r="D44" i="9"/>
  <c r="C44" i="9"/>
  <c r="B44" i="9"/>
  <c r="U43" i="9"/>
  <c r="T43" i="9"/>
  <c r="S43" i="9"/>
  <c r="R43" i="9"/>
  <c r="Q43" i="9"/>
  <c r="P43" i="9"/>
  <c r="O43" i="9"/>
  <c r="N43" i="9"/>
  <c r="M43" i="9"/>
  <c r="L43" i="9"/>
  <c r="K43" i="9"/>
  <c r="J43" i="9"/>
  <c r="I43" i="9"/>
  <c r="H43" i="9"/>
  <c r="G43" i="9"/>
  <c r="F43" i="9"/>
  <c r="E43" i="9"/>
  <c r="D43" i="9"/>
  <c r="C43" i="9"/>
  <c r="B43" i="9"/>
  <c r="U42" i="9"/>
  <c r="T42" i="9"/>
  <c r="S42" i="9"/>
  <c r="R42" i="9"/>
  <c r="Q42" i="9"/>
  <c r="P42" i="9"/>
  <c r="O42" i="9"/>
  <c r="N42" i="9"/>
  <c r="M42" i="9"/>
  <c r="L42" i="9"/>
  <c r="K42" i="9"/>
  <c r="J42" i="9"/>
  <c r="I42" i="9"/>
  <c r="H42" i="9"/>
  <c r="G42" i="9"/>
  <c r="F42" i="9"/>
  <c r="E42" i="9"/>
  <c r="D42" i="9"/>
  <c r="C42" i="9"/>
  <c r="B42" i="9"/>
  <c r="U41" i="9"/>
  <c r="T41" i="9"/>
  <c r="S41" i="9"/>
  <c r="R41" i="9"/>
  <c r="Q41" i="9"/>
  <c r="P41" i="9"/>
  <c r="O41" i="9"/>
  <c r="N41" i="9"/>
  <c r="M41" i="9"/>
  <c r="L41" i="9"/>
  <c r="K41" i="9"/>
  <c r="J41" i="9"/>
  <c r="I41" i="9"/>
  <c r="H41" i="9"/>
  <c r="G41" i="9"/>
  <c r="F41" i="9"/>
  <c r="E41" i="9"/>
  <c r="D41" i="9"/>
  <c r="C41" i="9"/>
  <c r="B41" i="9"/>
  <c r="U40" i="9"/>
  <c r="T40" i="9"/>
  <c r="S40" i="9"/>
  <c r="R40" i="9"/>
  <c r="Q40" i="9"/>
  <c r="P40" i="9"/>
  <c r="O40" i="9"/>
  <c r="N40" i="9"/>
  <c r="M40" i="9"/>
  <c r="L40" i="9"/>
  <c r="K40" i="9"/>
  <c r="J40" i="9"/>
  <c r="I40" i="9"/>
  <c r="H40" i="9"/>
  <c r="G40" i="9"/>
  <c r="F40" i="9"/>
  <c r="E40" i="9"/>
  <c r="D40" i="9"/>
  <c r="C40" i="9"/>
  <c r="B40" i="9"/>
  <c r="U39" i="9"/>
  <c r="T39" i="9"/>
  <c r="S39" i="9"/>
  <c r="R39" i="9"/>
  <c r="Q39" i="9"/>
  <c r="P39" i="9"/>
  <c r="O39" i="9"/>
  <c r="N39" i="9"/>
  <c r="M39" i="9"/>
  <c r="L39" i="9"/>
  <c r="K39" i="9"/>
  <c r="J39" i="9"/>
  <c r="I39" i="9"/>
  <c r="H39" i="9"/>
  <c r="G39" i="9"/>
  <c r="F39" i="9"/>
  <c r="E39" i="9"/>
  <c r="D39" i="9"/>
  <c r="C39" i="9"/>
  <c r="B39" i="9"/>
  <c r="U38" i="9"/>
  <c r="T38" i="9"/>
  <c r="S38" i="9"/>
  <c r="R38" i="9"/>
  <c r="Q38" i="9"/>
  <c r="P38" i="9"/>
  <c r="O38" i="9"/>
  <c r="N38" i="9"/>
  <c r="M38" i="9"/>
  <c r="L38" i="9"/>
  <c r="K38" i="9"/>
  <c r="J38" i="9"/>
  <c r="I38" i="9"/>
  <c r="H38" i="9"/>
  <c r="G38" i="9"/>
  <c r="F38" i="9"/>
  <c r="E38" i="9"/>
  <c r="D38" i="9"/>
  <c r="C38" i="9"/>
  <c r="B38" i="9"/>
  <c r="U37" i="9"/>
  <c r="T37" i="9"/>
  <c r="S37" i="9"/>
  <c r="R37" i="9"/>
  <c r="Q37" i="9"/>
  <c r="P37" i="9"/>
  <c r="O37" i="9"/>
  <c r="N37" i="9"/>
  <c r="M37" i="9"/>
  <c r="L37" i="9"/>
  <c r="K37" i="9"/>
  <c r="J37" i="9"/>
  <c r="I37" i="9"/>
  <c r="H37" i="9"/>
  <c r="G37" i="9"/>
  <c r="F37" i="9"/>
  <c r="E37" i="9"/>
  <c r="D37" i="9"/>
  <c r="C37" i="9"/>
  <c r="B37" i="9"/>
  <c r="U36" i="9"/>
  <c r="T36" i="9"/>
  <c r="S36" i="9"/>
  <c r="R36" i="9"/>
  <c r="Q36" i="9"/>
  <c r="P36" i="9"/>
  <c r="O36" i="9"/>
  <c r="N36" i="9"/>
  <c r="M36" i="9"/>
  <c r="L36" i="9"/>
  <c r="K36" i="9"/>
  <c r="J36" i="9"/>
  <c r="I36" i="9"/>
  <c r="H36" i="9"/>
  <c r="G36" i="9"/>
  <c r="F36" i="9"/>
  <c r="E36" i="9"/>
  <c r="D36" i="9"/>
  <c r="C36" i="9"/>
  <c r="B36" i="9"/>
  <c r="U35" i="9"/>
  <c r="T35" i="9"/>
  <c r="S35" i="9"/>
  <c r="R35" i="9"/>
  <c r="Q35" i="9"/>
  <c r="P35" i="9"/>
  <c r="O35" i="9"/>
  <c r="N35" i="9"/>
  <c r="M35" i="9"/>
  <c r="L35" i="9"/>
  <c r="K35" i="9"/>
  <c r="J35" i="9"/>
  <c r="I35" i="9"/>
  <c r="H35" i="9"/>
  <c r="G35" i="9"/>
  <c r="F35" i="9"/>
  <c r="E35" i="9"/>
  <c r="D35" i="9"/>
  <c r="C35" i="9"/>
  <c r="B35" i="9"/>
  <c r="U34" i="9"/>
  <c r="T34" i="9"/>
  <c r="S34" i="9"/>
  <c r="R34" i="9"/>
  <c r="Q34" i="9"/>
  <c r="P34" i="9"/>
  <c r="O34" i="9"/>
  <c r="N34" i="9"/>
  <c r="M34" i="9"/>
  <c r="L34" i="9"/>
  <c r="K34" i="9"/>
  <c r="J34" i="9"/>
  <c r="I34" i="9"/>
  <c r="H34" i="9"/>
  <c r="G34" i="9"/>
  <c r="F34" i="9"/>
  <c r="E34" i="9"/>
  <c r="D34" i="9"/>
  <c r="C34" i="9"/>
  <c r="B34" i="9"/>
  <c r="U33" i="9"/>
  <c r="T33" i="9"/>
  <c r="S33" i="9"/>
  <c r="R33" i="9"/>
  <c r="Q33" i="9"/>
  <c r="P33" i="9"/>
  <c r="O33" i="9"/>
  <c r="N33" i="9"/>
  <c r="M33" i="9"/>
  <c r="L33" i="9"/>
  <c r="K33" i="9"/>
  <c r="J33" i="9"/>
  <c r="I33" i="9"/>
  <c r="H33" i="9"/>
  <c r="G33" i="9"/>
  <c r="F33" i="9"/>
  <c r="E33" i="9"/>
  <c r="D33" i="9"/>
  <c r="C33" i="9"/>
  <c r="B33" i="9"/>
  <c r="U32" i="9"/>
  <c r="T32" i="9"/>
  <c r="S32" i="9"/>
  <c r="R32" i="9"/>
  <c r="Q32" i="9"/>
  <c r="P32" i="9"/>
  <c r="O32" i="9"/>
  <c r="N32" i="9"/>
  <c r="M32" i="9"/>
  <c r="L32" i="9"/>
  <c r="K32" i="9"/>
  <c r="J32" i="9"/>
  <c r="I32" i="9"/>
  <c r="H32" i="9"/>
  <c r="G32" i="9"/>
  <c r="F32" i="9"/>
  <c r="E32" i="9"/>
  <c r="D32" i="9"/>
  <c r="C32" i="9"/>
  <c r="B32" i="9"/>
  <c r="U46" i="8"/>
  <c r="T46" i="8"/>
  <c r="S46" i="8"/>
  <c r="R46" i="8"/>
  <c r="Q46" i="8"/>
  <c r="P46" i="8"/>
  <c r="O46" i="8"/>
  <c r="N46" i="8"/>
  <c r="M46" i="8"/>
  <c r="L46" i="8"/>
  <c r="K46" i="8"/>
  <c r="J46" i="8"/>
  <c r="I46" i="8"/>
  <c r="H46" i="8"/>
  <c r="G46" i="8"/>
  <c r="F46" i="8"/>
  <c r="E46" i="8"/>
  <c r="D46" i="8"/>
  <c r="C46" i="8"/>
  <c r="B46" i="8"/>
  <c r="U45" i="8"/>
  <c r="T45" i="8"/>
  <c r="S45" i="8"/>
  <c r="R45" i="8"/>
  <c r="Q45" i="8"/>
  <c r="P45" i="8"/>
  <c r="O45" i="8"/>
  <c r="N45" i="8"/>
  <c r="M45" i="8"/>
  <c r="L45" i="8"/>
  <c r="K45" i="8"/>
  <c r="J45" i="8"/>
  <c r="I45" i="8"/>
  <c r="H45" i="8"/>
  <c r="G45" i="8"/>
  <c r="F45" i="8"/>
  <c r="E45" i="8"/>
  <c r="D45" i="8"/>
  <c r="C45" i="8"/>
  <c r="B45" i="8"/>
  <c r="U44" i="8"/>
  <c r="T44" i="8"/>
  <c r="S44" i="8"/>
  <c r="R44" i="8"/>
  <c r="Q44" i="8"/>
  <c r="P44" i="8"/>
  <c r="O44" i="8"/>
  <c r="N44" i="8"/>
  <c r="M44" i="8"/>
  <c r="L44" i="8"/>
  <c r="K44" i="8"/>
  <c r="J44" i="8"/>
  <c r="I44" i="8"/>
  <c r="H44" i="8"/>
  <c r="G44" i="8"/>
  <c r="F44" i="8"/>
  <c r="E44" i="8"/>
  <c r="D44" i="8"/>
  <c r="C44" i="8"/>
  <c r="B44" i="8"/>
  <c r="U43" i="8"/>
  <c r="T43" i="8"/>
  <c r="S43" i="8"/>
  <c r="R43" i="8"/>
  <c r="Q43" i="8"/>
  <c r="P43" i="8"/>
  <c r="O43" i="8"/>
  <c r="N43" i="8"/>
  <c r="M43" i="8"/>
  <c r="L43" i="8"/>
  <c r="K43" i="8"/>
  <c r="J43" i="8"/>
  <c r="I43" i="8"/>
  <c r="H43" i="8"/>
  <c r="G43" i="8"/>
  <c r="F43" i="8"/>
  <c r="E43" i="8"/>
  <c r="D43" i="8"/>
  <c r="C43" i="8"/>
  <c r="B43" i="8"/>
  <c r="U42" i="8"/>
  <c r="T42" i="8"/>
  <c r="S42" i="8"/>
  <c r="R42" i="8"/>
  <c r="Q42" i="8"/>
  <c r="P42" i="8"/>
  <c r="O42" i="8"/>
  <c r="N42" i="8"/>
  <c r="M42" i="8"/>
  <c r="L42" i="8"/>
  <c r="K42" i="8"/>
  <c r="J42" i="8"/>
  <c r="I42" i="8"/>
  <c r="H42" i="8"/>
  <c r="G42" i="8"/>
  <c r="F42" i="8"/>
  <c r="E42" i="8"/>
  <c r="D42" i="8"/>
  <c r="C42" i="8"/>
  <c r="B42" i="8"/>
  <c r="U41" i="8"/>
  <c r="T41" i="8"/>
  <c r="S41" i="8"/>
  <c r="R41" i="8"/>
  <c r="Q41" i="8"/>
  <c r="P41" i="8"/>
  <c r="O41" i="8"/>
  <c r="N41" i="8"/>
  <c r="M41" i="8"/>
  <c r="L41" i="8"/>
  <c r="K41" i="8"/>
  <c r="J41" i="8"/>
  <c r="I41" i="8"/>
  <c r="H41" i="8"/>
  <c r="G41" i="8"/>
  <c r="F41" i="8"/>
  <c r="E41" i="8"/>
  <c r="D41" i="8"/>
  <c r="C41" i="8"/>
  <c r="B41" i="8"/>
  <c r="U40" i="8"/>
  <c r="T40" i="8"/>
  <c r="S40" i="8"/>
  <c r="R40" i="8"/>
  <c r="Q40" i="8"/>
  <c r="P40" i="8"/>
  <c r="O40" i="8"/>
  <c r="N40" i="8"/>
  <c r="M40" i="8"/>
  <c r="L40" i="8"/>
  <c r="K40" i="8"/>
  <c r="J40" i="8"/>
  <c r="I40" i="8"/>
  <c r="H40" i="8"/>
  <c r="G40" i="8"/>
  <c r="F40" i="8"/>
  <c r="E40" i="8"/>
  <c r="D40" i="8"/>
  <c r="C40" i="8"/>
  <c r="B40" i="8"/>
  <c r="U39" i="8"/>
  <c r="T39" i="8"/>
  <c r="S39" i="8"/>
  <c r="R39" i="8"/>
  <c r="Q39" i="8"/>
  <c r="P39" i="8"/>
  <c r="O39" i="8"/>
  <c r="N39" i="8"/>
  <c r="M39" i="8"/>
  <c r="L39" i="8"/>
  <c r="K39" i="8"/>
  <c r="J39" i="8"/>
  <c r="I39" i="8"/>
  <c r="H39" i="8"/>
  <c r="G39" i="8"/>
  <c r="F39" i="8"/>
  <c r="E39" i="8"/>
  <c r="D39" i="8"/>
  <c r="C39" i="8"/>
  <c r="B39" i="8"/>
  <c r="U38" i="8"/>
  <c r="T38" i="8"/>
  <c r="S38" i="8"/>
  <c r="R38" i="8"/>
  <c r="Q38" i="8"/>
  <c r="P38" i="8"/>
  <c r="O38" i="8"/>
  <c r="N38" i="8"/>
  <c r="M38" i="8"/>
  <c r="L38" i="8"/>
  <c r="K38" i="8"/>
  <c r="J38" i="8"/>
  <c r="I38" i="8"/>
  <c r="H38" i="8"/>
  <c r="G38" i="8"/>
  <c r="F38" i="8"/>
  <c r="E38" i="8"/>
  <c r="D38" i="8"/>
  <c r="C38" i="8"/>
  <c r="B38" i="8"/>
  <c r="U37" i="8"/>
  <c r="T37" i="8"/>
  <c r="S37" i="8"/>
  <c r="R37" i="8"/>
  <c r="Q37" i="8"/>
  <c r="P37" i="8"/>
  <c r="O37" i="8"/>
  <c r="N37" i="8"/>
  <c r="M37" i="8"/>
  <c r="L37" i="8"/>
  <c r="K37" i="8"/>
  <c r="J37" i="8"/>
  <c r="I37" i="8"/>
  <c r="H37" i="8"/>
  <c r="G37" i="8"/>
  <c r="F37" i="8"/>
  <c r="E37" i="8"/>
  <c r="D37" i="8"/>
  <c r="C37" i="8"/>
  <c r="B37" i="8"/>
  <c r="U36" i="8"/>
  <c r="T36" i="8"/>
  <c r="S36" i="8"/>
  <c r="R36" i="8"/>
  <c r="Q36" i="8"/>
  <c r="P36" i="8"/>
  <c r="O36" i="8"/>
  <c r="N36" i="8"/>
  <c r="M36" i="8"/>
  <c r="L36" i="8"/>
  <c r="K36" i="8"/>
  <c r="J36" i="8"/>
  <c r="I36" i="8"/>
  <c r="H36" i="8"/>
  <c r="G36" i="8"/>
  <c r="F36" i="8"/>
  <c r="E36" i="8"/>
  <c r="D36" i="8"/>
  <c r="C36" i="8"/>
  <c r="B36" i="8"/>
  <c r="U35" i="8"/>
  <c r="T35" i="8"/>
  <c r="S35" i="8"/>
  <c r="R35" i="8"/>
  <c r="Q35" i="8"/>
  <c r="P35" i="8"/>
  <c r="O35" i="8"/>
  <c r="N35" i="8"/>
  <c r="M35" i="8"/>
  <c r="L35" i="8"/>
  <c r="K35" i="8"/>
  <c r="J35" i="8"/>
  <c r="I35" i="8"/>
  <c r="H35" i="8"/>
  <c r="G35" i="8"/>
  <c r="F35" i="8"/>
  <c r="E35" i="8"/>
  <c r="D35" i="8"/>
  <c r="C35" i="8"/>
  <c r="B35" i="8"/>
  <c r="U34" i="8"/>
  <c r="T34" i="8"/>
  <c r="S34" i="8"/>
  <c r="R34" i="8"/>
  <c r="Q34" i="8"/>
  <c r="P34" i="8"/>
  <c r="O34" i="8"/>
  <c r="N34" i="8"/>
  <c r="M34" i="8"/>
  <c r="L34" i="8"/>
  <c r="K34" i="8"/>
  <c r="J34" i="8"/>
  <c r="I34" i="8"/>
  <c r="H34" i="8"/>
  <c r="G34" i="8"/>
  <c r="F34" i="8"/>
  <c r="E34" i="8"/>
  <c r="D34" i="8"/>
  <c r="C34" i="8"/>
  <c r="B34" i="8"/>
  <c r="U33" i="8"/>
  <c r="T33" i="8"/>
  <c r="S33" i="8"/>
  <c r="R33" i="8"/>
  <c r="Q33" i="8"/>
  <c r="P33" i="8"/>
  <c r="O33" i="8"/>
  <c r="N33" i="8"/>
  <c r="M33" i="8"/>
  <c r="L33" i="8"/>
  <c r="K33" i="8"/>
  <c r="J33" i="8"/>
  <c r="I33" i="8"/>
  <c r="H33" i="8"/>
  <c r="G33" i="8"/>
  <c r="F33" i="8"/>
  <c r="E33" i="8"/>
  <c r="D33" i="8"/>
  <c r="C33" i="8"/>
  <c r="B33" i="8"/>
  <c r="U32" i="8"/>
  <c r="T32" i="8"/>
  <c r="S32" i="8"/>
  <c r="R32" i="8"/>
  <c r="Q32" i="8"/>
  <c r="P32" i="8"/>
  <c r="O32" i="8"/>
  <c r="N32" i="8"/>
  <c r="M32" i="8"/>
  <c r="L32" i="8"/>
  <c r="K32" i="8"/>
  <c r="J32" i="8"/>
  <c r="I32" i="8"/>
  <c r="H32" i="8"/>
  <c r="G32" i="8"/>
  <c r="F32" i="8"/>
  <c r="E32" i="8"/>
  <c r="D32" i="8"/>
  <c r="C32" i="8"/>
  <c r="B32" i="8"/>
  <c r="U46" i="7"/>
  <c r="T46" i="7"/>
  <c r="S46" i="7"/>
  <c r="R46" i="7"/>
  <c r="Q46" i="7"/>
  <c r="P46" i="7"/>
  <c r="O46" i="7"/>
  <c r="N46" i="7"/>
  <c r="M46" i="7"/>
  <c r="L46" i="7"/>
  <c r="K46" i="7"/>
  <c r="J46" i="7"/>
  <c r="I46" i="7"/>
  <c r="H46" i="7"/>
  <c r="G46" i="7"/>
  <c r="F46" i="7"/>
  <c r="E46" i="7"/>
  <c r="D46" i="7"/>
  <c r="C46" i="7"/>
  <c r="B46" i="7"/>
  <c r="U45" i="7"/>
  <c r="T45" i="7"/>
  <c r="S45" i="7"/>
  <c r="R45" i="7"/>
  <c r="Q45" i="7"/>
  <c r="P45" i="7"/>
  <c r="O45" i="7"/>
  <c r="N45" i="7"/>
  <c r="M45" i="7"/>
  <c r="L45" i="7"/>
  <c r="K45" i="7"/>
  <c r="J45" i="7"/>
  <c r="I45" i="7"/>
  <c r="H45" i="7"/>
  <c r="G45" i="7"/>
  <c r="F45" i="7"/>
  <c r="E45" i="7"/>
  <c r="D45" i="7"/>
  <c r="C45" i="7"/>
  <c r="B45" i="7"/>
  <c r="U44" i="7"/>
  <c r="T44" i="7"/>
  <c r="S44" i="7"/>
  <c r="R44" i="7"/>
  <c r="Q44" i="7"/>
  <c r="P44" i="7"/>
  <c r="O44" i="7"/>
  <c r="N44" i="7"/>
  <c r="M44" i="7"/>
  <c r="L44" i="7"/>
  <c r="K44" i="7"/>
  <c r="J44" i="7"/>
  <c r="I44" i="7"/>
  <c r="H44" i="7"/>
  <c r="G44" i="7"/>
  <c r="F44" i="7"/>
  <c r="E44" i="7"/>
  <c r="D44" i="7"/>
  <c r="C44" i="7"/>
  <c r="B44" i="7"/>
  <c r="U43" i="7"/>
  <c r="T43" i="7"/>
  <c r="S43" i="7"/>
  <c r="R43" i="7"/>
  <c r="Q43" i="7"/>
  <c r="P43" i="7"/>
  <c r="O43" i="7"/>
  <c r="N43" i="7"/>
  <c r="M43" i="7"/>
  <c r="L43" i="7"/>
  <c r="K43" i="7"/>
  <c r="J43" i="7"/>
  <c r="I43" i="7"/>
  <c r="H43" i="7"/>
  <c r="G43" i="7"/>
  <c r="F43" i="7"/>
  <c r="E43" i="7"/>
  <c r="D43" i="7"/>
  <c r="C43" i="7"/>
  <c r="B43" i="7"/>
  <c r="U42" i="7"/>
  <c r="T42" i="7"/>
  <c r="S42" i="7"/>
  <c r="R42" i="7"/>
  <c r="Q42" i="7"/>
  <c r="P42" i="7"/>
  <c r="O42" i="7"/>
  <c r="N42" i="7"/>
  <c r="M42" i="7"/>
  <c r="L42" i="7"/>
  <c r="K42" i="7"/>
  <c r="J42" i="7"/>
  <c r="I42" i="7"/>
  <c r="H42" i="7"/>
  <c r="G42" i="7"/>
  <c r="F42" i="7"/>
  <c r="E42" i="7"/>
  <c r="D42" i="7"/>
  <c r="C42" i="7"/>
  <c r="B42" i="7"/>
  <c r="U41" i="7"/>
  <c r="T41" i="7"/>
  <c r="S41" i="7"/>
  <c r="R41" i="7"/>
  <c r="Q41" i="7"/>
  <c r="P41" i="7"/>
  <c r="O41" i="7"/>
  <c r="N41" i="7"/>
  <c r="M41" i="7"/>
  <c r="L41" i="7"/>
  <c r="K41" i="7"/>
  <c r="J41" i="7"/>
  <c r="I41" i="7"/>
  <c r="H41" i="7"/>
  <c r="G41" i="7"/>
  <c r="F41" i="7"/>
  <c r="E41" i="7"/>
  <c r="D41" i="7"/>
  <c r="C41" i="7"/>
  <c r="B41" i="7"/>
  <c r="U40" i="7"/>
  <c r="T40" i="7"/>
  <c r="S40" i="7"/>
  <c r="R40" i="7"/>
  <c r="Q40" i="7"/>
  <c r="P40" i="7"/>
  <c r="O40" i="7"/>
  <c r="N40" i="7"/>
  <c r="M40" i="7"/>
  <c r="L40" i="7"/>
  <c r="K40" i="7"/>
  <c r="J40" i="7"/>
  <c r="I40" i="7"/>
  <c r="H40" i="7"/>
  <c r="G40" i="7"/>
  <c r="F40" i="7"/>
  <c r="E40" i="7"/>
  <c r="D40" i="7"/>
  <c r="C40" i="7"/>
  <c r="B40" i="7"/>
  <c r="U39" i="7"/>
  <c r="T39" i="7"/>
  <c r="S39" i="7"/>
  <c r="R39" i="7"/>
  <c r="Q39" i="7"/>
  <c r="P39" i="7"/>
  <c r="O39" i="7"/>
  <c r="N39" i="7"/>
  <c r="M39" i="7"/>
  <c r="L39" i="7"/>
  <c r="K39" i="7"/>
  <c r="J39" i="7"/>
  <c r="I39" i="7"/>
  <c r="H39" i="7"/>
  <c r="G39" i="7"/>
  <c r="F39" i="7"/>
  <c r="E39" i="7"/>
  <c r="D39" i="7"/>
  <c r="C39" i="7"/>
  <c r="B39" i="7"/>
  <c r="U38" i="7"/>
  <c r="T38" i="7"/>
  <c r="S38" i="7"/>
  <c r="R38" i="7"/>
  <c r="Q38" i="7"/>
  <c r="P38" i="7"/>
  <c r="O38" i="7"/>
  <c r="N38" i="7"/>
  <c r="M38" i="7"/>
  <c r="L38" i="7"/>
  <c r="K38" i="7"/>
  <c r="J38" i="7"/>
  <c r="I38" i="7"/>
  <c r="H38" i="7"/>
  <c r="G38" i="7"/>
  <c r="F38" i="7"/>
  <c r="E38" i="7"/>
  <c r="D38" i="7"/>
  <c r="C38" i="7"/>
  <c r="B38" i="7"/>
  <c r="U37" i="7"/>
  <c r="T37" i="7"/>
  <c r="S37" i="7"/>
  <c r="R37" i="7"/>
  <c r="Q37" i="7"/>
  <c r="P37" i="7"/>
  <c r="O37" i="7"/>
  <c r="N37" i="7"/>
  <c r="M37" i="7"/>
  <c r="L37" i="7"/>
  <c r="K37" i="7"/>
  <c r="J37" i="7"/>
  <c r="I37" i="7"/>
  <c r="H37" i="7"/>
  <c r="G37" i="7"/>
  <c r="F37" i="7"/>
  <c r="E37" i="7"/>
  <c r="D37" i="7"/>
  <c r="C37" i="7"/>
  <c r="B37" i="7"/>
  <c r="U36" i="7"/>
  <c r="T36" i="7"/>
  <c r="S36" i="7"/>
  <c r="R36" i="7"/>
  <c r="Q36" i="7"/>
  <c r="P36" i="7"/>
  <c r="O36" i="7"/>
  <c r="N36" i="7"/>
  <c r="M36" i="7"/>
  <c r="L36" i="7"/>
  <c r="K36" i="7"/>
  <c r="J36" i="7"/>
  <c r="I36" i="7"/>
  <c r="H36" i="7"/>
  <c r="G36" i="7"/>
  <c r="F36" i="7"/>
  <c r="E36" i="7"/>
  <c r="D36" i="7"/>
  <c r="C36" i="7"/>
  <c r="B36" i="7"/>
  <c r="U35" i="7"/>
  <c r="T35" i="7"/>
  <c r="S35" i="7"/>
  <c r="R35" i="7"/>
  <c r="Q35" i="7"/>
  <c r="P35" i="7"/>
  <c r="O35" i="7"/>
  <c r="N35" i="7"/>
  <c r="M35" i="7"/>
  <c r="L35" i="7"/>
  <c r="K35" i="7"/>
  <c r="J35" i="7"/>
  <c r="I35" i="7"/>
  <c r="H35" i="7"/>
  <c r="G35" i="7"/>
  <c r="F35" i="7"/>
  <c r="E35" i="7"/>
  <c r="D35" i="7"/>
  <c r="C35" i="7"/>
  <c r="B35" i="7"/>
  <c r="U34" i="7"/>
  <c r="T34" i="7"/>
  <c r="S34" i="7"/>
  <c r="R34" i="7"/>
  <c r="Q34" i="7"/>
  <c r="P34" i="7"/>
  <c r="O34" i="7"/>
  <c r="N34" i="7"/>
  <c r="M34" i="7"/>
  <c r="L34" i="7"/>
  <c r="K34" i="7"/>
  <c r="J34" i="7"/>
  <c r="I34" i="7"/>
  <c r="H34" i="7"/>
  <c r="G34" i="7"/>
  <c r="F34" i="7"/>
  <c r="E34" i="7"/>
  <c r="D34" i="7"/>
  <c r="C34" i="7"/>
  <c r="B34" i="7"/>
  <c r="U33" i="7"/>
  <c r="T33" i="7"/>
  <c r="S33" i="7"/>
  <c r="R33" i="7"/>
  <c r="Q33" i="7"/>
  <c r="P33" i="7"/>
  <c r="O33" i="7"/>
  <c r="N33" i="7"/>
  <c r="M33" i="7"/>
  <c r="L33" i="7"/>
  <c r="K33" i="7"/>
  <c r="J33" i="7"/>
  <c r="I33" i="7"/>
  <c r="H33" i="7"/>
  <c r="G33" i="7"/>
  <c r="F33" i="7"/>
  <c r="E33" i="7"/>
  <c r="D33" i="7"/>
  <c r="C33" i="7"/>
  <c r="B33" i="7"/>
  <c r="U32" i="7"/>
  <c r="T32" i="7"/>
  <c r="S32" i="7"/>
  <c r="R32" i="7"/>
  <c r="Q32" i="7"/>
  <c r="P32" i="7"/>
  <c r="O32" i="7"/>
  <c r="N32" i="7"/>
  <c r="M32" i="7"/>
  <c r="L32" i="7"/>
  <c r="K32" i="7"/>
  <c r="J32" i="7"/>
  <c r="I32" i="7"/>
  <c r="H32" i="7"/>
  <c r="G32" i="7"/>
  <c r="F32" i="7"/>
  <c r="E32" i="7"/>
  <c r="D32" i="7"/>
  <c r="C32" i="7"/>
  <c r="B32" i="7"/>
  <c r="U46" i="6"/>
  <c r="T46" i="6"/>
  <c r="S46" i="6"/>
  <c r="R46" i="6"/>
  <c r="Q46" i="6"/>
  <c r="P46" i="6"/>
  <c r="O46" i="6"/>
  <c r="N46" i="6"/>
  <c r="M46" i="6"/>
  <c r="L46" i="6"/>
  <c r="K46" i="6"/>
  <c r="J46" i="6"/>
  <c r="I46" i="6"/>
  <c r="H46" i="6"/>
  <c r="G46" i="6"/>
  <c r="F46" i="6"/>
  <c r="E46" i="6"/>
  <c r="D46" i="6"/>
  <c r="C46" i="6"/>
  <c r="B46" i="6"/>
  <c r="U45" i="6"/>
  <c r="T45" i="6"/>
  <c r="S45" i="6"/>
  <c r="R45" i="6"/>
  <c r="Q45" i="6"/>
  <c r="P45" i="6"/>
  <c r="O45" i="6"/>
  <c r="N45" i="6"/>
  <c r="M45" i="6"/>
  <c r="L45" i="6"/>
  <c r="K45" i="6"/>
  <c r="J45" i="6"/>
  <c r="I45" i="6"/>
  <c r="H45" i="6"/>
  <c r="G45" i="6"/>
  <c r="F45" i="6"/>
  <c r="E45" i="6"/>
  <c r="D45" i="6"/>
  <c r="C45" i="6"/>
  <c r="B45" i="6"/>
  <c r="U44" i="6"/>
  <c r="T44" i="6"/>
  <c r="S44" i="6"/>
  <c r="R44" i="6"/>
  <c r="Q44" i="6"/>
  <c r="P44" i="6"/>
  <c r="O44" i="6"/>
  <c r="N44" i="6"/>
  <c r="M44" i="6"/>
  <c r="L44" i="6"/>
  <c r="K44" i="6"/>
  <c r="J44" i="6"/>
  <c r="I44" i="6"/>
  <c r="H44" i="6"/>
  <c r="G44" i="6"/>
  <c r="F44" i="6"/>
  <c r="E44" i="6"/>
  <c r="D44" i="6"/>
  <c r="C44" i="6"/>
  <c r="B44" i="6"/>
  <c r="U43" i="6"/>
  <c r="T43" i="6"/>
  <c r="S43" i="6"/>
  <c r="R43" i="6"/>
  <c r="Q43" i="6"/>
  <c r="P43" i="6"/>
  <c r="O43" i="6"/>
  <c r="N43" i="6"/>
  <c r="M43" i="6"/>
  <c r="L43" i="6"/>
  <c r="K43" i="6"/>
  <c r="J43" i="6"/>
  <c r="I43" i="6"/>
  <c r="H43" i="6"/>
  <c r="G43" i="6"/>
  <c r="F43" i="6"/>
  <c r="E43" i="6"/>
  <c r="D43" i="6"/>
  <c r="C43" i="6"/>
  <c r="B43" i="6"/>
  <c r="U42" i="6"/>
  <c r="T42" i="6"/>
  <c r="S42" i="6"/>
  <c r="R42" i="6"/>
  <c r="Q42" i="6"/>
  <c r="P42" i="6"/>
  <c r="O42" i="6"/>
  <c r="N42" i="6"/>
  <c r="M42" i="6"/>
  <c r="L42" i="6"/>
  <c r="K42" i="6"/>
  <c r="J42" i="6"/>
  <c r="I42" i="6"/>
  <c r="H42" i="6"/>
  <c r="G42" i="6"/>
  <c r="F42" i="6"/>
  <c r="E42" i="6"/>
  <c r="D42" i="6"/>
  <c r="C42" i="6"/>
  <c r="B42" i="6"/>
  <c r="U41" i="6"/>
  <c r="T41" i="6"/>
  <c r="S41" i="6"/>
  <c r="R41" i="6"/>
  <c r="Q41" i="6"/>
  <c r="P41" i="6"/>
  <c r="O41" i="6"/>
  <c r="N41" i="6"/>
  <c r="M41" i="6"/>
  <c r="L41" i="6"/>
  <c r="K41" i="6"/>
  <c r="J41" i="6"/>
  <c r="I41" i="6"/>
  <c r="H41" i="6"/>
  <c r="G41" i="6"/>
  <c r="F41" i="6"/>
  <c r="E41" i="6"/>
  <c r="D41" i="6"/>
  <c r="C41" i="6"/>
  <c r="B41" i="6"/>
  <c r="U40" i="6"/>
  <c r="T40" i="6"/>
  <c r="S40" i="6"/>
  <c r="R40" i="6"/>
  <c r="Q40" i="6"/>
  <c r="P40" i="6"/>
  <c r="O40" i="6"/>
  <c r="N40" i="6"/>
  <c r="M40" i="6"/>
  <c r="L40" i="6"/>
  <c r="K40" i="6"/>
  <c r="J40" i="6"/>
  <c r="I40" i="6"/>
  <c r="H40" i="6"/>
  <c r="G40" i="6"/>
  <c r="F40" i="6"/>
  <c r="E40" i="6"/>
  <c r="D40" i="6"/>
  <c r="C40" i="6"/>
  <c r="B40" i="6"/>
  <c r="U39" i="6"/>
  <c r="T39" i="6"/>
  <c r="S39" i="6"/>
  <c r="R39" i="6"/>
  <c r="Q39" i="6"/>
  <c r="P39" i="6"/>
  <c r="O39" i="6"/>
  <c r="N39" i="6"/>
  <c r="M39" i="6"/>
  <c r="L39" i="6"/>
  <c r="K39" i="6"/>
  <c r="J39" i="6"/>
  <c r="I39" i="6"/>
  <c r="H39" i="6"/>
  <c r="G39" i="6"/>
  <c r="F39" i="6"/>
  <c r="E39" i="6"/>
  <c r="D39" i="6"/>
  <c r="C39" i="6"/>
  <c r="B39" i="6"/>
  <c r="U38" i="6"/>
  <c r="T38" i="6"/>
  <c r="S38" i="6"/>
  <c r="R38" i="6"/>
  <c r="Q38" i="6"/>
  <c r="P38" i="6"/>
  <c r="O38" i="6"/>
  <c r="N38" i="6"/>
  <c r="M38" i="6"/>
  <c r="L38" i="6"/>
  <c r="K38" i="6"/>
  <c r="J38" i="6"/>
  <c r="I38" i="6"/>
  <c r="H38" i="6"/>
  <c r="G38" i="6"/>
  <c r="F38" i="6"/>
  <c r="E38" i="6"/>
  <c r="D38" i="6"/>
  <c r="C38" i="6"/>
  <c r="B38" i="6"/>
  <c r="U37" i="6"/>
  <c r="T37" i="6"/>
  <c r="S37" i="6"/>
  <c r="R37" i="6"/>
  <c r="Q37" i="6"/>
  <c r="P37" i="6"/>
  <c r="O37" i="6"/>
  <c r="N37" i="6"/>
  <c r="M37" i="6"/>
  <c r="L37" i="6"/>
  <c r="K37" i="6"/>
  <c r="J37" i="6"/>
  <c r="I37" i="6"/>
  <c r="H37" i="6"/>
  <c r="G37" i="6"/>
  <c r="F37" i="6"/>
  <c r="E37" i="6"/>
  <c r="D37" i="6"/>
  <c r="C37" i="6"/>
  <c r="B37" i="6"/>
  <c r="U36" i="6"/>
  <c r="T36" i="6"/>
  <c r="S36" i="6"/>
  <c r="R36" i="6"/>
  <c r="Q36" i="6"/>
  <c r="P36" i="6"/>
  <c r="O36" i="6"/>
  <c r="N36" i="6"/>
  <c r="M36" i="6"/>
  <c r="L36" i="6"/>
  <c r="K36" i="6"/>
  <c r="J36" i="6"/>
  <c r="I36" i="6"/>
  <c r="H36" i="6"/>
  <c r="G36" i="6"/>
  <c r="F36" i="6"/>
  <c r="E36" i="6"/>
  <c r="D36" i="6"/>
  <c r="C36" i="6"/>
  <c r="B36" i="6"/>
  <c r="U35" i="6"/>
  <c r="T35" i="6"/>
  <c r="S35" i="6"/>
  <c r="R35" i="6"/>
  <c r="Q35" i="6"/>
  <c r="P35" i="6"/>
  <c r="O35" i="6"/>
  <c r="N35" i="6"/>
  <c r="M35" i="6"/>
  <c r="L35" i="6"/>
  <c r="K35" i="6"/>
  <c r="J35" i="6"/>
  <c r="I35" i="6"/>
  <c r="H35" i="6"/>
  <c r="G35" i="6"/>
  <c r="F35" i="6"/>
  <c r="E35" i="6"/>
  <c r="D35" i="6"/>
  <c r="C35" i="6"/>
  <c r="B35" i="6"/>
  <c r="U34" i="6"/>
  <c r="T34" i="6"/>
  <c r="S34" i="6"/>
  <c r="R34" i="6"/>
  <c r="Q34" i="6"/>
  <c r="P34" i="6"/>
  <c r="O34" i="6"/>
  <c r="N34" i="6"/>
  <c r="M34" i="6"/>
  <c r="L34" i="6"/>
  <c r="K34" i="6"/>
  <c r="J34" i="6"/>
  <c r="I34" i="6"/>
  <c r="H34" i="6"/>
  <c r="G34" i="6"/>
  <c r="F34" i="6"/>
  <c r="E34" i="6"/>
  <c r="D34" i="6"/>
  <c r="C34" i="6"/>
  <c r="B34" i="6"/>
  <c r="U33" i="6"/>
  <c r="T33" i="6"/>
  <c r="S33" i="6"/>
  <c r="R33" i="6"/>
  <c r="Q33" i="6"/>
  <c r="P33" i="6"/>
  <c r="O33" i="6"/>
  <c r="N33" i="6"/>
  <c r="M33" i="6"/>
  <c r="L33" i="6"/>
  <c r="K33" i="6"/>
  <c r="J33" i="6"/>
  <c r="I33" i="6"/>
  <c r="H33" i="6"/>
  <c r="G33" i="6"/>
  <c r="F33" i="6"/>
  <c r="E33" i="6"/>
  <c r="D33" i="6"/>
  <c r="C33" i="6"/>
  <c r="B33" i="6"/>
  <c r="U32" i="6"/>
  <c r="T32" i="6"/>
  <c r="S32" i="6"/>
  <c r="R32" i="6"/>
  <c r="Q32" i="6"/>
  <c r="P32" i="6"/>
  <c r="O32" i="6"/>
  <c r="N32" i="6"/>
  <c r="M32" i="6"/>
  <c r="L32" i="6"/>
  <c r="K32" i="6"/>
  <c r="J32" i="6"/>
  <c r="I32" i="6"/>
  <c r="H32" i="6"/>
  <c r="G32" i="6"/>
  <c r="F32" i="6"/>
  <c r="E32" i="6"/>
  <c r="D32" i="6"/>
  <c r="C32" i="6"/>
  <c r="B32" i="6"/>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Z16" i="5"/>
  <c r="Y16" i="5"/>
  <c r="X16" i="5"/>
  <c r="W16" i="5"/>
  <c r="V16" i="5"/>
  <c r="U16" i="5"/>
  <c r="T16" i="5"/>
  <c r="S16" i="5"/>
  <c r="R16" i="5"/>
  <c r="Q16" i="5"/>
  <c r="P16" i="5"/>
  <c r="O16" i="5"/>
  <c r="N16" i="5"/>
  <c r="M16" i="5"/>
  <c r="L16" i="5"/>
  <c r="K16" i="5"/>
  <c r="J16" i="5"/>
  <c r="I16" i="5"/>
  <c r="H16" i="5"/>
  <c r="G16" i="5"/>
  <c r="D16" i="5"/>
  <c r="Z15" i="5"/>
  <c r="Y15" i="5"/>
  <c r="X15" i="5"/>
  <c r="W15" i="5"/>
  <c r="V15" i="5"/>
  <c r="U15" i="5"/>
  <c r="T15" i="5"/>
  <c r="S15" i="5"/>
  <c r="R15" i="5"/>
  <c r="Q15" i="5"/>
  <c r="P15" i="5"/>
  <c r="O15" i="5"/>
  <c r="N15" i="5"/>
  <c r="M15" i="5"/>
  <c r="L15" i="5"/>
  <c r="K15" i="5"/>
  <c r="J15" i="5"/>
  <c r="I15" i="5"/>
  <c r="H15" i="5"/>
  <c r="G15" i="5"/>
  <c r="D15" i="5"/>
  <c r="Z14" i="5"/>
  <c r="Y14" i="5"/>
  <c r="X14" i="5"/>
  <c r="W14" i="5"/>
  <c r="V14" i="5"/>
  <c r="U14" i="5"/>
  <c r="T14" i="5"/>
  <c r="S14" i="5"/>
  <c r="R14" i="5"/>
  <c r="Q14" i="5"/>
  <c r="P14" i="5"/>
  <c r="O14" i="5"/>
  <c r="N14" i="5"/>
  <c r="M14" i="5"/>
  <c r="L14" i="5"/>
  <c r="K14" i="5"/>
  <c r="J14" i="5"/>
  <c r="I14" i="5"/>
  <c r="H14" i="5"/>
  <c r="G14" i="5"/>
  <c r="D14" i="5"/>
  <c r="Z13" i="5"/>
  <c r="Y13" i="5"/>
  <c r="X13" i="5"/>
  <c r="W13" i="5"/>
  <c r="V13" i="5"/>
  <c r="U13" i="5"/>
  <c r="T13" i="5"/>
  <c r="S13" i="5"/>
  <c r="R13" i="5"/>
  <c r="Q13" i="5"/>
  <c r="P13" i="5"/>
  <c r="O13" i="5"/>
  <c r="N13" i="5"/>
  <c r="M13" i="5"/>
  <c r="L13" i="5"/>
  <c r="K13" i="5"/>
  <c r="J13" i="5"/>
  <c r="I13" i="5"/>
  <c r="H13" i="5"/>
  <c r="G13" i="5"/>
  <c r="D13" i="5"/>
  <c r="Z12" i="5"/>
  <c r="Y12" i="5"/>
  <c r="X12" i="5"/>
  <c r="W12" i="5"/>
  <c r="V12" i="5"/>
  <c r="U12" i="5"/>
  <c r="T12" i="5"/>
  <c r="S12" i="5"/>
  <c r="R12" i="5"/>
  <c r="Q12" i="5"/>
  <c r="P12" i="5"/>
  <c r="O12" i="5"/>
  <c r="N12" i="5"/>
  <c r="M12" i="5"/>
  <c r="L12" i="5"/>
  <c r="K12" i="5"/>
  <c r="J12" i="5"/>
  <c r="I12" i="5"/>
  <c r="H12" i="5"/>
  <c r="G12" i="5"/>
  <c r="D12" i="5"/>
  <c r="Z11" i="5"/>
  <c r="Y11" i="5"/>
  <c r="X11" i="5"/>
  <c r="W11" i="5"/>
  <c r="V11" i="5"/>
  <c r="U11" i="5"/>
  <c r="T11" i="5"/>
  <c r="S11" i="5"/>
  <c r="R11" i="5"/>
  <c r="Q11" i="5"/>
  <c r="P11" i="5"/>
  <c r="O11" i="5"/>
  <c r="N11" i="5"/>
  <c r="M11" i="5"/>
  <c r="L11" i="5"/>
  <c r="K11" i="5"/>
  <c r="J11" i="5"/>
  <c r="I11" i="5"/>
  <c r="H11" i="5"/>
  <c r="G11" i="5"/>
  <c r="D11" i="5"/>
  <c r="Z10" i="5"/>
  <c r="Y10" i="5"/>
  <c r="X10" i="5"/>
  <c r="W10" i="5"/>
  <c r="V10" i="5"/>
  <c r="U10" i="5"/>
  <c r="T10" i="5"/>
  <c r="S10" i="5"/>
  <c r="R10" i="5"/>
  <c r="Q10" i="5"/>
  <c r="P10" i="5"/>
  <c r="O10" i="5"/>
  <c r="N10" i="5"/>
  <c r="M10" i="5"/>
  <c r="L10" i="5"/>
  <c r="K10" i="5"/>
  <c r="J10" i="5"/>
  <c r="I10" i="5"/>
  <c r="H10" i="5"/>
  <c r="G10" i="5"/>
  <c r="D10" i="5"/>
  <c r="Z9" i="5"/>
  <c r="Y9" i="5"/>
  <c r="X9" i="5"/>
  <c r="W9" i="5"/>
  <c r="V9" i="5"/>
  <c r="U9" i="5"/>
  <c r="T9" i="5"/>
  <c r="S9" i="5"/>
  <c r="R9" i="5"/>
  <c r="Q9" i="5"/>
  <c r="P9" i="5"/>
  <c r="O9" i="5"/>
  <c r="N9" i="5"/>
  <c r="M9" i="5"/>
  <c r="L9" i="5"/>
  <c r="K9" i="5"/>
  <c r="J9" i="5"/>
  <c r="I9" i="5"/>
  <c r="H9" i="5"/>
  <c r="G9" i="5"/>
  <c r="D9" i="5"/>
  <c r="Z8" i="5"/>
  <c r="Y8" i="5"/>
  <c r="X8" i="5"/>
  <c r="W8" i="5"/>
  <c r="V8" i="5"/>
  <c r="U8" i="5"/>
  <c r="T8" i="5"/>
  <c r="S8" i="5"/>
  <c r="R8" i="5"/>
  <c r="Q8" i="5"/>
  <c r="P8" i="5"/>
  <c r="O8" i="5"/>
  <c r="N8" i="5"/>
  <c r="M8" i="5"/>
  <c r="L8" i="5"/>
  <c r="K8" i="5"/>
  <c r="J8" i="5"/>
  <c r="I8" i="5"/>
  <c r="H8" i="5"/>
  <c r="G8" i="5"/>
  <c r="D8" i="5"/>
  <c r="Z7" i="5"/>
  <c r="Y7" i="5"/>
  <c r="X7" i="5"/>
  <c r="W7" i="5"/>
  <c r="V7" i="5"/>
  <c r="U7" i="5"/>
  <c r="T7" i="5"/>
  <c r="S7" i="5"/>
  <c r="R7" i="5"/>
  <c r="Q7" i="5"/>
  <c r="P7" i="5"/>
  <c r="O7" i="5"/>
  <c r="N7" i="5"/>
  <c r="M7" i="5"/>
  <c r="L7" i="5"/>
  <c r="K7" i="5"/>
  <c r="J7" i="5"/>
  <c r="I7" i="5"/>
  <c r="H7" i="5"/>
  <c r="G7" i="5"/>
  <c r="D7" i="5"/>
  <c r="Z6" i="5"/>
  <c r="Y6" i="5"/>
  <c r="X6" i="5"/>
  <c r="W6" i="5"/>
  <c r="V6" i="5"/>
  <c r="U6" i="5"/>
  <c r="T6" i="5"/>
  <c r="S6" i="5"/>
  <c r="R6" i="5"/>
  <c r="Q6" i="5"/>
  <c r="P6" i="5"/>
  <c r="O6" i="5"/>
  <c r="N6" i="5"/>
  <c r="M6" i="5"/>
  <c r="L6" i="5"/>
  <c r="K6" i="5"/>
  <c r="J6" i="5"/>
  <c r="I6" i="5"/>
  <c r="H6" i="5"/>
  <c r="G6" i="5"/>
  <c r="D6" i="5"/>
  <c r="Z5" i="5"/>
  <c r="Y5" i="5"/>
  <c r="X5" i="5"/>
  <c r="W5" i="5"/>
  <c r="V5" i="5"/>
  <c r="U5" i="5"/>
  <c r="T5" i="5"/>
  <c r="S5" i="5"/>
  <c r="R5" i="5"/>
  <c r="Q5" i="5"/>
  <c r="P5" i="5"/>
  <c r="O5" i="5"/>
  <c r="N5" i="5"/>
  <c r="M5" i="5"/>
  <c r="L5" i="5"/>
  <c r="K5" i="5"/>
  <c r="J5" i="5"/>
  <c r="I5" i="5"/>
  <c r="H5" i="5"/>
  <c r="G5" i="5"/>
  <c r="D5" i="5"/>
  <c r="Z4" i="5"/>
  <c r="Y4" i="5"/>
  <c r="X4" i="5"/>
  <c r="W4" i="5"/>
  <c r="V4" i="5"/>
  <c r="U4" i="5"/>
  <c r="T4" i="5"/>
  <c r="S4" i="5"/>
  <c r="R4" i="5"/>
  <c r="Q4" i="5"/>
  <c r="P4" i="5"/>
  <c r="O4" i="5"/>
  <c r="N4" i="5"/>
  <c r="M4" i="5"/>
  <c r="L4" i="5"/>
  <c r="K4" i="5"/>
  <c r="J4" i="5"/>
  <c r="I4" i="5"/>
  <c r="H4" i="5"/>
  <c r="G4" i="5"/>
  <c r="D4" i="5"/>
  <c r="Z3" i="5"/>
  <c r="Y3" i="5"/>
  <c r="X3" i="5"/>
  <c r="W3" i="5"/>
  <c r="V3" i="5"/>
  <c r="U3" i="5"/>
  <c r="T3" i="5"/>
  <c r="S3" i="5"/>
  <c r="R3" i="5"/>
  <c r="Q3" i="5"/>
  <c r="P3" i="5"/>
  <c r="O3" i="5"/>
  <c r="N3" i="5"/>
  <c r="M3" i="5"/>
  <c r="L3" i="5"/>
  <c r="K3" i="5"/>
  <c r="J3" i="5"/>
  <c r="I3" i="5"/>
  <c r="H3" i="5"/>
  <c r="G3" i="5"/>
  <c r="D3" i="5"/>
  <c r="Z2" i="5"/>
  <c r="Y2" i="5"/>
  <c r="X2" i="5"/>
  <c r="W2" i="5"/>
  <c r="V2" i="5"/>
  <c r="U2" i="5"/>
  <c r="T2" i="5"/>
  <c r="S2" i="5"/>
  <c r="R2" i="5"/>
  <c r="Q2" i="5"/>
  <c r="P2" i="5"/>
  <c r="O2" i="5"/>
  <c r="N2" i="5"/>
  <c r="M2" i="5"/>
  <c r="L2" i="5"/>
  <c r="K2" i="5"/>
  <c r="J2" i="5"/>
  <c r="I2" i="5"/>
  <c r="H2" i="5"/>
  <c r="G2" i="5"/>
  <c r="D2" i="5"/>
  <c r="G85" i="2"/>
  <c r="E85" i="2"/>
  <c r="I84" i="2"/>
  <c r="G84" i="2"/>
  <c r="C84" i="2"/>
  <c r="G82" i="2"/>
  <c r="E82" i="2"/>
  <c r="G81" i="2"/>
  <c r="G80" i="2"/>
  <c r="E80" i="2"/>
  <c r="C80" i="2"/>
  <c r="I79" i="2"/>
  <c r="E79" i="2"/>
  <c r="C79" i="2"/>
  <c r="I78" i="2"/>
  <c r="G78" i="2"/>
  <c r="G77" i="2"/>
  <c r="E77" i="2"/>
  <c r="I76" i="2"/>
  <c r="C76" i="2"/>
  <c r="I74" i="2"/>
  <c r="G74" i="2"/>
  <c r="C74" i="2"/>
  <c r="I73" i="2"/>
  <c r="C73" i="2"/>
  <c r="I72" i="2"/>
  <c r="C72" i="2"/>
  <c r="I71" i="2"/>
  <c r="G71" i="2"/>
  <c r="C70" i="2"/>
  <c r="I69" i="2"/>
  <c r="G69" i="2"/>
  <c r="E69" i="2"/>
  <c r="I68" i="2"/>
  <c r="G68" i="2"/>
  <c r="C68" i="2"/>
  <c r="I65" i="2"/>
  <c r="G65" i="2"/>
  <c r="C65" i="2"/>
  <c r="I63" i="2"/>
  <c r="E63" i="2"/>
  <c r="G62" i="2"/>
  <c r="E62" i="2"/>
  <c r="G61" i="2"/>
  <c r="C61" i="2"/>
  <c r="G60" i="2"/>
  <c r="E60" i="2"/>
  <c r="I59" i="2"/>
  <c r="C59" i="2"/>
  <c r="G58" i="2"/>
  <c r="I56" i="2"/>
  <c r="G56" i="2"/>
  <c r="E56" i="2"/>
  <c r="I55" i="2"/>
  <c r="G55" i="2"/>
  <c r="I52" i="2"/>
  <c r="C52" i="2"/>
  <c r="G51" i="2"/>
  <c r="C51" i="2"/>
  <c r="I49" i="2"/>
  <c r="G49" i="2"/>
  <c r="E49" i="2"/>
  <c r="I48" i="2"/>
  <c r="C48" i="2"/>
  <c r="I46" i="2"/>
  <c r="G46" i="2"/>
  <c r="E46" i="2"/>
  <c r="I45" i="2"/>
  <c r="G45" i="2"/>
  <c r="C45" i="2"/>
  <c r="I43" i="2"/>
  <c r="C43" i="2"/>
  <c r="I41" i="2"/>
  <c r="G41" i="2"/>
  <c r="C41" i="2"/>
  <c r="I39" i="2"/>
  <c r="C39" i="2"/>
  <c r="I38" i="2"/>
  <c r="G38" i="2"/>
  <c r="I36" i="2"/>
  <c r="I35" i="2"/>
  <c r="G35" i="2"/>
  <c r="C33" i="2"/>
  <c r="I32" i="2"/>
  <c r="G32" i="2"/>
  <c r="C32" i="2"/>
  <c r="G30" i="2"/>
  <c r="E30" i="2"/>
  <c r="G29" i="2"/>
  <c r="E29" i="2"/>
  <c r="I28" i="2"/>
  <c r="G28" i="2"/>
  <c r="C28" i="2"/>
  <c r="C27" i="2"/>
  <c r="G26" i="2"/>
  <c r="E26" i="2"/>
  <c r="I25" i="2"/>
  <c r="C25" i="2"/>
  <c r="C24" i="2"/>
  <c r="G23" i="2"/>
  <c r="E23" i="2"/>
  <c r="I22" i="2"/>
  <c r="C22" i="2"/>
  <c r="C21" i="2"/>
  <c r="E19" i="2"/>
  <c r="G48" i="2" s="1"/>
  <c r="C19" i="2"/>
  <c r="E52" i="2" s="1"/>
  <c r="G18" i="2"/>
  <c r="E18" i="2"/>
  <c r="E71" i="2" s="1"/>
  <c r="C18" i="2"/>
  <c r="G76" i="2" s="1"/>
  <c r="E17" i="2"/>
  <c r="E84" i="2" s="1"/>
  <c r="C17" i="2"/>
  <c r="I16" i="2"/>
  <c r="E16" i="2"/>
  <c r="C71" i="2" s="1"/>
  <c r="C16" i="2"/>
  <c r="C38" i="2" s="1"/>
  <c r="G15" i="2"/>
  <c r="E15" i="2"/>
  <c r="E74" i="2" s="1"/>
  <c r="C15" i="2"/>
  <c r="I85" i="2" s="1"/>
  <c r="E14" i="2"/>
  <c r="E68" i="2" s="1"/>
  <c r="C14" i="2"/>
  <c r="I13" i="2"/>
  <c r="E13" i="2"/>
  <c r="I47" i="2" s="1"/>
  <c r="C13" i="2"/>
  <c r="C35" i="2" s="1"/>
  <c r="G12" i="2"/>
  <c r="E12" i="2"/>
  <c r="E28" i="2" s="1"/>
  <c r="C12" i="2"/>
  <c r="E43" i="2" s="1"/>
  <c r="E11" i="2"/>
  <c r="E55" i="2" s="1"/>
  <c r="C11" i="2"/>
  <c r="C78" i="2" s="1"/>
  <c r="I10" i="2"/>
  <c r="E10" i="2"/>
  <c r="C44" i="2" s="1"/>
  <c r="C10" i="2"/>
  <c r="I21" i="2" s="1"/>
  <c r="L35" i="1" l="1"/>
  <c r="Q35" i="1" s="1"/>
  <c r="V35" i="1" s="1"/>
  <c r="AA35" i="1" s="1"/>
  <c r="AF35" i="1" s="1"/>
  <c r="AK35" i="1" s="1"/>
  <c r="AP35" i="1" s="1"/>
  <c r="AU35" i="1" s="1"/>
  <c r="AZ35" i="1" s="1"/>
  <c r="BE35" i="1" s="1"/>
  <c r="BJ35" i="1" s="1"/>
  <c r="BO35" i="1" s="1"/>
  <c r="BT35" i="1" s="1"/>
  <c r="BY35" i="1" s="1"/>
  <c r="CD35" i="1" s="1"/>
  <c r="CI35" i="1" s="1"/>
  <c r="CN35" i="1" s="1"/>
  <c r="CS35" i="1" s="1"/>
  <c r="CX35" i="1" s="1"/>
  <c r="L44" i="1"/>
  <c r="Q44" i="1" s="1"/>
  <c r="V44" i="1" s="1"/>
  <c r="AA44" i="1" s="1"/>
  <c r="AF44" i="1" s="1"/>
  <c r="AK44" i="1" s="1"/>
  <c r="AP44" i="1" s="1"/>
  <c r="AU44" i="1" s="1"/>
  <c r="AZ44" i="1" s="1"/>
  <c r="BE44" i="1" s="1"/>
  <c r="BJ44" i="1" s="1"/>
  <c r="BO44" i="1" s="1"/>
  <c r="BT44" i="1" s="1"/>
  <c r="BY44" i="1" s="1"/>
  <c r="CD44" i="1" s="1"/>
  <c r="CI44" i="1" s="1"/>
  <c r="CN44" i="1" s="1"/>
  <c r="CS44" i="1" s="1"/>
  <c r="CX44" i="1" s="1"/>
  <c r="N30" i="3"/>
  <c r="F22" i="3"/>
  <c r="L12" i="3"/>
  <c r="J26" i="3"/>
  <c r="C64" i="4"/>
  <c r="C40" i="4"/>
  <c r="N4" i="3"/>
  <c r="J4" i="3"/>
  <c r="H4" i="3"/>
  <c r="F4" i="3"/>
  <c r="C50" i="4"/>
  <c r="C26" i="4"/>
  <c r="C48" i="4"/>
  <c r="C42" i="4"/>
  <c r="L4" i="3"/>
  <c r="D4" i="3"/>
  <c r="N18" i="3"/>
  <c r="N22" i="3"/>
  <c r="N8" i="3"/>
  <c r="J8" i="3"/>
  <c r="H8" i="3"/>
  <c r="F8" i="3"/>
  <c r="L8" i="3"/>
  <c r="D8" i="3"/>
  <c r="D26" i="3"/>
  <c r="D28" i="3"/>
  <c r="L28" i="3"/>
  <c r="J10" i="3"/>
  <c r="D10" i="3"/>
  <c r="L10" i="3"/>
  <c r="H10" i="3"/>
  <c r="N10" i="3"/>
  <c r="F10" i="3"/>
  <c r="D6" i="3"/>
  <c r="N6" i="3"/>
  <c r="L6" i="3"/>
  <c r="J6" i="3"/>
  <c r="F6" i="3"/>
  <c r="H6" i="3"/>
  <c r="J22" i="3"/>
  <c r="G13" i="2"/>
  <c r="I60" i="2"/>
  <c r="I17" i="2"/>
  <c r="G83" i="2"/>
  <c r="G50" i="2"/>
  <c r="G34" i="2"/>
  <c r="G27" i="2"/>
  <c r="E83" i="2"/>
  <c r="E50" i="2"/>
  <c r="E34" i="2"/>
  <c r="E27" i="2"/>
  <c r="G22" i="2"/>
  <c r="C36" i="2"/>
  <c r="C40" i="2"/>
  <c r="C46" i="2"/>
  <c r="C50" i="2"/>
  <c r="C56" i="2"/>
  <c r="C60" i="2"/>
  <c r="C69" i="2"/>
  <c r="I81" i="2"/>
  <c r="N26" i="3"/>
  <c r="N20" i="3"/>
  <c r="J20" i="3"/>
  <c r="H20" i="3"/>
  <c r="F20" i="3"/>
  <c r="L26" i="3"/>
  <c r="H22" i="3"/>
  <c r="I83" i="2"/>
  <c r="I57" i="2"/>
  <c r="I37" i="2"/>
  <c r="I14" i="2"/>
  <c r="G67" i="2"/>
  <c r="G47" i="2"/>
  <c r="G24" i="2"/>
  <c r="E67" i="2"/>
  <c r="E47" i="2"/>
  <c r="E24" i="2"/>
  <c r="C23" i="2"/>
  <c r="G36" i="2"/>
  <c r="L16" i="3"/>
  <c r="L22" i="3"/>
  <c r="E25" i="2"/>
  <c r="G57" i="2"/>
  <c r="E57" i="2"/>
  <c r="C37" i="2"/>
  <c r="C66" i="2"/>
  <c r="I82" i="2"/>
  <c r="F18" i="3"/>
  <c r="F30" i="3"/>
  <c r="N32" i="3"/>
  <c r="J32" i="3"/>
  <c r="H32" i="3"/>
  <c r="F32" i="3"/>
  <c r="I18" i="2"/>
  <c r="I23" i="2"/>
  <c r="E33" i="2"/>
  <c r="C58" i="2"/>
  <c r="I61" i="2"/>
  <c r="E66" i="2"/>
  <c r="G79" i="2"/>
  <c r="C83" i="2"/>
  <c r="D12" i="3"/>
  <c r="H18" i="3"/>
  <c r="G10" i="2"/>
  <c r="N28" i="3"/>
  <c r="J28" i="3"/>
  <c r="H28" i="3"/>
  <c r="F28" i="3"/>
  <c r="D18" i="3"/>
  <c r="I67" i="2"/>
  <c r="I54" i="2"/>
  <c r="I34" i="2"/>
  <c r="I11" i="2"/>
  <c r="G44" i="2"/>
  <c r="G21" i="2"/>
  <c r="E44" i="2"/>
  <c r="E21" i="2"/>
  <c r="C47" i="2"/>
  <c r="C57" i="2"/>
  <c r="E22" i="2"/>
  <c r="I80" i="2"/>
  <c r="G54" i="2"/>
  <c r="E54" i="2"/>
  <c r="E78" i="2"/>
  <c r="G37" i="2"/>
  <c r="E37" i="2"/>
  <c r="C29" i="2"/>
  <c r="G33" i="2"/>
  <c r="G43" i="2"/>
  <c r="G52" i="2"/>
  <c r="C62" i="2"/>
  <c r="G66" i="2"/>
  <c r="E76" i="2"/>
  <c r="J18" i="3"/>
  <c r="J30" i="3"/>
  <c r="D22" i="3"/>
  <c r="I26" i="2"/>
  <c r="E36" i="2"/>
  <c r="D16" i="3"/>
  <c r="I51" i="2"/>
  <c r="D30" i="3"/>
  <c r="N12" i="3"/>
  <c r="J12" i="3"/>
  <c r="H12" i="3"/>
  <c r="F12" i="3"/>
  <c r="I15" i="2"/>
  <c r="E48" i="2"/>
  <c r="I30" i="2"/>
  <c r="G73" i="2"/>
  <c r="G63" i="2"/>
  <c r="G40" i="2"/>
  <c r="E73" i="2"/>
  <c r="E40" i="2"/>
  <c r="I33" i="2"/>
  <c r="I58" i="2"/>
  <c r="I66" i="2"/>
  <c r="D14" i="3"/>
  <c r="L18" i="3"/>
  <c r="E81" i="2"/>
  <c r="I70" i="2"/>
  <c r="I27" i="2"/>
  <c r="G19" i="2"/>
  <c r="G25" i="2"/>
  <c r="C34" i="2"/>
  <c r="C49" i="2"/>
  <c r="C54" i="2"/>
  <c r="C67" i="2"/>
  <c r="F14" i="3"/>
  <c r="F26" i="3"/>
  <c r="N24" i="3"/>
  <c r="J24" i="3"/>
  <c r="H24" i="3"/>
  <c r="I77" i="2"/>
  <c r="I44" i="2"/>
  <c r="C82" i="2"/>
  <c r="I40" i="2"/>
  <c r="G70" i="2"/>
  <c r="E70" i="2"/>
  <c r="N16" i="3"/>
  <c r="J16" i="3"/>
  <c r="H16" i="3"/>
  <c r="F16" i="3"/>
  <c r="I12" i="2"/>
  <c r="E61" i="2"/>
  <c r="I50" i="2"/>
  <c r="I19" i="2"/>
  <c r="I29" i="2"/>
  <c r="E39" i="2"/>
  <c r="C55" i="2"/>
  <c r="E59" i="2"/>
  <c r="I62" i="2"/>
  <c r="E72" i="2"/>
  <c r="C77" i="2"/>
  <c r="C85" i="2"/>
  <c r="D20" i="3"/>
  <c r="H26" i="3"/>
  <c r="D32" i="3"/>
  <c r="E65" i="2"/>
  <c r="I24" i="2"/>
  <c r="G16" i="2"/>
  <c r="C26" i="2"/>
  <c r="C30" i="2"/>
  <c r="G39" i="2"/>
  <c r="G59" i="2"/>
  <c r="C63" i="2"/>
  <c r="G72" i="2"/>
  <c r="C81" i="2"/>
  <c r="L20" i="3"/>
  <c r="L32" i="3"/>
  <c r="G11" i="2"/>
  <c r="G14" i="2"/>
  <c r="G17" i="2"/>
  <c r="E32" i="2"/>
  <c r="E35" i="2"/>
  <c r="E38" i="2"/>
  <c r="E41" i="2"/>
  <c r="E45" i="2"/>
  <c r="E51" i="2"/>
  <c r="E58" i="2"/>
  <c r="D24" i="3" l="1"/>
  <c r="C32" i="4"/>
  <c r="L24" i="3"/>
  <c r="H30" i="3"/>
  <c r="F24" i="3"/>
  <c r="C56" i="4"/>
  <c r="L30" i="3"/>
  <c r="C4" i="4"/>
  <c r="C36" i="4"/>
  <c r="C6" i="4"/>
  <c r="H14" i="3"/>
  <c r="H34" i="3" s="1"/>
  <c r="C18" i="4"/>
  <c r="C38" i="4"/>
  <c r="C24" i="4"/>
  <c r="C8" i="4"/>
  <c r="C62" i="4"/>
  <c r="C66" i="4"/>
  <c r="L14" i="3"/>
  <c r="C20" i="4"/>
  <c r="N14" i="3"/>
  <c r="C28" i="4"/>
  <c r="C34" i="4"/>
  <c r="C44" i="4"/>
  <c r="C10" i="4"/>
  <c r="D34" i="3"/>
  <c r="C52" i="4"/>
  <c r="C58" i="4"/>
  <c r="C22" i="4"/>
  <c r="F34" i="3"/>
  <c r="C46" i="4"/>
  <c r="J14" i="3"/>
  <c r="J34" i="3" s="1"/>
  <c r="L34" i="3"/>
  <c r="C60" i="4"/>
  <c r="C12" i="4"/>
  <c r="C30" i="4"/>
  <c r="N34" i="3"/>
  <c r="C16" i="4"/>
  <c r="C54" i="4"/>
  <c r="C14" i="4"/>
  <c r="C70" i="4" l="1"/>
  <c r="C68" i="4" s="1"/>
</calcChain>
</file>

<file path=xl/sharedStrings.xml><?xml version="1.0" encoding="utf-8"?>
<sst xmlns="http://schemas.openxmlformats.org/spreadsheetml/2006/main" count="5274" uniqueCount="1514">
  <si>
    <t>f</t>
  </si>
  <si>
    <t>Wiesbaden Phantoms</t>
  </si>
  <si>
    <t>the Boys</t>
  </si>
  <si>
    <t>Frankfurt Packers</t>
  </si>
  <si>
    <t>The 49vengers</t>
  </si>
  <si>
    <t>Brady Gaga</t>
  </si>
  <si>
    <t>Bishop Sycamore</t>
  </si>
  <si>
    <t>Broken Bembels ULB</t>
  </si>
  <si>
    <t>Fighting Farmers</t>
  </si>
  <si>
    <t>Bojangles Pornstars</t>
  </si>
  <si>
    <t>K-Town Devils</t>
  </si>
  <si>
    <t>Thunder Ducks</t>
  </si>
  <si>
    <t>Randy Moss LoB Juenger</t>
  </si>
  <si>
    <t>Zeugen Ray Lewis</t>
  </si>
  <si>
    <t>Amity Island Sharks</t>
  </si>
  <si>
    <t>Foxboro Forever</t>
  </si>
  <si>
    <t>Steelersnation 7</t>
  </si>
  <si>
    <t>Pep's Band</t>
  </si>
  <si>
    <t>E-Town Elephants</t>
  </si>
  <si>
    <t>BearD</t>
  </si>
  <si>
    <t>Johnny Manziel and Friends</t>
  </si>
  <si>
    <t>1. Runde</t>
  </si>
  <si>
    <t>Ja'Marr Chase</t>
  </si>
  <si>
    <t>Bijan Robinson</t>
  </si>
  <si>
    <t>Jahmyr Gibbs</t>
  </si>
  <si>
    <t>CeeDee Lamb</t>
  </si>
  <si>
    <t>Saquon Barkley</t>
  </si>
  <si>
    <t>Justin Jefferson</t>
  </si>
  <si>
    <t>De'Von Achane</t>
  </si>
  <si>
    <t>Puka Nacua</t>
  </si>
  <si>
    <t>Malik Nabers</t>
  </si>
  <si>
    <t>Nico Collins</t>
  </si>
  <si>
    <t>Christian McCaffrey</t>
  </si>
  <si>
    <t>Amon-Ra St. Brown</t>
  </si>
  <si>
    <t>Ashton Jeanty</t>
  </si>
  <si>
    <t>Garrett Wilson</t>
  </si>
  <si>
    <t>Tyreek Hill</t>
  </si>
  <si>
    <t>Derrick Henry</t>
  </si>
  <si>
    <t>Ladd McConkey</t>
  </si>
  <si>
    <t>Josh Jacobs</t>
  </si>
  <si>
    <t>Drake London</t>
  </si>
  <si>
    <t>Chase Brown</t>
  </si>
  <si>
    <t>-</t>
  </si>
  <si>
    <t>2. Runde</t>
  </si>
  <si>
    <t>David Montgomery</t>
  </si>
  <si>
    <t>Mike Evans</t>
  </si>
  <si>
    <t>James Conner</t>
  </si>
  <si>
    <t>Chuba Hubbard</t>
  </si>
  <si>
    <t>Josh Allen</t>
  </si>
  <si>
    <t>TreVeyon Henderson</t>
  </si>
  <si>
    <t>Lamar Jackson</t>
  </si>
  <si>
    <t>James Cook</t>
  </si>
  <si>
    <t>Omarion Hampton</t>
  </si>
  <si>
    <t>Tee Higgins</t>
  </si>
  <si>
    <t>Jaxon Smith-Njigba</t>
  </si>
  <si>
    <t>Kenneth Walker III</t>
  </si>
  <si>
    <t>Alvin Kamara</t>
  </si>
  <si>
    <t>Breece Hall</t>
  </si>
  <si>
    <t>Bucky Irving</t>
  </si>
  <si>
    <t>A.J. Brown</t>
  </si>
  <si>
    <t>Jonathan Taylor</t>
  </si>
  <si>
    <t>Kyren Williams</t>
  </si>
  <si>
    <t>Brock Bowers</t>
  </si>
  <si>
    <t>Brian Thomas Jr.</t>
  </si>
  <si>
    <t>3. Runde</t>
  </si>
  <si>
    <t>Davante Adams</t>
  </si>
  <si>
    <t>RJ Harvey</t>
  </si>
  <si>
    <t>Terry McLaurin</t>
  </si>
  <si>
    <t>Jayden Daniels</t>
  </si>
  <si>
    <t>Marvin Harrison Jr.</t>
  </si>
  <si>
    <t>DJ Moore</t>
  </si>
  <si>
    <t>Trey McBride</t>
  </si>
  <si>
    <t>Jalen Hurts</t>
  </si>
  <si>
    <t>Calvin Ridley</t>
  </si>
  <si>
    <t>George Kittle</t>
  </si>
  <si>
    <t>D'Andre Swift</t>
  </si>
  <si>
    <t>Tony Pollard</t>
  </si>
  <si>
    <t>DK Metcalf</t>
  </si>
  <si>
    <t>Rhamondre Stevenson</t>
  </si>
  <si>
    <t>DeVonta Smith</t>
  </si>
  <si>
    <t>Aaron Jones Sr.</t>
  </si>
  <si>
    <t>Courtland Sutton</t>
  </si>
  <si>
    <t>Jerry Jeudy</t>
  </si>
  <si>
    <t>Isiah Pacheco</t>
  </si>
  <si>
    <t>Joe Burrow</t>
  </si>
  <si>
    <t>4. Runde</t>
  </si>
  <si>
    <t>David Njoku</t>
  </si>
  <si>
    <t>Rome Odunze</t>
  </si>
  <si>
    <t>Jakobi Meyers</t>
  </si>
  <si>
    <t>Tucker Kraft</t>
  </si>
  <si>
    <t>George Pickens</t>
  </si>
  <si>
    <t>Travis Etienne Jr.</t>
  </si>
  <si>
    <t>Xavier Worthy</t>
  </si>
  <si>
    <t>Jaylen Warren</t>
  </si>
  <si>
    <t>Javonte Williams</t>
  </si>
  <si>
    <t>Travis Hunter</t>
  </si>
  <si>
    <t>T.J. Hockenson</t>
  </si>
  <si>
    <t>Chris Olave</t>
  </si>
  <si>
    <t>Jaylen Waddle</t>
  </si>
  <si>
    <t>Mark Andrews</t>
  </si>
  <si>
    <t>Tyrone Tracy Jr.</t>
  </si>
  <si>
    <t>Travis Kelce</t>
  </si>
  <si>
    <t>Zay Flowers</t>
  </si>
  <si>
    <t>Sam LaPorta</t>
  </si>
  <si>
    <t>Tetairoa McMillan</t>
  </si>
  <si>
    <t>Kaleb Johnson</t>
  </si>
  <si>
    <t>5. Runde</t>
  </si>
  <si>
    <t>Brian Robinson Jr.</t>
  </si>
  <si>
    <t>Dak Prescott</t>
  </si>
  <si>
    <t>Zach Charbonnet</t>
  </si>
  <si>
    <t>Joe Mixon</t>
  </si>
  <si>
    <t>J.K. Dobbins</t>
  </si>
  <si>
    <t>Patrick Mahomes II</t>
  </si>
  <si>
    <t>Ricky Pearsall</t>
  </si>
  <si>
    <t>Jameson Williams</t>
  </si>
  <si>
    <t>Tyler Warren</t>
  </si>
  <si>
    <t>Jordan Mason</t>
  </si>
  <si>
    <t>Baker Mayfield</t>
  </si>
  <si>
    <t>Deebo Samuel Sr.</t>
  </si>
  <si>
    <t>Bo Nix</t>
  </si>
  <si>
    <t>Chris Godwin</t>
  </si>
  <si>
    <t>Emeka Egbuka</t>
  </si>
  <si>
    <t>Rashee Rice</t>
  </si>
  <si>
    <t>Quinshon Judkins</t>
  </si>
  <si>
    <t>Matthew Golden</t>
  </si>
  <si>
    <t>Austin Ekeler</t>
  </si>
  <si>
    <t>Stefon Diggs</t>
  </si>
  <si>
    <t>6. Runde</t>
  </si>
  <si>
    <t>Brock Purdy</t>
  </si>
  <si>
    <t>Colston Loveland</t>
  </si>
  <si>
    <t>Justin Herbert</t>
  </si>
  <si>
    <t>Jauan Jennings</t>
  </si>
  <si>
    <t>Jayden Reed</t>
  </si>
  <si>
    <t>Hunter Henry</t>
  </si>
  <si>
    <t>Tyjae Spears</t>
  </si>
  <si>
    <t>Dallas Goedert</t>
  </si>
  <si>
    <t>Dalton Kincaid</t>
  </si>
  <si>
    <t>Jacory Croskey-Merritt</t>
  </si>
  <si>
    <t>Khalil Shakir</t>
  </si>
  <si>
    <t>Najee Harris</t>
  </si>
  <si>
    <t>Jake Ferguson</t>
  </si>
  <si>
    <t>Christian Kirk</t>
  </si>
  <si>
    <t>Jared Goff</t>
  </si>
  <si>
    <t>Cam Skattebo</t>
  </si>
  <si>
    <t>Nick Chubb</t>
  </si>
  <si>
    <t>Jordan Love</t>
  </si>
  <si>
    <t>Kyler Murray</t>
  </si>
  <si>
    <t>Evan Engram</t>
  </si>
  <si>
    <t>7. Runde</t>
  </si>
  <si>
    <t>Rachaad White</t>
  </si>
  <si>
    <t>Josh Downs</t>
  </si>
  <si>
    <t>Jerome Ford</t>
  </si>
  <si>
    <t>Denver Broncos</t>
  </si>
  <si>
    <t>Bhayshul Tuten</t>
  </si>
  <si>
    <t>Tank Bigsby</t>
  </si>
  <si>
    <t>Cooper Kupp</t>
  </si>
  <si>
    <t>Jordan Addison</t>
  </si>
  <si>
    <t>Rashod Bateman</t>
  </si>
  <si>
    <t>Ray Davis</t>
  </si>
  <si>
    <t>Braelon Allen</t>
  </si>
  <si>
    <t>C.J. Stroud</t>
  </si>
  <si>
    <t>Michael Pittman Jr.</t>
  </si>
  <si>
    <t>Anthony Richardson Sr.</t>
  </si>
  <si>
    <t>Luther Burden III</t>
  </si>
  <si>
    <t>Justin Fields</t>
  </si>
  <si>
    <t>Kyle Pitts Sr.</t>
  </si>
  <si>
    <t>Wan'Dale Robinson</t>
  </si>
  <si>
    <t>Jaydon Blue</t>
  </si>
  <si>
    <t>Trey Benson</t>
  </si>
  <si>
    <t>8. Runde</t>
  </si>
  <si>
    <t>Cedric Tillman</t>
  </si>
  <si>
    <t>Zach Ertz</t>
  </si>
  <si>
    <t>Jayden Higgins</t>
  </si>
  <si>
    <t>Dylan Sampson</t>
  </si>
  <si>
    <t>Brenton Strange</t>
  </si>
  <si>
    <t>Keon Coleman</t>
  </si>
  <si>
    <t>Rico Dowdle</t>
  </si>
  <si>
    <t>Houston Texans</t>
  </si>
  <si>
    <t>Jaylen Wright</t>
  </si>
  <si>
    <t>Drake Maye</t>
  </si>
  <si>
    <t>Brandon Aiyuk</t>
  </si>
  <si>
    <t>Geno Smith</t>
  </si>
  <si>
    <t>Isaac Guerendo</t>
  </si>
  <si>
    <t>Tyler Allgeier</t>
  </si>
  <si>
    <t>Trevor Lawrence</t>
  </si>
  <si>
    <t>Rashid Shaheed</t>
  </si>
  <si>
    <t>Caleb Williams</t>
  </si>
  <si>
    <t>Darnell Mooney</t>
  </si>
  <si>
    <t>Marvin Mims Jr.</t>
  </si>
  <si>
    <t>Philadelphia Eagles</t>
  </si>
  <si>
    <t>9. Runde</t>
  </si>
  <si>
    <t>Roschon Johnson</t>
  </si>
  <si>
    <t>Baltimore Ravens</t>
  </si>
  <si>
    <t>Elijah Arroyo</t>
  </si>
  <si>
    <t>Romeo Doubs</t>
  </si>
  <si>
    <t>Harold Fannin Jr.</t>
  </si>
  <si>
    <t>J.J. McCarthy</t>
  </si>
  <si>
    <t>Joshua Palmer</t>
  </si>
  <si>
    <t>Blake Corum</t>
  </si>
  <si>
    <t>Michael Penix Jr.</t>
  </si>
  <si>
    <t>Cameron Ward</t>
  </si>
  <si>
    <t>Minnesota Vikings</t>
  </si>
  <si>
    <t>Mike Gesicki</t>
  </si>
  <si>
    <t>Marquise Brown</t>
  </si>
  <si>
    <t>Bryce Young</t>
  </si>
  <si>
    <t>Luke Musgrave</t>
  </si>
  <si>
    <t>Jonnu Smith</t>
  </si>
  <si>
    <t>DJ Giddens</t>
  </si>
  <si>
    <t>Sam Darnold</t>
  </si>
  <si>
    <t>Tua Tagovailoa</t>
  </si>
  <si>
    <t>Adam Thielen</t>
  </si>
  <si>
    <t>10. Runde</t>
  </si>
  <si>
    <t>Quentin Johnston</t>
  </si>
  <si>
    <t>Jaxson Dart</t>
  </si>
  <si>
    <t>Tyler Shough</t>
  </si>
  <si>
    <t>Joe Flacco</t>
  </si>
  <si>
    <t>Kansas City Chiefs</t>
  </si>
  <si>
    <t>Daniel Jones</t>
  </si>
  <si>
    <t>Russell Wilson</t>
  </si>
  <si>
    <t>Xavier Legette</t>
  </si>
  <si>
    <t>Woody Marks</t>
  </si>
  <si>
    <t>Pittsburgh Steelers</t>
  </si>
  <si>
    <t>Brandon Aubrey</t>
  </si>
  <si>
    <t>Kareem Hunt</t>
  </si>
  <si>
    <t>Chig Okonkwo</t>
  </si>
  <si>
    <t>Kyle Williams</t>
  </si>
  <si>
    <t>Tre' Harris</t>
  </si>
  <si>
    <t>MarShawn Lloyd</t>
  </si>
  <si>
    <t>Aaron Rodgers</t>
  </si>
  <si>
    <t>DeMario Douglas</t>
  </si>
  <si>
    <t>Keenan Allen</t>
  </si>
  <si>
    <t>Matthew Stafford</t>
  </si>
  <si>
    <t>11. Runde</t>
  </si>
  <si>
    <t>Cameron Dicker</t>
  </si>
  <si>
    <t>Will Shipley</t>
  </si>
  <si>
    <t>Mason Taylor</t>
  </si>
  <si>
    <t>Pat Freiermuth</t>
  </si>
  <si>
    <t>Chris Rodriguez Jr.</t>
  </si>
  <si>
    <t>Jalen McMillan</t>
  </si>
  <si>
    <t>Washington Commanders</t>
  </si>
  <si>
    <t>Shedeur Sanders</t>
  </si>
  <si>
    <t>Jack Bech</t>
  </si>
  <si>
    <t>Isaiah Likely</t>
  </si>
  <si>
    <t>Justice Hill</t>
  </si>
  <si>
    <t>Michael Wilson</t>
  </si>
  <si>
    <t>Jake Bates</t>
  </si>
  <si>
    <t>Cade Otton</t>
  </si>
  <si>
    <t>Amari Cooper</t>
  </si>
  <si>
    <t>Detroit Lions</t>
  </si>
  <si>
    <t>Darren Waller</t>
  </si>
  <si>
    <t>Buffalo Bills</t>
  </si>
  <si>
    <t>Keaton Mitchell</t>
  </si>
  <si>
    <t>Dalton Schultz</t>
  </si>
  <si>
    <t>12. Runde</t>
  </si>
  <si>
    <t>Seattle Seahawks</t>
  </si>
  <si>
    <t>Antonio Gibson</t>
  </si>
  <si>
    <t>Los Angeles Chargers</t>
  </si>
  <si>
    <t>Tahj Brooks</t>
  </si>
  <si>
    <t>Jalen Coker</t>
  </si>
  <si>
    <t>Kendre Miller</t>
  </si>
  <si>
    <t>Brandin Cooks</t>
  </si>
  <si>
    <t>Ka'imi Fairbairn</t>
  </si>
  <si>
    <t>Cade Stover</t>
  </si>
  <si>
    <t>Kyle Monangai</t>
  </si>
  <si>
    <t>DeAndre Hopkins</t>
  </si>
  <si>
    <t>Ja'Tavion Sanders</t>
  </si>
  <si>
    <t>Jalen Milroe</t>
  </si>
  <si>
    <t>Jason Sanders</t>
  </si>
  <si>
    <t>Green Bay Packers</t>
  </si>
  <si>
    <t>Spencer Rattler</t>
  </si>
  <si>
    <t>Ollie Gordon II</t>
  </si>
  <si>
    <t>Chase McLaughlin</t>
  </si>
  <si>
    <t>Los Angeles Rams</t>
  </si>
  <si>
    <t>Wil Lutz</t>
  </si>
  <si>
    <t>13. Runde</t>
  </si>
  <si>
    <t>Kirk Cousins</t>
  </si>
  <si>
    <t>Dallas Cowboys</t>
  </si>
  <si>
    <t>Alec Pierce</t>
  </si>
  <si>
    <t>Darius Slayton</t>
  </si>
  <si>
    <t>Adonai Mitchell</t>
  </si>
  <si>
    <t>Juwan Johnson</t>
  </si>
  <si>
    <t>Cole Kmet</t>
  </si>
  <si>
    <t>Jaleel McLaughlin</t>
  </si>
  <si>
    <t>Gardner Minshew II</t>
  </si>
  <si>
    <t>Elic Ayomanor</t>
  </si>
  <si>
    <t>Jameis Winston</t>
  </si>
  <si>
    <t>Chris Boswell</t>
  </si>
  <si>
    <t>San Francisco 49ers</t>
  </si>
  <si>
    <t>Arizona Cardinals</t>
  </si>
  <si>
    <t>Jarquez Hunter</t>
  </si>
  <si>
    <t>Younghoe Koo</t>
  </si>
  <si>
    <t>Tampa Bay Buccaneers</t>
  </si>
  <si>
    <t>Noah Gray</t>
  </si>
  <si>
    <t>Tyler Lockett</t>
  </si>
  <si>
    <t>Dontayvion Wicks</t>
  </si>
  <si>
    <t>14. Runde</t>
  </si>
  <si>
    <t>Theo Johnson</t>
  </si>
  <si>
    <t>Jake Elliott</t>
  </si>
  <si>
    <t>Chicago Bears</t>
  </si>
  <si>
    <t>Dyami Brown</t>
  </si>
  <si>
    <t>Tyler Bass</t>
  </si>
  <si>
    <t>New York Jets</t>
  </si>
  <si>
    <t>Dameon Pierce</t>
  </si>
  <si>
    <t>Pat Bryant</t>
  </si>
  <si>
    <t>Tyler Loop</t>
  </si>
  <si>
    <t>Jalen Royals</t>
  </si>
  <si>
    <t>Devin Neal</t>
  </si>
  <si>
    <t>Noah Fant</t>
  </si>
  <si>
    <t>Calvin Austin III</t>
  </si>
  <si>
    <t>Matt Gay</t>
  </si>
  <si>
    <t>Evan McPherson</t>
  </si>
  <si>
    <t>Andrei Iosivas</t>
  </si>
  <si>
    <t>Jaylin Noel</t>
  </si>
  <si>
    <t>Raheem Mostert</t>
  </si>
  <si>
    <t>Harrison Butker</t>
  </si>
  <si>
    <t>Brashard Smith</t>
  </si>
  <si>
    <t>15. Runde</t>
  </si>
  <si>
    <t>Diontae Johnson</t>
  </si>
  <si>
    <t>Jalen Nailor</t>
  </si>
  <si>
    <t>Will Reichard</t>
  </si>
  <si>
    <t>Joshua Karty</t>
  </si>
  <si>
    <t>New England Patriots</t>
  </si>
  <si>
    <t>Daniel Carlson</t>
  </si>
  <si>
    <t>Cairo Santos</t>
  </si>
  <si>
    <t>Elijah Mitchell</t>
  </si>
  <si>
    <t>Atlanta Falcons</t>
  </si>
  <si>
    <t>Brandon McManus</t>
  </si>
  <si>
    <t>Devaughn Vele</t>
  </si>
  <si>
    <t>New York Giants</t>
  </si>
  <si>
    <t>Sean Tucker</t>
  </si>
  <si>
    <t>Indianapolis Colts</t>
  </si>
  <si>
    <t>Cleveland Browns</t>
  </si>
  <si>
    <t>Ty Johnson</t>
  </si>
  <si>
    <t>Cam Little</t>
  </si>
  <si>
    <t>Trevor Etienne</t>
  </si>
  <si>
    <t>Roman Wilson</t>
  </si>
  <si>
    <t>Jalen Tolbert</t>
  </si>
  <si>
    <t>QB</t>
  </si>
  <si>
    <t>RB</t>
  </si>
  <si>
    <t>WR</t>
  </si>
  <si>
    <t>TE</t>
  </si>
  <si>
    <t>DEF</t>
  </si>
  <si>
    <t>K</t>
  </si>
  <si>
    <t>Division A</t>
  </si>
  <si>
    <t>Division B</t>
  </si>
  <si>
    <t>Divison C</t>
  </si>
  <si>
    <t>Division D</t>
  </si>
  <si>
    <t>A1</t>
  </si>
  <si>
    <t>B1</t>
  </si>
  <si>
    <t>C1</t>
  </si>
  <si>
    <t>D1</t>
  </si>
  <si>
    <t>A2</t>
  </si>
  <si>
    <t>B2</t>
  </si>
  <si>
    <t>C2</t>
  </si>
  <si>
    <t>D2</t>
  </si>
  <si>
    <t>A3</t>
  </si>
  <si>
    <t>B3</t>
  </si>
  <si>
    <t>C3</t>
  </si>
  <si>
    <t>D3</t>
  </si>
  <si>
    <t>A4</t>
  </si>
  <si>
    <t>B4</t>
  </si>
  <si>
    <t>C4</t>
  </si>
  <si>
    <t>D4</t>
  </si>
  <si>
    <t>A5</t>
  </si>
  <si>
    <t>B5</t>
  </si>
  <si>
    <t>C5</t>
  </si>
  <si>
    <t>D5</t>
  </si>
  <si>
    <t>Week 1</t>
  </si>
  <si>
    <t>vs.</t>
  </si>
  <si>
    <t>Week 8</t>
  </si>
  <si>
    <t>Week 2</t>
  </si>
  <si>
    <t>Week 9</t>
  </si>
  <si>
    <t>Week 3</t>
  </si>
  <si>
    <t>Week 10</t>
  </si>
  <si>
    <t>Week 4</t>
  </si>
  <si>
    <t>Week 11</t>
  </si>
  <si>
    <t>Week 5</t>
  </si>
  <si>
    <t>Week 12</t>
  </si>
  <si>
    <t>Week 6</t>
  </si>
  <si>
    <t>Week 13</t>
  </si>
  <si>
    <t>Week 7</t>
  </si>
  <si>
    <t>Week 14</t>
  </si>
  <si>
    <t>Total</t>
  </si>
  <si>
    <t>Team</t>
  </si>
  <si>
    <t>Picks</t>
  </si>
  <si>
    <t>ARI</t>
  </si>
  <si>
    <t>ATL</t>
  </si>
  <si>
    <t>BAL</t>
  </si>
  <si>
    <t>BUF</t>
  </si>
  <si>
    <t>CAR</t>
  </si>
  <si>
    <t>CHI</t>
  </si>
  <si>
    <t>CIN</t>
  </si>
  <si>
    <t>CLE</t>
  </si>
  <si>
    <t>DAL</t>
  </si>
  <si>
    <t>DEN</t>
  </si>
  <si>
    <t>DET</t>
  </si>
  <si>
    <t>GB</t>
  </si>
  <si>
    <t>HOU</t>
  </si>
  <si>
    <t>IND</t>
  </si>
  <si>
    <t>JAC</t>
  </si>
  <si>
    <t>KC</t>
  </si>
  <si>
    <t>LAC</t>
  </si>
  <si>
    <t>LAR</t>
  </si>
  <si>
    <t>LV</t>
  </si>
  <si>
    <t>MIA</t>
  </si>
  <si>
    <t>MIN</t>
  </si>
  <si>
    <t>NE</t>
  </si>
  <si>
    <t>NO</t>
  </si>
  <si>
    <t>NYG</t>
  </si>
  <si>
    <t>NYJ</t>
  </si>
  <si>
    <t>PHI</t>
  </si>
  <si>
    <t>PIT</t>
  </si>
  <si>
    <t>SEA</t>
  </si>
  <si>
    <t>SF</t>
  </si>
  <si>
    <t>TB</t>
  </si>
  <si>
    <t>TEN</t>
  </si>
  <si>
    <t>WAS</t>
  </si>
  <si>
    <t>FA</t>
  </si>
  <si>
    <t>Summe:</t>
  </si>
  <si>
    <t>PLAYER NAME</t>
  </si>
  <si>
    <t>TEAM</t>
  </si>
  <si>
    <t>POS</t>
  </si>
  <si>
    <t>POS PLAIN</t>
  </si>
  <si>
    <t>IMPORT</t>
  </si>
  <si>
    <t>WR10</t>
  </si>
  <si>
    <t>A.J. Dillon</t>
  </si>
  <si>
    <t>RB101</t>
  </si>
  <si>
    <t>RB24</t>
  </si>
  <si>
    <t>QB28</t>
  </si>
  <si>
    <t>WR63</t>
  </si>
  <si>
    <t>Adam Trautman</t>
  </si>
  <si>
    <t>TE73</t>
  </si>
  <si>
    <t>WR78</t>
  </si>
  <si>
    <t>Aidan O'Connell</t>
  </si>
  <si>
    <t>QB46</t>
  </si>
  <si>
    <t>AJ Barner</t>
  </si>
  <si>
    <t>TE44</t>
  </si>
  <si>
    <t>Alec Ingold</t>
  </si>
  <si>
    <t>RB120</t>
  </si>
  <si>
    <t>WR75</t>
  </si>
  <si>
    <t>Allen Lazard</t>
  </si>
  <si>
    <t>WR128</t>
  </si>
  <si>
    <t>RB13</t>
  </si>
  <si>
    <t>WR104</t>
  </si>
  <si>
    <t>WR5</t>
  </si>
  <si>
    <t>WR82</t>
  </si>
  <si>
    <t>Andy Dalton</t>
  </si>
  <si>
    <t>QB56</t>
  </si>
  <si>
    <t>QB29</t>
  </si>
  <si>
    <t>RB78</t>
  </si>
  <si>
    <t>Antwane Wells Jr.</t>
  </si>
  <si>
    <t>WR139</t>
  </si>
  <si>
    <t>Arian Smith</t>
  </si>
  <si>
    <t>WR142</t>
  </si>
  <si>
    <t>DST21</t>
  </si>
  <si>
    <t>RB6</t>
  </si>
  <si>
    <t>DST25</t>
  </si>
  <si>
    <t>Audric Estime</t>
  </si>
  <si>
    <t>RB83</t>
  </si>
  <si>
    <t>RB44</t>
  </si>
  <si>
    <t>Austin Hooper</t>
  </si>
  <si>
    <t>TE48</t>
  </si>
  <si>
    <t>QB7</t>
  </si>
  <si>
    <t>DST3</t>
  </si>
  <si>
    <t>Ben Sinnott</t>
  </si>
  <si>
    <t>TE42</t>
  </si>
  <si>
    <t>RB54</t>
  </si>
  <si>
    <t>RB1</t>
  </si>
  <si>
    <t>RB58</t>
  </si>
  <si>
    <t>Blake Grupe</t>
  </si>
  <si>
    <t>K28</t>
  </si>
  <si>
    <t>QB8</t>
  </si>
  <si>
    <t>RB49</t>
  </si>
  <si>
    <t>WR91</t>
  </si>
  <si>
    <t>WR52</t>
  </si>
  <si>
    <t>K1</t>
  </si>
  <si>
    <t>K22</t>
  </si>
  <si>
    <t>RB72</t>
  </si>
  <si>
    <t>RB14</t>
  </si>
  <si>
    <t>TE20</t>
  </si>
  <si>
    <t>RB29</t>
  </si>
  <si>
    <t>WR8</t>
  </si>
  <si>
    <t>TE1</t>
  </si>
  <si>
    <t>QB12</t>
  </si>
  <si>
    <t>QB22</t>
  </si>
  <si>
    <t>RB9</t>
  </si>
  <si>
    <t>DST7</t>
  </si>
  <si>
    <t>QB19</t>
  </si>
  <si>
    <t>TE25</t>
  </si>
  <si>
    <t>TE53</t>
  </si>
  <si>
    <t>K27</t>
  </si>
  <si>
    <t>QB14</t>
  </si>
  <si>
    <t>WR81</t>
  </si>
  <si>
    <t>WR31</t>
  </si>
  <si>
    <t>Cam Akers</t>
  </si>
  <si>
    <t>RB102</t>
  </si>
  <si>
    <t>K21</t>
  </si>
  <si>
    <t>RB38</t>
  </si>
  <si>
    <t>K3</t>
  </si>
  <si>
    <t>QB26</t>
  </si>
  <si>
    <t>Carolina Panthers</t>
  </si>
  <si>
    <t>DST32</t>
  </si>
  <si>
    <t>WR55</t>
  </si>
  <si>
    <t>Cedrick Wilson Jr.</t>
  </si>
  <si>
    <t>WR163</t>
  </si>
  <si>
    <t>WR3</t>
  </si>
  <si>
    <t>Chad Ryland</t>
  </si>
  <si>
    <t>K26</t>
  </si>
  <si>
    <t>RB8</t>
  </si>
  <si>
    <t>K6</t>
  </si>
  <si>
    <t>DST19</t>
  </si>
  <si>
    <t>TE22</t>
  </si>
  <si>
    <t>Chimere Dike</t>
  </si>
  <si>
    <t>WR124</t>
  </si>
  <si>
    <t>K5</t>
  </si>
  <si>
    <t>Chris Brooks</t>
  </si>
  <si>
    <t>RB92</t>
  </si>
  <si>
    <t>WR38</t>
  </si>
  <si>
    <t>WR32</t>
  </si>
  <si>
    <t>RB97</t>
  </si>
  <si>
    <t>Chris Tyree</t>
  </si>
  <si>
    <t>RB118</t>
  </si>
  <si>
    <t>WR54</t>
  </si>
  <si>
    <t>RB4</t>
  </si>
  <si>
    <t>Christian Watson</t>
  </si>
  <si>
    <t>WR107</t>
  </si>
  <si>
    <t>RB18</t>
  </si>
  <si>
    <t>Cincinnati Bengals</t>
  </si>
  <si>
    <t>DST27</t>
  </si>
  <si>
    <t>DST18</t>
  </si>
  <si>
    <t>Clyde Edwards-Helaire</t>
  </si>
  <si>
    <t>RB123</t>
  </si>
  <si>
    <t>Colby Parkinson</t>
  </si>
  <si>
    <t>TE68</t>
  </si>
  <si>
    <t>TE31</t>
  </si>
  <si>
    <t>TE15</t>
  </si>
  <si>
    <t>WR47</t>
  </si>
  <si>
    <t>Cooper Rush</t>
  </si>
  <si>
    <t>QB59</t>
  </si>
  <si>
    <t>WR22</t>
  </si>
  <si>
    <t>Craig Reynolds</t>
  </si>
  <si>
    <t>RB109</t>
  </si>
  <si>
    <t>Curtis Samuel</t>
  </si>
  <si>
    <t>WR125</t>
  </si>
  <si>
    <t>RB22</t>
  </si>
  <si>
    <t>D'Ernest Johnson</t>
  </si>
  <si>
    <t>RB115</t>
  </si>
  <si>
    <t>QB10</t>
  </si>
  <si>
    <t>DST16</t>
  </si>
  <si>
    <t>TE14</t>
  </si>
  <si>
    <t>TE13</t>
  </si>
  <si>
    <t>TE27</t>
  </si>
  <si>
    <t>RB87</t>
  </si>
  <si>
    <t>Damien Martinez</t>
  </si>
  <si>
    <t>RB91</t>
  </si>
  <si>
    <t>Daniel Bellinger</t>
  </si>
  <si>
    <t>TE65</t>
  </si>
  <si>
    <t>K16</t>
  </si>
  <si>
    <t>QB31</t>
  </si>
  <si>
    <t>WR77</t>
  </si>
  <si>
    <t>WR50</t>
  </si>
  <si>
    <t>Darnell Washington</t>
  </si>
  <si>
    <t>TE60</t>
  </si>
  <si>
    <t>TE35</t>
  </si>
  <si>
    <t>Darrynton Evans</t>
  </si>
  <si>
    <t>RB121</t>
  </si>
  <si>
    <t>WR16</t>
  </si>
  <si>
    <t>RB21</t>
  </si>
  <si>
    <t>TE8</t>
  </si>
  <si>
    <t>Dawson Knox</t>
  </si>
  <si>
    <t>TE45</t>
  </si>
  <si>
    <t>RB5</t>
  </si>
  <si>
    <t>WR72</t>
  </si>
  <si>
    <t>WR44</t>
  </si>
  <si>
    <t>Demarcus Robinson</t>
  </si>
  <si>
    <t>WR118</t>
  </si>
  <si>
    <t>WR64</t>
  </si>
  <si>
    <t>DST1</t>
  </si>
  <si>
    <t>RB7</t>
  </si>
  <si>
    <t>Deshaun Watson</t>
  </si>
  <si>
    <t>QB47</t>
  </si>
  <si>
    <t>DST9</t>
  </si>
  <si>
    <t>WR87</t>
  </si>
  <si>
    <t>RB71</t>
  </si>
  <si>
    <t>Devin Singletary</t>
  </si>
  <si>
    <t>RB84</t>
  </si>
  <si>
    <t>WR23</t>
  </si>
  <si>
    <t>Devontez Walker</t>
  </si>
  <si>
    <t>WR154</t>
  </si>
  <si>
    <t>Dillon Gabriel</t>
  </si>
  <si>
    <t>QB41</t>
  </si>
  <si>
    <t>WR86</t>
  </si>
  <si>
    <t>DJ Chark Jr.</t>
  </si>
  <si>
    <t>WR160</t>
  </si>
  <si>
    <t>RB66</t>
  </si>
  <si>
    <t>WR19</t>
  </si>
  <si>
    <t>WR21</t>
  </si>
  <si>
    <t>Donovan Edwards</t>
  </si>
  <si>
    <t>RB105</t>
  </si>
  <si>
    <t>Dont'e Thornton Jr.</t>
  </si>
  <si>
    <t>WR96</t>
  </si>
  <si>
    <t>WR80</t>
  </si>
  <si>
    <t>WR9</t>
  </si>
  <si>
    <t>QB16</t>
  </si>
  <si>
    <t>WR88</t>
  </si>
  <si>
    <t>Dylan Laube</t>
  </si>
  <si>
    <t>RB119</t>
  </si>
  <si>
    <t>RB53</t>
  </si>
  <si>
    <t>Eddy Pineiro</t>
  </si>
  <si>
    <t>K24</t>
  </si>
  <si>
    <t>Efton Chism III</t>
  </si>
  <si>
    <t>WR156</t>
  </si>
  <si>
    <t>WR84</t>
  </si>
  <si>
    <t>TE28</t>
  </si>
  <si>
    <t>Elijah Higgins</t>
  </si>
  <si>
    <t>TE66</t>
  </si>
  <si>
    <t>RB75</t>
  </si>
  <si>
    <t>Elijah Moore</t>
  </si>
  <si>
    <t>WR93</t>
  </si>
  <si>
    <t>Emanuel Wilson</t>
  </si>
  <si>
    <t>RB94</t>
  </si>
  <si>
    <t>Emari Demercado</t>
  </si>
  <si>
    <t>RB106</t>
  </si>
  <si>
    <t>WR45</t>
  </si>
  <si>
    <t>TE7</t>
  </si>
  <si>
    <t>K9</t>
  </si>
  <si>
    <t>Ezekiel Elliott</t>
  </si>
  <si>
    <t>RB126</t>
  </si>
  <si>
    <t>Foster Moreau</t>
  </si>
  <si>
    <t>TE51</t>
  </si>
  <si>
    <t>Gabe Davis</t>
  </si>
  <si>
    <t>WR112</t>
  </si>
  <si>
    <t>QB52</t>
  </si>
  <si>
    <t>WR13</t>
  </si>
  <si>
    <t>QB25</t>
  </si>
  <si>
    <t>TE3</t>
  </si>
  <si>
    <t>WR30</t>
  </si>
  <si>
    <t>Graham Gano</t>
  </si>
  <si>
    <t>K30</t>
  </si>
  <si>
    <t>Grant Calcaterra</t>
  </si>
  <si>
    <t>TE55</t>
  </si>
  <si>
    <t>DST13</t>
  </si>
  <si>
    <t>Greg Dortch</t>
  </si>
  <si>
    <t>WR129</t>
  </si>
  <si>
    <t>Greg Dulcich</t>
  </si>
  <si>
    <t>TE58</t>
  </si>
  <si>
    <t>Gunnar Helm</t>
  </si>
  <si>
    <t>TE49</t>
  </si>
  <si>
    <t>Gus Edwards</t>
  </si>
  <si>
    <t>RB103</t>
  </si>
  <si>
    <t>TE34</t>
  </si>
  <si>
    <t>Harrison Bryant</t>
  </si>
  <si>
    <t>TE71</t>
  </si>
  <si>
    <t>K8</t>
  </si>
  <si>
    <t>DST6</t>
  </si>
  <si>
    <t>TE16</t>
  </si>
  <si>
    <t>Hunter Long</t>
  </si>
  <si>
    <t>TE64</t>
  </si>
  <si>
    <t>Hunter Luepke</t>
  </si>
  <si>
    <t>RB128</t>
  </si>
  <si>
    <t>Hunter Renfrow</t>
  </si>
  <si>
    <t>WR130</t>
  </si>
  <si>
    <t>DST26</t>
  </si>
  <si>
    <t>RB51</t>
  </si>
  <si>
    <t>Isaac TeSlaa</t>
  </si>
  <si>
    <t>WR102</t>
  </si>
  <si>
    <t>Isaiah Bond</t>
  </si>
  <si>
    <t>WR126</t>
  </si>
  <si>
    <t>Isaiah Davis</t>
  </si>
  <si>
    <t>RB85</t>
  </si>
  <si>
    <t>TE24</t>
  </si>
  <si>
    <t>RB26</t>
  </si>
  <si>
    <t>QB20</t>
  </si>
  <si>
    <t>RB37</t>
  </si>
  <si>
    <t>Ja'Lynn Polk</t>
  </si>
  <si>
    <t>WR148</t>
  </si>
  <si>
    <t>WR1</t>
  </si>
  <si>
    <t>Ja'Quinden Jackson</t>
  </si>
  <si>
    <t>RB111</t>
  </si>
  <si>
    <t>TE30</t>
  </si>
  <si>
    <t>WR74</t>
  </si>
  <si>
    <t>Jacksonville Jaguars</t>
  </si>
  <si>
    <t>DST30</t>
  </si>
  <si>
    <t>Jacob Cowing</t>
  </si>
  <si>
    <t>WR135</t>
  </si>
  <si>
    <t>Jacoby Brissett</t>
  </si>
  <si>
    <t>QB57</t>
  </si>
  <si>
    <t>RB77</t>
  </si>
  <si>
    <t>Jahan Dotson</t>
  </si>
  <si>
    <t>WR134</t>
  </si>
  <si>
    <t>RB2</t>
  </si>
  <si>
    <t>K2</t>
  </si>
  <si>
    <t>Jake Bobo</t>
  </si>
  <si>
    <t>WR162</t>
  </si>
  <si>
    <t>Jake Browning</t>
  </si>
  <si>
    <t>QB55</t>
  </si>
  <si>
    <t>K11</t>
  </si>
  <si>
    <t>TE11</t>
  </si>
  <si>
    <t>Jake Haener</t>
  </si>
  <si>
    <t>QB50</t>
  </si>
  <si>
    <t>Jake Moody</t>
  </si>
  <si>
    <t>K23</t>
  </si>
  <si>
    <t>WR37</t>
  </si>
  <si>
    <t>RB69</t>
  </si>
  <si>
    <t>WR73</t>
  </si>
  <si>
    <t>QB4</t>
  </si>
  <si>
    <t>WR70</t>
  </si>
  <si>
    <t>QB36</t>
  </si>
  <si>
    <t>WR101</t>
  </si>
  <si>
    <t>WR90</t>
  </si>
  <si>
    <t>WR92</t>
  </si>
  <si>
    <t>Jalin Hyatt</t>
  </si>
  <si>
    <t>WR144</t>
  </si>
  <si>
    <t>Jamari Thrash</t>
  </si>
  <si>
    <t>WR153</t>
  </si>
  <si>
    <t>QB39</t>
  </si>
  <si>
    <t>RB19</t>
  </si>
  <si>
    <t>RB16</t>
  </si>
  <si>
    <t>WR28</t>
  </si>
  <si>
    <t>QB15</t>
  </si>
  <si>
    <t>RB74</t>
  </si>
  <si>
    <t>Jason Myers</t>
  </si>
  <si>
    <t>K19</t>
  </si>
  <si>
    <t>K12</t>
  </si>
  <si>
    <t>WR39</t>
  </si>
  <si>
    <t>Javon Baker</t>
  </si>
  <si>
    <t>WR150</t>
  </si>
  <si>
    <t>RB35</t>
  </si>
  <si>
    <t>WR12</t>
  </si>
  <si>
    <t>QB34</t>
  </si>
  <si>
    <t>QB3</t>
  </si>
  <si>
    <t>WR60</t>
  </si>
  <si>
    <t>WR48</t>
  </si>
  <si>
    <t>RB50</t>
  </si>
  <si>
    <t>WR26</t>
  </si>
  <si>
    <t>RB30</t>
  </si>
  <si>
    <t>RB55</t>
  </si>
  <si>
    <t>Jaylin Lane</t>
  </si>
  <si>
    <t>WR123</t>
  </si>
  <si>
    <t>WR79</t>
  </si>
  <si>
    <t>Jelani Woods</t>
  </si>
  <si>
    <t>TE67</t>
  </si>
  <si>
    <t>Jeremy McNichols</t>
  </si>
  <si>
    <t>RB113</t>
  </si>
  <si>
    <t>Jeremy Ruckert</t>
  </si>
  <si>
    <t>TE56</t>
  </si>
  <si>
    <t>Jermaine Burton</t>
  </si>
  <si>
    <t>WR108</t>
  </si>
  <si>
    <t>RB46</t>
  </si>
  <si>
    <t>WR34</t>
  </si>
  <si>
    <t>Jimmy Garoppolo</t>
  </si>
  <si>
    <t>QB44</t>
  </si>
  <si>
    <t>Jimmy Horn Jr.</t>
  </si>
  <si>
    <t>WR147</t>
  </si>
  <si>
    <t>QB5</t>
  </si>
  <si>
    <t>QB32</t>
  </si>
  <si>
    <t>Joe Milton III</t>
  </si>
  <si>
    <t>QB45</t>
  </si>
  <si>
    <t>RB31</t>
  </si>
  <si>
    <t>John Bates</t>
  </si>
  <si>
    <t>TE59</t>
  </si>
  <si>
    <t>John Metchie III</t>
  </si>
  <si>
    <t>WR119</t>
  </si>
  <si>
    <t>Johnny Mundt</t>
  </si>
  <si>
    <t>TE72</t>
  </si>
  <si>
    <t>Jonathan Mingo</t>
  </si>
  <si>
    <t>WR143</t>
  </si>
  <si>
    <t>RB11</t>
  </si>
  <si>
    <t>Jonathon Brooks</t>
  </si>
  <si>
    <t>RB112</t>
  </si>
  <si>
    <t>TE17</t>
  </si>
  <si>
    <t>WR41</t>
  </si>
  <si>
    <t>Jordan James</t>
  </si>
  <si>
    <t>RB86</t>
  </si>
  <si>
    <t>QB17</t>
  </si>
  <si>
    <t>RB33</t>
  </si>
  <si>
    <t>Jordan Watkins</t>
  </si>
  <si>
    <t>WR145</t>
  </si>
  <si>
    <t>Jordan Whittington</t>
  </si>
  <si>
    <t>WR114</t>
  </si>
  <si>
    <t>QB1</t>
  </si>
  <si>
    <t>WR43</t>
  </si>
  <si>
    <t>RB10</t>
  </si>
  <si>
    <t>Josh Oliver</t>
  </si>
  <si>
    <t>TE54</t>
  </si>
  <si>
    <t>Josh Reynolds</t>
  </si>
  <si>
    <t>WR113</t>
  </si>
  <si>
    <t>Josh Whyle</t>
  </si>
  <si>
    <t>TE70</t>
  </si>
  <si>
    <t>K15</t>
  </si>
  <si>
    <t>WR71</t>
  </si>
  <si>
    <t>JuJu Smith-Schuster</t>
  </si>
  <si>
    <t>WR151</t>
  </si>
  <si>
    <t>Julian Hill</t>
  </si>
  <si>
    <t>TE61</t>
  </si>
  <si>
    <t>Julius Chestnut</t>
  </si>
  <si>
    <t>RB124</t>
  </si>
  <si>
    <t>RB60</t>
  </si>
  <si>
    <t>QB11</t>
  </si>
  <si>
    <t>QB13</t>
  </si>
  <si>
    <t>WR2</t>
  </si>
  <si>
    <t>Justin Tucker</t>
  </si>
  <si>
    <t>K20</t>
  </si>
  <si>
    <t>TE29</t>
  </si>
  <si>
    <t>K7</t>
  </si>
  <si>
    <t>RB27</t>
  </si>
  <si>
    <t>Kalel Mullings</t>
  </si>
  <si>
    <t>RB107</t>
  </si>
  <si>
    <t>Kalif Raymond</t>
  </si>
  <si>
    <t>WR149</t>
  </si>
  <si>
    <t>DST8</t>
  </si>
  <si>
    <t>RB61</t>
  </si>
  <si>
    <t>KaVontae Turpin</t>
  </si>
  <si>
    <t>WR116</t>
  </si>
  <si>
    <t>Kayshon Boutte</t>
  </si>
  <si>
    <t>WR97</t>
  </si>
  <si>
    <t>KeAndre Lambert-Smith</t>
  </si>
  <si>
    <t>WR132</t>
  </si>
  <si>
    <t>RB68</t>
  </si>
  <si>
    <t>WR67</t>
  </si>
  <si>
    <t>RB63</t>
  </si>
  <si>
    <t>Kendrick Bourne</t>
  </si>
  <si>
    <t>WR140</t>
  </si>
  <si>
    <t>Kenneth Gainwell</t>
  </si>
  <si>
    <t>RB82</t>
  </si>
  <si>
    <t>RB15</t>
  </si>
  <si>
    <t>Kenny Pickett</t>
  </si>
  <si>
    <t>QB40</t>
  </si>
  <si>
    <t>WR53</t>
  </si>
  <si>
    <t>KhaDarel Hodge</t>
  </si>
  <si>
    <t>WR159</t>
  </si>
  <si>
    <t>Khalil Herbert</t>
  </si>
  <si>
    <t>RB88</t>
  </si>
  <si>
    <t>WR40</t>
  </si>
  <si>
    <t>Kimani Vidal</t>
  </si>
  <si>
    <t>RB89</t>
  </si>
  <si>
    <t>QB38</t>
  </si>
  <si>
    <t>Kyle Juszczyk</t>
  </si>
  <si>
    <t>RB110</t>
  </si>
  <si>
    <t>RB65</t>
  </si>
  <si>
    <t>TE18</t>
  </si>
  <si>
    <t>WR65</t>
  </si>
  <si>
    <t>Kylen Granson</t>
  </si>
  <si>
    <t>TE69</t>
  </si>
  <si>
    <t>QB9</t>
  </si>
  <si>
    <t>RB12</t>
  </si>
  <si>
    <t>WR11</t>
  </si>
  <si>
    <t>QB2</t>
  </si>
  <si>
    <t>Las Vegas Raiders</t>
  </si>
  <si>
    <t>DST29</t>
  </si>
  <si>
    <t>LeQuint Allen Jr.</t>
  </si>
  <si>
    <t>RB104</t>
  </si>
  <si>
    <t>DST12</t>
  </si>
  <si>
    <t>DST10</t>
  </si>
  <si>
    <t>Lucky Jackson</t>
  </si>
  <si>
    <t>WR161</t>
  </si>
  <si>
    <t>Luke Lachey</t>
  </si>
  <si>
    <t>TE63</t>
  </si>
  <si>
    <t>Luke McCaffrey</t>
  </si>
  <si>
    <t>WR106</t>
  </si>
  <si>
    <t>TE47</t>
  </si>
  <si>
    <t>Luke Schoonmaker</t>
  </si>
  <si>
    <t>TE50</t>
  </si>
  <si>
    <t>WR56</t>
  </si>
  <si>
    <t>Mac Jones</t>
  </si>
  <si>
    <t>QB58</t>
  </si>
  <si>
    <t>Mack Hollins</t>
  </si>
  <si>
    <t>WR127</t>
  </si>
  <si>
    <t>Malachi Corley</t>
  </si>
  <si>
    <t>WR158</t>
  </si>
  <si>
    <t>WR4</t>
  </si>
  <si>
    <t>Malik Washington</t>
  </si>
  <si>
    <t>WR94</t>
  </si>
  <si>
    <t>Malik Willis</t>
  </si>
  <si>
    <t>QB51</t>
  </si>
  <si>
    <t>Marcus Mariota</t>
  </si>
  <si>
    <t>QB53</t>
  </si>
  <si>
    <t>Marcus Yarns</t>
  </si>
  <si>
    <t>RB117</t>
  </si>
  <si>
    <t>TE9</t>
  </si>
  <si>
    <t>Marquez Valdes-Scantling</t>
  </si>
  <si>
    <t>WR120</t>
  </si>
  <si>
    <t>WR59</t>
  </si>
  <si>
    <t>RB59</t>
  </si>
  <si>
    <t>WR18</t>
  </si>
  <si>
    <t>WR58</t>
  </si>
  <si>
    <t>Mason Rudolph</t>
  </si>
  <si>
    <t>QB43</t>
  </si>
  <si>
    <t>TE26</t>
  </si>
  <si>
    <t>K14</t>
  </si>
  <si>
    <t>Matt Prater</t>
  </si>
  <si>
    <t>K25</t>
  </si>
  <si>
    <t>WR49</t>
  </si>
  <si>
    <t>QB24</t>
  </si>
  <si>
    <t>Mecole Hardman Jr.</t>
  </si>
  <si>
    <t>WR155</t>
  </si>
  <si>
    <t>Miami Dolphins</t>
  </si>
  <si>
    <t>DST22</t>
  </si>
  <si>
    <t>Michael Carter</t>
  </si>
  <si>
    <t>RB122</t>
  </si>
  <si>
    <t>Michael Gallup</t>
  </si>
  <si>
    <t>WR146</t>
  </si>
  <si>
    <t>Michael Mayer</t>
  </si>
  <si>
    <t>TE46</t>
  </si>
  <si>
    <t>QB23</t>
  </si>
  <si>
    <t>WR46</t>
  </si>
  <si>
    <t>WR76</t>
  </si>
  <si>
    <t>WR17</t>
  </si>
  <si>
    <t>TE21</t>
  </si>
  <si>
    <t>Miles Sanders</t>
  </si>
  <si>
    <t>RB64</t>
  </si>
  <si>
    <t>DST5</t>
  </si>
  <si>
    <t>Mitchell Evans</t>
  </si>
  <si>
    <t>TE57</t>
  </si>
  <si>
    <t>RB42</t>
  </si>
  <si>
    <t>DST20</t>
  </si>
  <si>
    <t>New Orleans Saints</t>
  </si>
  <si>
    <t>DST28</t>
  </si>
  <si>
    <t>DST23</t>
  </si>
  <si>
    <t>DST14</t>
  </si>
  <si>
    <t>RB56</t>
  </si>
  <si>
    <t>Nick Folk</t>
  </si>
  <si>
    <t>K29</t>
  </si>
  <si>
    <t>Nick Westbrook-Ikhine</t>
  </si>
  <si>
    <t>WR95</t>
  </si>
  <si>
    <t>WR7</t>
  </si>
  <si>
    <t>Noah Brown</t>
  </si>
  <si>
    <t>WR115</t>
  </si>
  <si>
    <t>TE37</t>
  </si>
  <si>
    <t>TE32</t>
  </si>
  <si>
    <t>Olamide Zaccheaus</t>
  </si>
  <si>
    <t>WR136</t>
  </si>
  <si>
    <t>RB76</t>
  </si>
  <si>
    <t>RB17</t>
  </si>
  <si>
    <t>Oronde Gadsden II</t>
  </si>
  <si>
    <t>TE40</t>
  </si>
  <si>
    <t>Parker Washington</t>
  </si>
  <si>
    <t>WR100</t>
  </si>
  <si>
    <t>WR85</t>
  </si>
  <si>
    <t>TE23</t>
  </si>
  <si>
    <t>QB6</t>
  </si>
  <si>
    <t>Phil Mafah</t>
  </si>
  <si>
    <t>RB93</t>
  </si>
  <si>
    <t>DST2</t>
  </si>
  <si>
    <t>Pierre Strong Jr.</t>
  </si>
  <si>
    <t>RB116</t>
  </si>
  <si>
    <t>DST4</t>
  </si>
  <si>
    <t>WR6</t>
  </si>
  <si>
    <t>WR68</t>
  </si>
  <si>
    <t>RB43</t>
  </si>
  <si>
    <t>RB40</t>
  </si>
  <si>
    <t>RB73</t>
  </si>
  <si>
    <t>Raheim Sanders</t>
  </si>
  <si>
    <t>RB96</t>
  </si>
  <si>
    <t>WR29</t>
  </si>
  <si>
    <t>WR51</t>
  </si>
  <si>
    <t>WR57</t>
  </si>
  <si>
    <t>RB45</t>
  </si>
  <si>
    <t>Ray-Ray McCloud III</t>
  </si>
  <si>
    <t>WR110</t>
  </si>
  <si>
    <t>RB36</t>
  </si>
  <si>
    <t>WR42</t>
  </si>
  <si>
    <t>RB52</t>
  </si>
  <si>
    <t>RB25</t>
  </si>
  <si>
    <t>Robert Woods</t>
  </si>
  <si>
    <t>WR138</t>
  </si>
  <si>
    <t>WR89</t>
  </si>
  <si>
    <t>WR36</t>
  </si>
  <si>
    <t>WR61</t>
  </si>
  <si>
    <t>Ronnie Rivers</t>
  </si>
  <si>
    <t>RB127</t>
  </si>
  <si>
    <t>RB57</t>
  </si>
  <si>
    <t>QB30</t>
  </si>
  <si>
    <t>QB27</t>
  </si>
  <si>
    <t>Sam Howell</t>
  </si>
  <si>
    <t>QB54</t>
  </si>
  <si>
    <t>TE5</t>
  </si>
  <si>
    <t>Samaje Perine</t>
  </si>
  <si>
    <t>RB100</t>
  </si>
  <si>
    <t>DST15</t>
  </si>
  <si>
    <t>RB3</t>
  </si>
  <si>
    <t>Savion Williams</t>
  </si>
  <si>
    <t>WR122</t>
  </si>
  <si>
    <t>RB80</t>
  </si>
  <si>
    <t>DST11</t>
  </si>
  <si>
    <t>QB35</t>
  </si>
  <si>
    <t>Sincere McCormick</t>
  </si>
  <si>
    <t>RB90</t>
  </si>
  <si>
    <t>QB37</t>
  </si>
  <si>
    <t>WR35</t>
  </si>
  <si>
    <t>Stone Smartt</t>
  </si>
  <si>
    <t>TE62</t>
  </si>
  <si>
    <t>TE4</t>
  </si>
  <si>
    <t>RB70</t>
  </si>
  <si>
    <t>Tai Felton</t>
  </si>
  <si>
    <t>WR117</t>
  </si>
  <si>
    <t>DST17</t>
  </si>
  <si>
    <t>RB41</t>
  </si>
  <si>
    <t>Tank Dell</t>
  </si>
  <si>
    <t>WR131</t>
  </si>
  <si>
    <t>Taysom Hill</t>
  </si>
  <si>
    <t>TE36</t>
  </si>
  <si>
    <t>WR14</t>
  </si>
  <si>
    <t>Tennessee Titans</t>
  </si>
  <si>
    <t>DST31</t>
  </si>
  <si>
    <t>Terrance Ferguson</t>
  </si>
  <si>
    <t>TE38</t>
  </si>
  <si>
    <t>WR20</t>
  </si>
  <si>
    <t>WR24</t>
  </si>
  <si>
    <t>Tez Johnson</t>
  </si>
  <si>
    <t>WR109</t>
  </si>
  <si>
    <t>TE33</t>
  </si>
  <si>
    <t>Theo Wease Jr.</t>
  </si>
  <si>
    <t>WR141</t>
  </si>
  <si>
    <t>Tim Patrick</t>
  </si>
  <si>
    <t>WR103</t>
  </si>
  <si>
    <t>Tommy Tremble</t>
  </si>
  <si>
    <t>TE52</t>
  </si>
  <si>
    <t>RB23</t>
  </si>
  <si>
    <t>Tory Horton</t>
  </si>
  <si>
    <t>WR98</t>
  </si>
  <si>
    <t>RB32</t>
  </si>
  <si>
    <t>WR33</t>
  </si>
  <si>
    <t>TE6</t>
  </si>
  <si>
    <t>Tre Tucker</t>
  </si>
  <si>
    <t>WR99</t>
  </si>
  <si>
    <t>WR66</t>
  </si>
  <si>
    <t>RB20</t>
  </si>
  <si>
    <t>RB81</t>
  </si>
  <si>
    <t>QB18</t>
  </si>
  <si>
    <t>RB48</t>
  </si>
  <si>
    <t>TE2</t>
  </si>
  <si>
    <t>Trey Sermon</t>
  </si>
  <si>
    <t>RB108</t>
  </si>
  <si>
    <t>Treylon Burks</t>
  </si>
  <si>
    <t>WR152</t>
  </si>
  <si>
    <t>Troy Franklin</t>
  </si>
  <si>
    <t>WR121</t>
  </si>
  <si>
    <t>QB21</t>
  </si>
  <si>
    <t>TE10</t>
  </si>
  <si>
    <t>Tutu Atwell</t>
  </si>
  <si>
    <t>WR111</t>
  </si>
  <si>
    <t>Ty Chandler</t>
  </si>
  <si>
    <t>RB95</t>
  </si>
  <si>
    <t>RB79</t>
  </si>
  <si>
    <t>RB39</t>
  </si>
  <si>
    <t>RB47</t>
  </si>
  <si>
    <t>Tyler Badie</t>
  </si>
  <si>
    <t>RB125</t>
  </si>
  <si>
    <t>K10</t>
  </si>
  <si>
    <t>Tyler Conklin</t>
  </si>
  <si>
    <t>TE43</t>
  </si>
  <si>
    <t>Tyler Goodson</t>
  </si>
  <si>
    <t>RB114</t>
  </si>
  <si>
    <t>Tyler Higbee</t>
  </si>
  <si>
    <t>TE39</t>
  </si>
  <si>
    <t>Tyler Johnson</t>
  </si>
  <si>
    <t>WR157</t>
  </si>
  <si>
    <t>WR83</t>
  </si>
  <si>
    <t>K18</t>
  </si>
  <si>
    <t>QB33</t>
  </si>
  <si>
    <t>TE12</t>
  </si>
  <si>
    <t>WR15</t>
  </si>
  <si>
    <t>Tyrod Taylor</t>
  </si>
  <si>
    <t>QB42</t>
  </si>
  <si>
    <t>RB28</t>
  </si>
  <si>
    <t>Van Jefferson</t>
  </si>
  <si>
    <t>WR133</t>
  </si>
  <si>
    <t>WR62</t>
  </si>
  <si>
    <t>DST24</t>
  </si>
  <si>
    <t>K4</t>
  </si>
  <si>
    <t>Will Dissly</t>
  </si>
  <si>
    <t>TE41</t>
  </si>
  <si>
    <t>Will Howard</t>
  </si>
  <si>
    <t>QB49</t>
  </si>
  <si>
    <t>K17</t>
  </si>
  <si>
    <t>RB62</t>
  </si>
  <si>
    <t>RB67</t>
  </si>
  <si>
    <t>WR69</t>
  </si>
  <si>
    <t>Xavier Restrepo</t>
  </si>
  <si>
    <t>WR105</t>
  </si>
  <si>
    <t>WR27</t>
  </si>
  <si>
    <t>K13</t>
  </si>
  <si>
    <t>RB34</t>
  </si>
  <si>
    <t>TE19</t>
  </si>
  <si>
    <t>Zach Wilson</t>
  </si>
  <si>
    <t>QB48</t>
  </si>
  <si>
    <t>Zack Moss</t>
  </si>
  <si>
    <t>RB98</t>
  </si>
  <si>
    <t>Zamir White</t>
  </si>
  <si>
    <t>RB99</t>
  </si>
  <si>
    <t>WR25</t>
  </si>
  <si>
    <t>Zay Jones</t>
  </si>
  <si>
    <t>WR137</t>
  </si>
  <si>
    <r>
      <rPr>
        <b/>
        <sz val="12"/>
        <color theme="1"/>
        <rFont val="Calibri"/>
      </rPr>
      <t xml:space="preserve">Team-Name: </t>
    </r>
    <r>
      <rPr>
        <b/>
        <sz val="12"/>
        <color rgb="FFFF0000"/>
        <rFont val="Calibri"/>
      </rPr>
      <t>Wiesbaden Phantoms</t>
    </r>
  </si>
  <si>
    <t>(Die gezeigte Auswahl stellt ein Beispiel dar!)</t>
  </si>
  <si>
    <t>Running Back</t>
  </si>
  <si>
    <t>(Team)</t>
  </si>
  <si>
    <t>Wide Receiver</t>
  </si>
  <si>
    <t>Tight End</t>
  </si>
  <si>
    <t>Quarterback</t>
  </si>
  <si>
    <t>Kicker</t>
  </si>
  <si>
    <t>Defense</t>
  </si>
  <si>
    <t>Draft Reihenfolge (Positions)</t>
  </si>
  <si>
    <t>Will Lutz</t>
  </si>
  <si>
    <t>Backer Mayfield</t>
  </si>
  <si>
    <t xml:space="preserve">Bo Nix </t>
  </si>
  <si>
    <t>Jonathan Tayloer</t>
  </si>
  <si>
    <t>Garret Wilson</t>
  </si>
  <si>
    <t>Kyle Pitts SR</t>
  </si>
  <si>
    <t>Marvin Harrsion Jr</t>
  </si>
  <si>
    <t>Zack Ertz</t>
  </si>
  <si>
    <t>Import</t>
  </si>
  <si>
    <t>Team-Name: the Boys</t>
  </si>
  <si>
    <t>Barkley</t>
  </si>
  <si>
    <t>Eagles</t>
  </si>
  <si>
    <t>Chase</t>
  </si>
  <si>
    <t>Bengales</t>
  </si>
  <si>
    <t>Bowers</t>
  </si>
  <si>
    <t>Raiders</t>
  </si>
  <si>
    <t>Prescott</t>
  </si>
  <si>
    <t>Cowboys</t>
  </si>
  <si>
    <t>Aubery</t>
  </si>
  <si>
    <t>RB 1</t>
  </si>
  <si>
    <t>Cook</t>
  </si>
  <si>
    <t>Bills</t>
  </si>
  <si>
    <t>McLaurin</t>
  </si>
  <si>
    <t>Comma.</t>
  </si>
  <si>
    <t>McPride</t>
  </si>
  <si>
    <t>Cardinals</t>
  </si>
  <si>
    <t>Herbert</t>
  </si>
  <si>
    <t>Chargers</t>
  </si>
  <si>
    <t>Bates</t>
  </si>
  <si>
    <t>Lions</t>
  </si>
  <si>
    <t>WR 1</t>
  </si>
  <si>
    <t>Hubbard</t>
  </si>
  <si>
    <t>Panthers</t>
  </si>
  <si>
    <t>Smith-Njigba</t>
  </si>
  <si>
    <t>Seahawks</t>
  </si>
  <si>
    <t>LaPorta</t>
  </si>
  <si>
    <t>Love</t>
  </si>
  <si>
    <t>Packers</t>
  </si>
  <si>
    <t>Lutz</t>
  </si>
  <si>
    <t>Broncos</t>
  </si>
  <si>
    <t>Ravens</t>
  </si>
  <si>
    <t xml:space="preserve"> RB 2</t>
  </si>
  <si>
    <t>Hall</t>
  </si>
  <si>
    <t>Jets</t>
  </si>
  <si>
    <t>Wilson</t>
  </si>
  <si>
    <t>Kittle</t>
  </si>
  <si>
    <t>49ers</t>
  </si>
  <si>
    <t>Goff</t>
  </si>
  <si>
    <t>Dicker</t>
  </si>
  <si>
    <t>Steelers</t>
  </si>
  <si>
    <t>WR 2</t>
  </si>
  <si>
    <t>Conner</t>
  </si>
  <si>
    <t>Metcalf</t>
  </si>
  <si>
    <t>Kelce</t>
  </si>
  <si>
    <t>Chiefs</t>
  </si>
  <si>
    <t>Maye</t>
  </si>
  <si>
    <t>Patriots</t>
  </si>
  <si>
    <t>McLaughlin</t>
  </si>
  <si>
    <t>Bucs</t>
  </si>
  <si>
    <t>QB 1</t>
  </si>
  <si>
    <t>Warren</t>
  </si>
  <si>
    <t>Waddle</t>
  </si>
  <si>
    <t>Dolphins</t>
  </si>
  <si>
    <t>Hockenson</t>
  </si>
  <si>
    <t>Vikings</t>
  </si>
  <si>
    <t>Nix</t>
  </si>
  <si>
    <t>Boswell</t>
  </si>
  <si>
    <t>TE 1</t>
  </si>
  <si>
    <t xml:space="preserve">Etienne Jr. </t>
  </si>
  <si>
    <t>Jaguars</t>
  </si>
  <si>
    <t>Olave</t>
  </si>
  <si>
    <t>Saints</t>
  </si>
  <si>
    <t>Andrews</t>
  </si>
  <si>
    <t>Lawrence</t>
  </si>
  <si>
    <t>Bass</t>
  </si>
  <si>
    <t>Mason</t>
  </si>
  <si>
    <t>Odunze</t>
  </si>
  <si>
    <t>Bears</t>
  </si>
  <si>
    <t>Engram</t>
  </si>
  <si>
    <t>Stroud</t>
  </si>
  <si>
    <t>Texans</t>
  </si>
  <si>
    <t>Elliott</t>
  </si>
  <si>
    <t>Skattebo</t>
  </si>
  <si>
    <t>Giants</t>
  </si>
  <si>
    <t>Jeudy</t>
  </si>
  <si>
    <t>Browns</t>
  </si>
  <si>
    <t>Pitts</t>
  </si>
  <si>
    <t>Falcons</t>
  </si>
  <si>
    <t>Williams</t>
  </si>
  <si>
    <t>Koo</t>
  </si>
  <si>
    <t>Rams</t>
  </si>
  <si>
    <t>Def 1</t>
  </si>
  <si>
    <t>White</t>
  </si>
  <si>
    <t>Addison</t>
  </si>
  <si>
    <t>Ferguson</t>
  </si>
  <si>
    <t>Purdy</t>
  </si>
  <si>
    <t>Fairbairn</t>
  </si>
  <si>
    <t>Texas</t>
  </si>
  <si>
    <t>Kirk</t>
  </si>
  <si>
    <t>Njoku</t>
  </si>
  <si>
    <t>Stafford</t>
  </si>
  <si>
    <t>McPherson</t>
  </si>
  <si>
    <t>Allgeier</t>
  </si>
  <si>
    <t>McMillan</t>
  </si>
  <si>
    <t>Kraft</t>
  </si>
  <si>
    <t>Smith</t>
  </si>
  <si>
    <t>Carlson</t>
  </si>
  <si>
    <t>Dowdle</t>
  </si>
  <si>
    <t>Johnston</t>
  </si>
  <si>
    <t>Kincaid</t>
  </si>
  <si>
    <t>Ward</t>
  </si>
  <si>
    <t>Titans</t>
  </si>
  <si>
    <t>Moody</t>
  </si>
  <si>
    <t>Def 2</t>
  </si>
  <si>
    <t>Chubb</t>
  </si>
  <si>
    <t>Doubs</t>
  </si>
  <si>
    <t>Colts</t>
  </si>
  <si>
    <t>Tagovailoa</t>
  </si>
  <si>
    <t>Santos</t>
  </si>
  <si>
    <t>Giddens</t>
  </si>
  <si>
    <t>Henry</t>
  </si>
  <si>
    <t>Young</t>
  </si>
  <si>
    <t>McManus</t>
  </si>
  <si>
    <t>Spears</t>
  </si>
  <si>
    <t>Palmer</t>
  </si>
  <si>
    <t xml:space="preserve">Otton </t>
  </si>
  <si>
    <t>McCarthy</t>
  </si>
  <si>
    <t>Reichard</t>
  </si>
  <si>
    <t>Dobbins</t>
  </si>
  <si>
    <t>Bech</t>
  </si>
  <si>
    <t>Goedert</t>
  </si>
  <si>
    <t>Penix Jr.</t>
  </si>
  <si>
    <t>Gay</t>
  </si>
  <si>
    <t>Shipley</t>
  </si>
  <si>
    <t>Thielen</t>
  </si>
  <si>
    <t>Richardson Sr.</t>
  </si>
  <si>
    <t>Karty</t>
  </si>
  <si>
    <t>Blue</t>
  </si>
  <si>
    <t>Tillman</t>
  </si>
  <si>
    <t>Schultz</t>
  </si>
  <si>
    <t>Darnold</t>
  </si>
  <si>
    <t>Butker</t>
  </si>
  <si>
    <t>Gibson</t>
  </si>
  <si>
    <t>Nailor</t>
  </si>
  <si>
    <t>Ertz</t>
  </si>
  <si>
    <t>Rodgers</t>
  </si>
  <si>
    <t>Gano</t>
  </si>
  <si>
    <t>Tolbert</t>
  </si>
  <si>
    <t>Turpin</t>
  </si>
  <si>
    <r>
      <rPr>
        <b/>
        <sz val="12"/>
        <color theme="1"/>
        <rFont val="Calibri"/>
      </rPr>
      <t xml:space="preserve">Team-Name: </t>
    </r>
    <r>
      <rPr>
        <b/>
        <sz val="12"/>
        <color rgb="FFFF0000"/>
        <rFont val="Calibri"/>
      </rPr>
      <t>The 49vengers</t>
    </r>
  </si>
  <si>
    <t>Omarion Hampton </t>
  </si>
  <si>
    <t>III</t>
  </si>
  <si>
    <t>DK</t>
  </si>
  <si>
    <t>DJ</t>
  </si>
  <si>
    <t>Aaron Jones</t>
  </si>
  <si>
    <r>
      <rPr>
        <b/>
        <sz val="12"/>
        <color theme="1"/>
        <rFont val="Calibri"/>
      </rPr>
      <t xml:space="preserve">Team-Name: </t>
    </r>
    <r>
      <rPr>
        <b/>
        <sz val="12"/>
        <color rgb="FFFF0000"/>
        <rFont val="Calibri"/>
      </rPr>
      <t>Brady Gaga</t>
    </r>
  </si>
  <si>
    <t>Gibbs</t>
  </si>
  <si>
    <t>Jackson</t>
  </si>
  <si>
    <t>Aubrey</t>
  </si>
  <si>
    <t>Lamb</t>
  </si>
  <si>
    <t>Hurts</t>
  </si>
  <si>
    <t>Jeanty</t>
  </si>
  <si>
    <t>Jefferson</t>
  </si>
  <si>
    <t>Daniels</t>
  </si>
  <si>
    <t>Jacobs</t>
  </si>
  <si>
    <t>Collins</t>
  </si>
  <si>
    <t>Burrow</t>
  </si>
  <si>
    <t>Achane</t>
  </si>
  <si>
    <t>Nabers</t>
  </si>
  <si>
    <t>Taylor</t>
  </si>
  <si>
    <t>Nacua</t>
  </si>
  <si>
    <r>
      <rPr>
        <b/>
        <sz val="12"/>
        <color theme="1"/>
        <rFont val="Calibri"/>
      </rPr>
      <t xml:space="preserve">Team-Name: </t>
    </r>
    <r>
      <rPr>
        <b/>
        <sz val="12"/>
        <color rgb="FFFF0000"/>
        <rFont val="Calibri"/>
      </rPr>
      <t>Bishop Sycamore</t>
    </r>
  </si>
  <si>
    <t>JAX</t>
  </si>
  <si>
    <t>Kyreen Williams</t>
  </si>
  <si>
    <t>James Connor</t>
  </si>
  <si>
    <t>Cuba Hubbard</t>
  </si>
  <si>
    <t>David Montogomery</t>
  </si>
  <si>
    <t>Team-Name: Fighting Farmers</t>
  </si>
  <si>
    <t>Patrick Mahomes</t>
  </si>
  <si>
    <t>Tampa Bay Bucaneers</t>
  </si>
  <si>
    <t>Kyle Pitts</t>
  </si>
  <si>
    <t xml:space="preserve">Team-Name: Thunder Ducks </t>
  </si>
  <si>
    <t xml:space="preserve">Justin Jefferson </t>
  </si>
  <si>
    <t>Sam Laporta</t>
  </si>
  <si>
    <t>Chase McLaughlin </t>
  </si>
  <si>
    <t>Asthon Jeanty</t>
  </si>
  <si>
    <t>Ka'imi Fairbairn </t>
  </si>
  <si>
    <t xml:space="preserve">Josh Jacobs </t>
  </si>
  <si>
    <t xml:space="preserve">Evan Engram </t>
  </si>
  <si>
    <t>Ladd Mcconkey</t>
  </si>
  <si>
    <r>
      <rPr>
        <b/>
        <sz val="12"/>
        <color theme="1"/>
        <rFont val="Calibri"/>
      </rPr>
      <t xml:space="preserve">Team-Name: </t>
    </r>
    <r>
      <rPr>
        <b/>
        <sz val="12"/>
        <color rgb="FFFF0000"/>
        <rFont val="Calibri"/>
      </rPr>
      <t>Foxboro Forever</t>
    </r>
  </si>
  <si>
    <t>Ja’Marr Chase</t>
  </si>
  <si>
    <t>De’Von Achane</t>
  </si>
  <si>
    <r>
      <rPr>
        <strike/>
        <sz val="12"/>
        <color theme="1"/>
        <rFont val="Calibri"/>
      </rPr>
      <t>Malik Nabers</t>
    </r>
    <r>
      <rPr>
        <strike/>
        <sz val="12"/>
        <color theme="1"/>
        <rFont val="Calibri"/>
      </rPr>
      <t xml:space="preserve"> </t>
    </r>
  </si>
  <si>
    <r>
      <rPr>
        <strike/>
        <sz val="12"/>
        <color theme="1"/>
        <rFont val="Calibri"/>
      </rPr>
      <t>Travis Hunter</t>
    </r>
    <r>
      <rPr>
        <strike/>
        <sz val="12"/>
        <color theme="1"/>
        <rFont val="Calibri"/>
      </rPr>
      <t xml:space="preserve"> </t>
    </r>
  </si>
  <si>
    <t xml:space="preserve">Jacksonville Jaguars </t>
  </si>
  <si>
    <t>Brett Maher</t>
  </si>
  <si>
    <r>
      <rPr>
        <strike/>
        <sz val="12"/>
        <color theme="1"/>
        <rFont val="Calibri"/>
      </rPr>
      <t>Tetairoa McMillan</t>
    </r>
    <r>
      <rPr>
        <strike/>
        <sz val="12"/>
        <color theme="1"/>
        <rFont val="Calibri"/>
      </rPr>
      <t xml:space="preserve"> </t>
    </r>
  </si>
  <si>
    <t xml:space="preserve">Emeka Egbuka </t>
  </si>
  <si>
    <t>Rodrigo Blankenship</t>
  </si>
  <si>
    <r>
      <rPr>
        <strike/>
        <sz val="12"/>
        <color theme="1"/>
        <rFont val="Calibri"/>
      </rPr>
      <t>Luther Burden III</t>
    </r>
    <r>
      <rPr>
        <strike/>
        <sz val="12"/>
        <color theme="1"/>
        <rFont val="Calibri"/>
      </rPr>
      <t xml:space="preserve"> </t>
    </r>
  </si>
  <si>
    <r>
      <rPr>
        <strike/>
        <sz val="12"/>
        <color theme="1"/>
        <rFont val="Calibri"/>
      </rPr>
      <t>Tre Harris</t>
    </r>
    <r>
      <rPr>
        <strike/>
        <sz val="12"/>
        <color theme="1"/>
        <rFont val="Calibri"/>
      </rPr>
      <t xml:space="preserve"> </t>
    </r>
  </si>
  <si>
    <r>
      <rPr>
        <strike/>
        <sz val="12"/>
        <color theme="1"/>
        <rFont val="Calibri"/>
      </rPr>
      <t>Brian Thomas Jr.</t>
    </r>
    <r>
      <rPr>
        <strike/>
        <sz val="12"/>
        <color theme="1"/>
        <rFont val="Calibri"/>
      </rPr>
      <t xml:space="preserve"> </t>
    </r>
  </si>
  <si>
    <t>Chigoziem Okonkwo</t>
  </si>
  <si>
    <t>Zane Gonzalez</t>
  </si>
  <si>
    <t>Mike Williams</t>
  </si>
  <si>
    <r>
      <rPr>
        <strike/>
        <sz val="12"/>
        <color theme="1"/>
        <rFont val="Calibri"/>
      </rPr>
      <t>DJ Moore</t>
    </r>
    <r>
      <rPr>
        <strike/>
        <sz val="12"/>
        <color theme="1"/>
        <rFont val="Calibri"/>
      </rPr>
      <t xml:space="preserve"> </t>
    </r>
  </si>
  <si>
    <t>Tyrone Tracy Jr</t>
  </si>
  <si>
    <t>Steelersnation7</t>
  </si>
  <si>
    <t>Robinson</t>
  </si>
  <si>
    <t>Allen</t>
  </si>
  <si>
    <t>Sanders</t>
  </si>
  <si>
    <t>McBride</t>
  </si>
  <si>
    <t>Mahomes</t>
  </si>
  <si>
    <t>Brown</t>
  </si>
  <si>
    <t>St. Brown</t>
  </si>
  <si>
    <t>Fields</t>
  </si>
  <si>
    <t>London</t>
  </si>
  <si>
    <t>Murray</t>
  </si>
  <si>
    <t>McCaffrey</t>
  </si>
  <si>
    <t>Evans</t>
  </si>
  <si>
    <t>Njouku</t>
  </si>
  <si>
    <t>Elliot</t>
  </si>
  <si>
    <t>Hill</t>
  </si>
  <si>
    <t>Irving</t>
  </si>
  <si>
    <t>Mayfield</t>
  </si>
  <si>
    <t>Pickens</t>
  </si>
  <si>
    <t>Purdx</t>
  </si>
  <si>
    <t>Pollard</t>
  </si>
  <si>
    <t>Adams</t>
  </si>
  <si>
    <t>Myers</t>
  </si>
  <si>
    <t>Tua</t>
  </si>
  <si>
    <t>Hopkins</t>
  </si>
  <si>
    <t>Swift</t>
  </si>
  <si>
    <t>Thomas JR</t>
  </si>
  <si>
    <t>Okonkwo</t>
  </si>
  <si>
    <t>Henderson</t>
  </si>
  <si>
    <t>Higgins</t>
  </si>
  <si>
    <t>Otton</t>
  </si>
  <si>
    <t>Freiermuth</t>
  </si>
  <si>
    <t>Jones</t>
  </si>
  <si>
    <t>Arroy</t>
  </si>
  <si>
    <t>Pacheco</t>
  </si>
  <si>
    <t xml:space="preserve">Smith </t>
  </si>
  <si>
    <t>Strange</t>
  </si>
  <si>
    <r>
      <rPr>
        <sz val="12"/>
        <color theme="1"/>
        <rFont val="Calibri"/>
      </rPr>
      <t xml:space="preserve">Starter: </t>
    </r>
    <r>
      <rPr>
        <sz val="11"/>
        <color rgb="FFFF0000"/>
        <rFont val="Arial"/>
      </rPr>
      <t>1QB</t>
    </r>
    <r>
      <rPr>
        <sz val="12"/>
        <color theme="1"/>
        <rFont val="Calibri"/>
      </rPr>
      <t xml:space="preserve">, </t>
    </r>
    <r>
      <rPr>
        <sz val="11"/>
        <color rgb="FFFF0000"/>
        <rFont val="Arial"/>
      </rPr>
      <t>2RB</t>
    </r>
    <r>
      <rPr>
        <sz val="12"/>
        <color theme="1"/>
        <rFont val="Calibri"/>
      </rPr>
      <t xml:space="preserve">, </t>
    </r>
    <r>
      <rPr>
        <sz val="11"/>
        <color rgb="FFFF0000"/>
        <rFont val="Arial"/>
      </rPr>
      <t>2WR</t>
    </r>
    <r>
      <rPr>
        <sz val="12"/>
        <color theme="1"/>
        <rFont val="Calibri"/>
      </rPr>
      <t xml:space="preserve">, </t>
    </r>
    <r>
      <rPr>
        <sz val="11"/>
        <color rgb="FFFF0000"/>
        <rFont val="Arial"/>
      </rPr>
      <t>1TE</t>
    </r>
    <r>
      <rPr>
        <sz val="12"/>
        <color theme="1"/>
        <rFont val="Calibri"/>
      </rPr>
      <t xml:space="preserve">, </t>
    </r>
    <r>
      <rPr>
        <sz val="11"/>
        <color rgb="FFFF0000"/>
        <rFont val="Arial"/>
      </rPr>
      <t>1K</t>
    </r>
    <r>
      <rPr>
        <sz val="12"/>
        <color theme="1"/>
        <rFont val="Calibri"/>
      </rPr>
      <t>,</t>
    </r>
    <r>
      <rPr>
        <sz val="11"/>
        <color rgb="FFFF0000"/>
        <rFont val="Arial"/>
      </rPr>
      <t xml:space="preserve"> 1DEF</t>
    </r>
    <r>
      <rPr>
        <sz val="12"/>
        <color theme="1"/>
        <rFont val="Calibri"/>
      </rPr>
      <t>,</t>
    </r>
    <r>
      <rPr>
        <sz val="11"/>
        <color rgb="FFFF0000"/>
        <rFont val="Arial"/>
      </rPr>
      <t xml:space="preserve"> 1Flex(RB/WR)</t>
    </r>
  </si>
  <si>
    <r>
      <rPr>
        <sz val="12"/>
        <color theme="1"/>
        <rFont val="Calibri"/>
      </rPr>
      <t xml:space="preserve">Bench: </t>
    </r>
    <r>
      <rPr>
        <sz val="11"/>
        <color rgb="FFFF0000"/>
        <rFont val="Arial"/>
      </rPr>
      <t>6</t>
    </r>
  </si>
  <si>
    <r>
      <rPr>
        <b/>
        <sz val="12"/>
        <color theme="1"/>
        <rFont val="Calibri"/>
      </rPr>
      <t xml:space="preserve">Team-Name: </t>
    </r>
    <r>
      <rPr>
        <b/>
        <sz val="12"/>
        <color rgb="FFFF0000"/>
        <rFont val="Calibri"/>
      </rPr>
      <t>BearD</t>
    </r>
  </si>
  <si>
    <r>
      <rPr>
        <b/>
        <sz val="12"/>
        <color theme="1"/>
        <rFont val="Calibri"/>
      </rPr>
      <t xml:space="preserve">Team-Name: </t>
    </r>
    <r>
      <rPr>
        <b/>
        <sz val="12"/>
        <color rgb="FFFF0000"/>
        <rFont val="Calibri"/>
      </rPr>
      <t>Johnny Manziel</t>
    </r>
  </si>
  <si>
    <r>
      <rPr>
        <b/>
        <sz val="12"/>
        <color theme="1"/>
        <rFont val="Calibri"/>
      </rPr>
      <t xml:space="preserve">Team-Name: </t>
    </r>
    <r>
      <rPr>
        <b/>
        <sz val="12"/>
        <color rgb="FFFF0000"/>
        <rFont val="Calibri"/>
      </rPr>
      <t>Default</t>
    </r>
  </si>
  <si>
    <t>RB/WR</t>
  </si>
  <si>
    <t>Alexander Mattison</t>
  </si>
  <si>
    <t>Derek Carr</t>
  </si>
  <si>
    <t>Jamaal Williams</t>
  </si>
  <si>
    <t>Dalvin Cook</t>
  </si>
  <si>
    <t>Hayden Hurst</t>
  </si>
  <si>
    <t>Tyler Boyd</t>
  </si>
  <si>
    <t>Greg Zuerlein</t>
  </si>
  <si>
    <t>Steelersnation</t>
  </si>
  <si>
    <t>Johnny Manziel &amp; Friends</t>
  </si>
  <si>
    <t>12th Man Army</t>
  </si>
  <si>
    <t>Goldkrone United</t>
  </si>
  <si>
    <t>Gronk Nation</t>
  </si>
  <si>
    <t>Randy Moss LoB</t>
  </si>
  <si>
    <t>Bernem Bembels</t>
  </si>
  <si>
    <t>Zeke Elliot</t>
  </si>
  <si>
    <t>DeAndre Hopskins</t>
  </si>
  <si>
    <t>Julio Jones</t>
  </si>
  <si>
    <t>Darrell Henderson</t>
  </si>
  <si>
    <t>James Robinson</t>
  </si>
  <si>
    <t>AJ Brown</t>
  </si>
  <si>
    <t>Chris Carson</t>
  </si>
  <si>
    <t>D`Andre Swift</t>
  </si>
  <si>
    <t>D.K. Metcalf</t>
  </si>
  <si>
    <t>Leonard Fornette</t>
  </si>
  <si>
    <t>C.Edwards - Helaire</t>
  </si>
  <si>
    <t>Ronald Jones 3</t>
  </si>
  <si>
    <t>Mike Davis</t>
  </si>
  <si>
    <t>A. Robinson 2</t>
  </si>
  <si>
    <t>J. Williams</t>
  </si>
  <si>
    <t>Miles Gaskin</t>
  </si>
  <si>
    <t>Chase Edmonds</t>
  </si>
  <si>
    <t>Kenny Golladay</t>
  </si>
  <si>
    <t>Ryan Tannehill</t>
  </si>
  <si>
    <t>David Johnson</t>
  </si>
  <si>
    <t>Tom Brady</t>
  </si>
  <si>
    <t>Jacobi Meyers</t>
  </si>
  <si>
    <t>Melvin Gordon 3</t>
  </si>
  <si>
    <t>TJ Hockerson</t>
  </si>
  <si>
    <t>Damien Harris</t>
  </si>
  <si>
    <t>Odell Beckham Jr</t>
  </si>
  <si>
    <t>Raheem Mostart</t>
  </si>
  <si>
    <t>Logan Thomas</t>
  </si>
  <si>
    <t>Ja`Marr Chase</t>
  </si>
  <si>
    <t>Chase Claypool</t>
  </si>
  <si>
    <t>D. Johnson</t>
  </si>
  <si>
    <t>Robert Tonyan</t>
  </si>
  <si>
    <t>Devonta Smith</t>
  </si>
  <si>
    <t>Michael Thomas</t>
  </si>
  <si>
    <t>J. Smith - Schuster</t>
  </si>
  <si>
    <t>Matt Ryan</t>
  </si>
  <si>
    <t>Kenyan Drake</t>
  </si>
  <si>
    <t>Rob Gronkowski</t>
  </si>
  <si>
    <t>Tarik Cohen</t>
  </si>
  <si>
    <t>Mecole Hardman</t>
  </si>
  <si>
    <t>Benny Snell Jr</t>
  </si>
  <si>
    <t>Gerald Everett</t>
  </si>
  <si>
    <t>Robby Anderson</t>
  </si>
  <si>
    <t>JD McKissic</t>
  </si>
  <si>
    <t xml:space="preserve">Irv Smith Jr. </t>
  </si>
  <si>
    <t>Will Fuller V</t>
  </si>
  <si>
    <t>Antonio Brown</t>
  </si>
  <si>
    <t>Deebo Samuel</t>
  </si>
  <si>
    <t>Jarvis Laundry</t>
  </si>
  <si>
    <t>Nyheim Hines</t>
  </si>
  <si>
    <t>Corey Davis</t>
  </si>
  <si>
    <t>Redskins</t>
  </si>
  <si>
    <t>Tevin Coleman</t>
  </si>
  <si>
    <t>Marvin Jones Jr.</t>
  </si>
  <si>
    <t>Tre`Quan Smith</t>
  </si>
  <si>
    <t>James White</t>
  </si>
  <si>
    <t>AJ Dillion</t>
  </si>
  <si>
    <t>Blake Jarwin</t>
  </si>
  <si>
    <t>Travis Eteinne</t>
  </si>
  <si>
    <t>Cole Beasley</t>
  </si>
  <si>
    <t>Russell Gage</t>
  </si>
  <si>
    <t>Ben Roethlisburger</t>
  </si>
  <si>
    <t>L. Shenault Jr.</t>
  </si>
  <si>
    <t>Devante Parker</t>
  </si>
  <si>
    <t>Ryan Fitzpatrick</t>
  </si>
  <si>
    <t>Mark Ingram 2</t>
  </si>
  <si>
    <t>Latavius Murray</t>
  </si>
  <si>
    <t>Jared Cook</t>
  </si>
  <si>
    <t>Darren Williams</t>
  </si>
  <si>
    <t>Sony Michel</t>
  </si>
  <si>
    <t>James Winston</t>
  </si>
  <si>
    <t>Rashaad Penny</t>
  </si>
  <si>
    <t>Phillip Linday</t>
  </si>
  <si>
    <t>Trey Lance</t>
  </si>
  <si>
    <t>Geovani Bernard</t>
  </si>
  <si>
    <t>Damian Williams</t>
  </si>
  <si>
    <t>Amon-Ra St.Brown</t>
  </si>
  <si>
    <t>Gabriel Davis</t>
  </si>
  <si>
    <t>Jamison Crowder</t>
  </si>
  <si>
    <t>Rondale Moore</t>
  </si>
  <si>
    <t>Marquez Callway</t>
  </si>
  <si>
    <t>Marlon Mack</t>
  </si>
  <si>
    <t>Malcom Brown</t>
  </si>
  <si>
    <t>Henry Ruggs 3</t>
  </si>
  <si>
    <t>TY Hilton</t>
  </si>
  <si>
    <t>Salvon Ahmed</t>
  </si>
  <si>
    <t>Boston Scott</t>
  </si>
  <si>
    <t>Emanuel Sanders</t>
  </si>
  <si>
    <t>Carson Wentz</t>
  </si>
  <si>
    <t>Eric Ebron</t>
  </si>
  <si>
    <t>Sterling Shephard</t>
  </si>
  <si>
    <t>Anthony Firkser</t>
  </si>
  <si>
    <t>Devonte Booker</t>
  </si>
  <si>
    <t>Jalen Reagor</t>
  </si>
  <si>
    <t>Jordan Akins</t>
  </si>
  <si>
    <t>Carlos Hyde</t>
  </si>
  <si>
    <t>Justin Jackson</t>
  </si>
  <si>
    <t>Randall Cobb</t>
  </si>
  <si>
    <t>Nelson Agholor</t>
  </si>
  <si>
    <t>Joshua Kelly</t>
  </si>
  <si>
    <t>Deejay Dallas</t>
  </si>
  <si>
    <t>Jimmy Graham</t>
  </si>
  <si>
    <t>Dan Arnold</t>
  </si>
  <si>
    <t>R. Stevenson</t>
  </si>
  <si>
    <t>Teddy Bridgewater</t>
  </si>
  <si>
    <t>OJ Howard</t>
  </si>
  <si>
    <t>Qadree Ollison</t>
  </si>
  <si>
    <t>AJ Green</t>
  </si>
  <si>
    <t>T. Williams</t>
  </si>
  <si>
    <t>Cam Newton</t>
  </si>
  <si>
    <t>Le´Veon Bell</t>
  </si>
  <si>
    <t>J.McKinnon</t>
  </si>
  <si>
    <t>A. McFarland Jr</t>
  </si>
  <si>
    <t>Gardner Minshew 2</t>
  </si>
  <si>
    <t>Bryan Edwards</t>
  </si>
  <si>
    <t>Marquez Valdes-Scating</t>
  </si>
  <si>
    <t>Wayne Gallman</t>
  </si>
  <si>
    <t>Paris Campbell</t>
  </si>
  <si>
    <t>Jack Doyle</t>
  </si>
  <si>
    <t>C.Herndon 4</t>
  </si>
  <si>
    <t>Robbie Gould</t>
  </si>
  <si>
    <t>Mo Alie-Cox</t>
  </si>
  <si>
    <t>Drew Lock</t>
  </si>
  <si>
    <t>Sammy Watkins</t>
  </si>
  <si>
    <t>Rashaad Perriman</t>
  </si>
  <si>
    <t>John Brown</t>
  </si>
  <si>
    <t>CJ Uzomah</t>
  </si>
  <si>
    <t>Mason Crosby</t>
  </si>
  <si>
    <t>Ryan Succop</t>
  </si>
  <si>
    <t>Deshaun Jackson</t>
  </si>
  <si>
    <t>T.Marshall Jr</t>
  </si>
  <si>
    <t>Michael Badgley</t>
  </si>
  <si>
    <t>Todd Gurley 2</t>
  </si>
  <si>
    <t>Matt Breida</t>
  </si>
  <si>
    <t>Sam Ficken</t>
  </si>
  <si>
    <t>KJ Hamler</t>
  </si>
  <si>
    <t>Dalton Schutz</t>
  </si>
  <si>
    <t>Josh Lambo</t>
  </si>
  <si>
    <t>Joey Slye</t>
  </si>
  <si>
    <t>Jack Elliot</t>
  </si>
  <si>
    <t>Anthony Miller</t>
  </si>
  <si>
    <t>Denzel Mims</t>
  </si>
  <si>
    <t>Kean N`Harry</t>
  </si>
  <si>
    <t>Jeff Wilson JR</t>
  </si>
  <si>
    <t>L.Perine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</si>
</sst>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scheme val="minor"/>
    </font>
    <font>
      <sz val="11"/>
      <color theme="1"/>
      <name val="Calibri"/>
    </font>
    <font>
      <b/>
      <sz val="12"/>
      <color rgb="FFFFFFFF"/>
      <name val="Calibri"/>
    </font>
    <font>
      <sz val="11"/>
      <name val="Calibri"/>
    </font>
    <font>
      <sz val="12"/>
      <color rgb="FFFFFFFF"/>
      <name val="Calibri"/>
    </font>
    <font>
      <b/>
      <sz val="11"/>
      <color theme="1"/>
      <name val="Calibri"/>
    </font>
    <font>
      <b/>
      <sz val="12"/>
      <color theme="1"/>
      <name val="Calibri"/>
    </font>
    <font>
      <sz val="5"/>
      <color theme="0"/>
      <name val="Calibri"/>
    </font>
    <font>
      <sz val="6"/>
      <color theme="1"/>
      <name val="Calibri"/>
    </font>
    <font>
      <b/>
      <sz val="11"/>
      <color rgb="FF000000"/>
      <name val="Calibri"/>
    </font>
    <font>
      <sz val="11"/>
      <color rgb="FF000000"/>
      <name val="Calibri"/>
    </font>
    <font>
      <sz val="11"/>
      <color theme="0"/>
      <name val="Calibri"/>
    </font>
    <font>
      <sz val="8"/>
      <color theme="1"/>
      <name val="Calibri"/>
    </font>
    <font>
      <b/>
      <sz val="11"/>
      <color theme="1"/>
      <name val="Calibri"/>
      <scheme val="minor"/>
    </font>
    <font>
      <sz val="11"/>
      <color rgb="FF000000"/>
      <name val="Calibri"/>
      <scheme val="minor"/>
    </font>
    <font>
      <sz val="11"/>
      <color rgb="FF000000"/>
      <name val="&quot;Aptos Narrow&quot;"/>
    </font>
    <font>
      <sz val="11"/>
      <color theme="1"/>
      <name val="Calibri"/>
      <scheme val="minor"/>
    </font>
    <font>
      <u/>
      <sz val="11"/>
      <color rgb="FF0563C1"/>
      <name val="Calibri"/>
      <scheme val="minor"/>
    </font>
    <font>
      <sz val="11"/>
      <color rgb="FF000000"/>
      <name val="Arial"/>
    </font>
    <font>
      <sz val="12"/>
      <color theme="1"/>
      <name val="Calibri"/>
    </font>
    <font>
      <b/>
      <sz val="9"/>
      <color rgb="FFFF0000"/>
      <name val="Calibri"/>
    </font>
    <font>
      <strike/>
      <sz val="12"/>
      <color theme="1"/>
      <name val="Calibri"/>
    </font>
    <font>
      <sz val="12"/>
      <color rgb="FFFF0000"/>
      <name val="Calibri"/>
    </font>
    <font>
      <b/>
      <sz val="12"/>
      <color rgb="FFFF0000"/>
      <name val="Calibri"/>
    </font>
    <font>
      <sz val="11"/>
      <color rgb="FFFF0000"/>
      <name val="Arial"/>
    </font>
  </fonts>
  <fills count="16">
    <fill>
      <patternFill patternType="none"/>
    </fill>
    <fill>
      <patternFill patternType="gray125"/>
    </fill>
    <fill>
      <patternFill patternType="solid">
        <fgColor theme="0"/>
        <bgColor theme="0"/>
      </patternFill>
    </fill>
    <fill>
      <patternFill patternType="solid">
        <fgColor rgb="FF999999"/>
        <bgColor rgb="FF999999"/>
      </patternFill>
    </fill>
    <fill>
      <patternFill patternType="solid">
        <fgColor rgb="FF9999FF"/>
        <bgColor rgb="FF9999FF"/>
      </patternFill>
    </fill>
    <fill>
      <patternFill patternType="solid">
        <fgColor rgb="FF0089E6"/>
        <bgColor rgb="FF0089E6"/>
      </patternFill>
    </fill>
    <fill>
      <patternFill patternType="solid">
        <fgColor rgb="FF009900"/>
        <bgColor rgb="FF009900"/>
      </patternFill>
    </fill>
    <fill>
      <patternFill patternType="solid">
        <fgColor rgb="FFCC0000"/>
        <bgColor rgb="FFCC0000"/>
      </patternFill>
    </fill>
    <fill>
      <patternFill patternType="solid">
        <fgColor rgb="FF808080"/>
        <bgColor rgb="FF808080"/>
      </patternFill>
    </fill>
    <fill>
      <patternFill patternType="solid">
        <fgColor rgb="FF009999"/>
        <bgColor rgb="FF009999"/>
      </patternFill>
    </fill>
    <fill>
      <patternFill patternType="solid">
        <fgColor rgb="FFD8D8D8"/>
        <bgColor rgb="FFD8D8D8"/>
      </patternFill>
    </fill>
    <fill>
      <patternFill patternType="solid">
        <fgColor rgb="FFFFFF99"/>
        <bgColor rgb="FFFFFF99"/>
      </patternFill>
    </fill>
    <fill>
      <patternFill patternType="solid">
        <fgColor rgb="FFFFFFFF"/>
        <bgColor rgb="FFFFFFFF"/>
      </patternFill>
    </fill>
    <fill>
      <patternFill patternType="solid">
        <fgColor rgb="FFB8CCE4"/>
        <bgColor rgb="FFB8CCE4"/>
      </patternFill>
    </fill>
    <fill>
      <patternFill patternType="solid">
        <fgColor rgb="FFE5B8B7"/>
        <bgColor rgb="FFE5B8B7"/>
      </patternFill>
    </fill>
    <fill>
      <patternFill patternType="solid">
        <fgColor rgb="FFF2F2F2"/>
        <bgColor rgb="FFF2F2F2"/>
      </patternFill>
    </fill>
  </fills>
  <borders count="49">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rgb="FF7F7F7F"/>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F2F2F2"/>
      </left>
      <right style="thin">
        <color rgb="FFF2F2F2"/>
      </right>
      <top style="thin">
        <color rgb="FFF2F2F2"/>
      </top>
      <bottom style="thin">
        <color rgb="FFF2F2F2"/>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144">
    <xf numFmtId="0" fontId="0" fillId="0" borderId="0" xfId="0"/>
    <xf numFmtId="0" fontId="1" fillId="2" borderId="1" xfId="0" applyFont="1" applyFill="1" applyBorder="1"/>
    <xf numFmtId="0" fontId="1" fillId="2" borderId="1" xfId="0" applyFont="1" applyFill="1" applyBorder="1" applyAlignment="1">
      <alignment horizontal="center"/>
    </xf>
    <xf numFmtId="2" fontId="1" fillId="2" borderId="1" xfId="0" applyNumberFormat="1" applyFont="1" applyFill="1" applyBorder="1"/>
    <xf numFmtId="0" fontId="1" fillId="2" borderId="1" xfId="0" applyFont="1" applyFill="1" applyBorder="1" applyAlignment="1">
      <alignment horizontal="center" vertical="center" wrapText="1"/>
    </xf>
    <xf numFmtId="0" fontId="4" fillId="0" borderId="0" xfId="0" applyFont="1" applyAlignment="1">
      <alignment horizontal="center" vertical="center" wrapText="1"/>
    </xf>
    <xf numFmtId="0" fontId="5" fillId="2" borderId="1" xfId="0" applyFont="1" applyFill="1" applyBorder="1" applyAlignment="1">
      <alignment horizontal="center" vertical="center" wrapText="1"/>
    </xf>
    <xf numFmtId="2" fontId="5" fillId="2" borderId="1" xfId="0" applyNumberFormat="1" applyFont="1" applyFill="1" applyBorder="1" applyAlignment="1">
      <alignment horizontal="center" vertical="center" wrapText="1"/>
    </xf>
    <xf numFmtId="0" fontId="1" fillId="2" borderId="1" xfId="0" applyFont="1" applyFill="1" applyBorder="1" applyAlignment="1">
      <alignment vertical="center"/>
    </xf>
    <xf numFmtId="0" fontId="5"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1" fillId="0" borderId="0" xfId="0" applyFont="1"/>
    <xf numFmtId="0" fontId="1" fillId="0" borderId="0" xfId="0" applyFont="1" applyAlignment="1">
      <alignment horizontal="center"/>
    </xf>
    <xf numFmtId="2" fontId="1" fillId="0" borderId="0" xfId="0" applyNumberFormat="1" applyFont="1"/>
    <xf numFmtId="0" fontId="1" fillId="4" borderId="1" xfId="0" applyFont="1" applyFill="1" applyBorder="1"/>
    <xf numFmtId="0" fontId="1" fillId="5" borderId="1" xfId="0" applyFont="1" applyFill="1" applyBorder="1"/>
    <xf numFmtId="0" fontId="1" fillId="6" borderId="1" xfId="0" applyFont="1" applyFill="1" applyBorder="1"/>
    <xf numFmtId="0" fontId="1" fillId="7" borderId="1" xfId="0" applyFont="1" applyFill="1" applyBorder="1"/>
    <xf numFmtId="0" fontId="1" fillId="8" borderId="1" xfId="0" applyFont="1" applyFill="1" applyBorder="1"/>
    <xf numFmtId="0" fontId="1" fillId="9" borderId="1" xfId="0" applyFont="1" applyFill="1" applyBorder="1"/>
    <xf numFmtId="49" fontId="7" fillId="0" borderId="0" xfId="0" applyNumberFormat="1" applyFont="1" applyAlignment="1">
      <alignment vertical="center"/>
    </xf>
    <xf numFmtId="0" fontId="5" fillId="10" borderId="6" xfId="0" applyFont="1" applyFill="1" applyBorder="1" applyAlignment="1">
      <alignment horizontal="center"/>
    </xf>
    <xf numFmtId="0" fontId="8" fillId="0" borderId="0" xfId="0" applyFont="1" applyAlignment="1">
      <alignment horizontal="right" vertical="top"/>
    </xf>
    <xf numFmtId="0" fontId="1" fillId="0" borderId="7" xfId="0" applyFont="1" applyBorder="1"/>
    <xf numFmtId="0" fontId="1" fillId="0" borderId="8" xfId="0" applyFont="1" applyBorder="1"/>
    <xf numFmtId="0" fontId="10" fillId="0" borderId="10" xfId="0" applyFont="1" applyBorder="1" applyAlignment="1">
      <alignment horizontal="center" vertical="center"/>
    </xf>
    <xf numFmtId="0" fontId="1"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12" xfId="0" applyFont="1" applyBorder="1" applyAlignment="1">
      <alignment horizontal="center" vertical="center"/>
    </xf>
    <xf numFmtId="0" fontId="10" fillId="0" borderId="0" xfId="0" applyFont="1" applyAlignment="1">
      <alignment horizontal="center" vertical="center"/>
    </xf>
    <xf numFmtId="0" fontId="1" fillId="0" borderId="0" xfId="0" applyFont="1" applyAlignment="1">
      <alignment horizontal="center" vertical="center"/>
    </xf>
    <xf numFmtId="0" fontId="10" fillId="0" borderId="15" xfId="0" applyFont="1" applyBorder="1" applyAlignment="1">
      <alignment horizontal="center" vertical="center"/>
    </xf>
    <xf numFmtId="0" fontId="10" fillId="0" borderId="16" xfId="0" applyFont="1" applyBorder="1" applyAlignment="1">
      <alignment horizontal="center" vertical="center"/>
    </xf>
    <xf numFmtId="0" fontId="10" fillId="0" borderId="19" xfId="0" applyFont="1" applyBorder="1" applyAlignment="1">
      <alignment horizontal="center" vertical="center"/>
    </xf>
    <xf numFmtId="0" fontId="1" fillId="0" borderId="19" xfId="0" applyFont="1" applyBorder="1" applyAlignment="1">
      <alignment horizontal="center" vertical="center"/>
    </xf>
    <xf numFmtId="0" fontId="10" fillId="0" borderId="20" xfId="0" applyFont="1" applyBorder="1" applyAlignment="1">
      <alignment horizontal="center" vertical="center"/>
    </xf>
    <xf numFmtId="0" fontId="10" fillId="0" borderId="21" xfId="0" applyFont="1" applyBorder="1" applyAlignment="1">
      <alignment horizontal="center" vertical="center"/>
    </xf>
    <xf numFmtId="0" fontId="10" fillId="0" borderId="0" xfId="0" applyFont="1" applyAlignment="1">
      <alignment horizontal="center"/>
    </xf>
    <xf numFmtId="0" fontId="1" fillId="0" borderId="0" xfId="0" applyFont="1" applyAlignment="1">
      <alignment textRotation="180"/>
    </xf>
    <xf numFmtId="0" fontId="11" fillId="0" borderId="0" xfId="0" applyFont="1"/>
    <xf numFmtId="0" fontId="1" fillId="0" borderId="11" xfId="0" applyFont="1" applyBorder="1" applyAlignment="1">
      <alignment horizontal="center" vertical="center"/>
    </xf>
    <xf numFmtId="0" fontId="1" fillId="0" borderId="12" xfId="0" applyFont="1" applyBorder="1" applyAlignment="1">
      <alignment horizontal="center" vertical="center"/>
    </xf>
    <xf numFmtId="49" fontId="1" fillId="0" borderId="0" xfId="0" applyNumberFormat="1" applyFont="1"/>
    <xf numFmtId="0" fontId="10" fillId="0" borderId="0" xfId="0" applyFont="1"/>
    <xf numFmtId="0" fontId="1" fillId="0" borderId="15" xfId="0" applyFont="1" applyBorder="1" applyAlignment="1">
      <alignment horizontal="center" vertical="center"/>
    </xf>
    <xf numFmtId="0" fontId="1" fillId="0" borderId="16" xfId="0" applyFont="1" applyBorder="1" applyAlignment="1">
      <alignment horizontal="center" vertical="center"/>
    </xf>
    <xf numFmtId="0" fontId="1" fillId="0" borderId="20" xfId="0" applyFont="1" applyBorder="1" applyAlignment="1">
      <alignment horizontal="center" vertical="center"/>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9" borderId="1" xfId="0" applyFont="1" applyFill="1" applyBorder="1" applyAlignment="1">
      <alignment horizontal="center" vertical="center"/>
    </xf>
    <xf numFmtId="0" fontId="6" fillId="2" borderId="1" xfId="0" applyFont="1" applyFill="1" applyBorder="1" applyAlignment="1">
      <alignment vertical="center"/>
    </xf>
    <xf numFmtId="0" fontId="6" fillId="2" borderId="23"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0" borderId="0" xfId="0" applyFont="1" applyAlignment="1">
      <alignment horizontal="center" vertical="center"/>
    </xf>
    <xf numFmtId="0" fontId="6" fillId="2" borderId="1" xfId="0" applyFont="1" applyFill="1" applyBorder="1" applyAlignment="1">
      <alignment horizontal="center" vertical="center" wrapText="1"/>
    </xf>
    <xf numFmtId="0" fontId="12" fillId="2" borderId="1" xfId="0" applyFont="1" applyFill="1" applyBorder="1" applyAlignment="1">
      <alignment horizontal="center" vertical="center"/>
    </xf>
    <xf numFmtId="0" fontId="5"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19" fillId="12" borderId="1" xfId="0" applyFont="1" applyFill="1" applyBorder="1"/>
    <xf numFmtId="0" fontId="20" fillId="12" borderId="26" xfId="0" applyFont="1" applyFill="1" applyBorder="1"/>
    <xf numFmtId="0" fontId="19" fillId="12" borderId="26" xfId="0" applyFont="1" applyFill="1" applyBorder="1"/>
    <xf numFmtId="0" fontId="19" fillId="13" borderId="27" xfId="0" applyFont="1" applyFill="1" applyBorder="1"/>
    <xf numFmtId="0" fontId="6" fillId="13" borderId="28" xfId="0" applyFont="1" applyFill="1" applyBorder="1"/>
    <xf numFmtId="0" fontId="6" fillId="13" borderId="29" xfId="0" applyFont="1" applyFill="1" applyBorder="1" applyAlignment="1">
      <alignment horizontal="center"/>
    </xf>
    <xf numFmtId="0" fontId="6" fillId="13" borderId="29" xfId="0" applyFont="1" applyFill="1" applyBorder="1"/>
    <xf numFmtId="0" fontId="19" fillId="12" borderId="32" xfId="0" applyFont="1" applyFill="1" applyBorder="1" applyAlignment="1">
      <alignment horizontal="center"/>
    </xf>
    <xf numFmtId="0" fontId="21" fillId="12" borderId="33" xfId="0" applyFont="1" applyFill="1" applyBorder="1"/>
    <xf numFmtId="0" fontId="19" fillId="12" borderId="34" xfId="0" applyFont="1" applyFill="1" applyBorder="1"/>
    <xf numFmtId="0" fontId="19" fillId="12" borderId="33" xfId="0" applyFont="1" applyFill="1" applyBorder="1"/>
    <xf numFmtId="0" fontId="21" fillId="12" borderId="34" xfId="0" applyFont="1" applyFill="1" applyBorder="1"/>
    <xf numFmtId="0" fontId="21" fillId="12" borderId="1" xfId="0" applyFont="1" applyFill="1" applyBorder="1"/>
    <xf numFmtId="15" fontId="21" fillId="12" borderId="33" xfId="0" applyNumberFormat="1" applyFont="1" applyFill="1" applyBorder="1"/>
    <xf numFmtId="15" fontId="19" fillId="12" borderId="34" xfId="0" applyNumberFormat="1" applyFont="1" applyFill="1" applyBorder="1"/>
    <xf numFmtId="0" fontId="19" fillId="12" borderId="35" xfId="0" applyFont="1" applyFill="1" applyBorder="1"/>
    <xf numFmtId="0" fontId="19" fillId="12" borderId="36" xfId="0" applyFont="1" applyFill="1" applyBorder="1"/>
    <xf numFmtId="0" fontId="19" fillId="12" borderId="37" xfId="0" applyFont="1" applyFill="1" applyBorder="1" applyAlignment="1">
      <alignment horizontal="center"/>
    </xf>
    <xf numFmtId="0" fontId="19" fillId="12" borderId="1" xfId="0" applyFont="1" applyFill="1" applyBorder="1" applyAlignment="1">
      <alignment horizontal="right"/>
    </xf>
    <xf numFmtId="0" fontId="19" fillId="12" borderId="4" xfId="0" applyFont="1" applyFill="1" applyBorder="1"/>
    <xf numFmtId="0" fontId="19" fillId="12" borderId="2" xfId="0" applyFont="1" applyFill="1" applyBorder="1"/>
    <xf numFmtId="0" fontId="19" fillId="0" borderId="38" xfId="0" applyFont="1" applyBorder="1" applyAlignment="1">
      <alignment horizontal="center"/>
    </xf>
    <xf numFmtId="0" fontId="19" fillId="0" borderId="16" xfId="0" applyFont="1" applyBorder="1"/>
    <xf numFmtId="0" fontId="19" fillId="0" borderId="15" xfId="0" applyFont="1" applyBorder="1"/>
    <xf numFmtId="0" fontId="19" fillId="0" borderId="0" xfId="0" applyFont="1" applyAlignment="1">
      <alignment horizontal="right"/>
    </xf>
    <xf numFmtId="20" fontId="19" fillId="0" borderId="0" xfId="0" applyNumberFormat="1" applyFont="1" applyAlignment="1">
      <alignment horizontal="right"/>
    </xf>
    <xf numFmtId="0" fontId="21" fillId="0" borderId="16" xfId="0" applyFont="1" applyBorder="1"/>
    <xf numFmtId="15" fontId="19" fillId="0" borderId="15" xfId="0" applyNumberFormat="1" applyFont="1" applyBorder="1"/>
    <xf numFmtId="0" fontId="19" fillId="0" borderId="21" xfId="0" applyFont="1" applyBorder="1"/>
    <xf numFmtId="0" fontId="19" fillId="0" borderId="20" xfId="0" applyFont="1" applyBorder="1"/>
    <xf numFmtId="0" fontId="19" fillId="0" borderId="39" xfId="0" applyFont="1" applyBorder="1" applyAlignment="1">
      <alignment horizontal="center"/>
    </xf>
    <xf numFmtId="0" fontId="19" fillId="0" borderId="0" xfId="0" applyFont="1" applyAlignment="1">
      <alignment horizontal="center"/>
    </xf>
    <xf numFmtId="0" fontId="19" fillId="12" borderId="3" xfId="0" applyFont="1" applyFill="1" applyBorder="1"/>
    <xf numFmtId="0" fontId="21" fillId="12" borderId="35" xfId="0" applyFont="1" applyFill="1" applyBorder="1"/>
    <xf numFmtId="15" fontId="19" fillId="12" borderId="33" xfId="0" applyNumberFormat="1" applyFont="1" applyFill="1" applyBorder="1"/>
    <xf numFmtId="0" fontId="22" fillId="12" borderId="1" xfId="0" applyFont="1" applyFill="1" applyBorder="1"/>
    <xf numFmtId="0" fontId="19" fillId="12" borderId="40" xfId="0" applyFont="1" applyFill="1" applyBorder="1"/>
    <xf numFmtId="0" fontId="21" fillId="12" borderId="40" xfId="0" applyFont="1" applyFill="1" applyBorder="1"/>
    <xf numFmtId="0" fontId="21" fillId="12" borderId="26" xfId="0" applyFont="1" applyFill="1" applyBorder="1"/>
    <xf numFmtId="0" fontId="21" fillId="12" borderId="41" xfId="0" applyFont="1" applyFill="1" applyBorder="1"/>
    <xf numFmtId="0" fontId="19" fillId="12" borderId="41" xfId="0" applyFont="1" applyFill="1" applyBorder="1"/>
    <xf numFmtId="0" fontId="19" fillId="12" borderId="32" xfId="0" applyFont="1" applyFill="1" applyBorder="1"/>
    <xf numFmtId="0" fontId="19" fillId="12" borderId="37" xfId="0" applyFont="1" applyFill="1" applyBorder="1"/>
    <xf numFmtId="0" fontId="19" fillId="12" borderId="42" xfId="0" applyFont="1" applyFill="1" applyBorder="1" applyAlignment="1">
      <alignment horizontal="center"/>
    </xf>
    <xf numFmtId="0" fontId="21" fillId="12" borderId="42" xfId="0" applyFont="1" applyFill="1" applyBorder="1"/>
    <xf numFmtId="0" fontId="19" fillId="12" borderId="42" xfId="0" applyFont="1" applyFill="1" applyBorder="1"/>
    <xf numFmtId="0" fontId="21" fillId="12" borderId="32" xfId="0" applyFont="1" applyFill="1" applyBorder="1"/>
    <xf numFmtId="0" fontId="21" fillId="12" borderId="37" xfId="0" applyFont="1" applyFill="1" applyBorder="1"/>
    <xf numFmtId="0" fontId="19" fillId="15" borderId="43" xfId="0" applyFont="1" applyFill="1" applyBorder="1"/>
    <xf numFmtId="0" fontId="19" fillId="15" borderId="44" xfId="0" applyFont="1" applyFill="1" applyBorder="1"/>
    <xf numFmtId="0" fontId="19" fillId="15" borderId="45" xfId="0" applyFont="1" applyFill="1" applyBorder="1"/>
    <xf numFmtId="0" fontId="19" fillId="15" borderId="46" xfId="0" applyFont="1" applyFill="1" applyBorder="1"/>
    <xf numFmtId="0" fontId="19" fillId="15" borderId="47" xfId="0" applyFont="1" applyFill="1" applyBorder="1"/>
    <xf numFmtId="0" fontId="19" fillId="15" borderId="48" xfId="0" applyFont="1" applyFill="1" applyBorder="1"/>
    <xf numFmtId="0" fontId="19" fillId="12" borderId="5" xfId="0" applyFont="1" applyFill="1" applyBorder="1"/>
    <xf numFmtId="0" fontId="1" fillId="2" borderId="5" xfId="0" applyFont="1" applyFill="1" applyBorder="1" applyAlignment="1">
      <alignment vertical="center"/>
    </xf>
    <xf numFmtId="0" fontId="1" fillId="2" borderId="5" xfId="0" applyFont="1" applyFill="1" applyBorder="1" applyAlignment="1">
      <alignment horizontal="center" vertical="center"/>
    </xf>
    <xf numFmtId="2" fontId="1" fillId="2" borderId="5" xfId="0" applyNumberFormat="1" applyFont="1" applyFill="1" applyBorder="1" applyAlignment="1">
      <alignment vertical="center"/>
    </xf>
    <xf numFmtId="0" fontId="1" fillId="2" borderId="5" xfId="0" applyFont="1" applyFill="1" applyBorder="1"/>
    <xf numFmtId="0" fontId="6" fillId="2" borderId="4" xfId="0" applyFont="1" applyFill="1" applyBorder="1" applyAlignment="1">
      <alignment horizontal="center" vertical="center"/>
    </xf>
    <xf numFmtId="0" fontId="3" fillId="0" borderId="5" xfId="0" applyFont="1" applyBorder="1"/>
    <xf numFmtId="0" fontId="2" fillId="3" borderId="5" xfId="0" applyFont="1" applyFill="1" applyBorder="1" applyAlignment="1">
      <alignment horizontal="center" vertical="center" wrapText="1"/>
    </xf>
    <xf numFmtId="0" fontId="9" fillId="10" borderId="9" xfId="0" applyFont="1" applyFill="1" applyBorder="1" applyAlignment="1">
      <alignment horizontal="center" vertical="center" textRotation="90" wrapText="1"/>
    </xf>
    <xf numFmtId="0" fontId="3" fillId="0" borderId="14" xfId="0" applyFont="1" applyBorder="1"/>
    <xf numFmtId="0" fontId="3" fillId="0" borderId="18" xfId="0" applyFont="1" applyBorder="1"/>
    <xf numFmtId="0" fontId="9" fillId="10" borderId="13" xfId="0" applyFont="1" applyFill="1" applyBorder="1" applyAlignment="1">
      <alignment horizontal="center" vertical="center" textRotation="180" wrapText="1"/>
    </xf>
    <xf numFmtId="0" fontId="3" fillId="0" borderId="17" xfId="0" applyFont="1" applyBorder="1"/>
    <xf numFmtId="0" fontId="3" fillId="0" borderId="22" xfId="0" applyFont="1" applyBorder="1"/>
    <xf numFmtId="0" fontId="6" fillId="11" borderId="24" xfId="0" applyFont="1" applyFill="1" applyBorder="1"/>
    <xf numFmtId="0" fontId="3" fillId="0" borderId="25" xfId="0" applyFont="1" applyBorder="1"/>
    <xf numFmtId="0" fontId="6" fillId="14" borderId="30" xfId="0" applyFont="1" applyFill="1" applyBorder="1"/>
    <xf numFmtId="0" fontId="3" fillId="0" borderId="31" xfId="0" applyFont="1" applyBorder="1"/>
    <xf numFmtId="0" fontId="4" fillId="3" borderId="5" xfId="0" applyFont="1" applyFill="1" applyBorder="1" applyAlignment="1">
      <alignment horizontal="center" vertical="center" wrapText="1"/>
    </xf>
    <xf numFmtId="0" fontId="6" fillId="2" borderId="5" xfId="0" applyFont="1" applyFill="1" applyBorder="1" applyAlignment="1">
      <alignment horizontal="center" vertical="center" wrapText="1"/>
    </xf>
  </cellXfs>
  <cellStyles count="1">
    <cellStyle name="Standard" xfId="0" builtinId="0"/>
  </cellStyles>
  <dxfs count="17401">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B7E1CD"/>
          <bgColor rgb="FFB7E1CD"/>
        </patternFill>
      </fill>
    </dxf>
    <dxf>
      <font>
        <strike/>
        <color rgb="FFB7B7B7"/>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EFEFEF"/>
      </font>
      <fill>
        <patternFill patternType="none"/>
      </fill>
    </dxf>
    <dxf>
      <font>
        <strike/>
        <color rgb="FFEFEFEF"/>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B7B7B7"/>
      </font>
      <fill>
        <patternFill patternType="none"/>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260"/>
  <sheetViews>
    <sheetView showGridLines="0" tabSelected="1" workbookViewId="0">
      <pane ySplit="2" topLeftCell="A3" activePane="bottomLeft" state="frozen"/>
      <selection pane="bottomLeft" activeCell="D4" sqref="D4:CX47"/>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7" width="5.6640625" customWidth="1"/>
    <col min="8" max="8" width="1.6640625" customWidth="1"/>
    <col min="9" max="9" width="5.6640625" customWidth="1"/>
    <col min="10" max="10" width="1.6640625" customWidth="1"/>
    <col min="11" max="12" width="5.6640625" customWidth="1"/>
    <col min="13" max="13" width="1.6640625" customWidth="1"/>
    <col min="14" max="14" width="5.6640625" customWidth="1"/>
    <col min="15" max="15" width="1.6640625" customWidth="1"/>
    <col min="16" max="17" width="5.6640625" customWidth="1"/>
    <col min="18" max="18" width="1.6640625" customWidth="1"/>
    <col min="19" max="19" width="5.6640625" customWidth="1"/>
    <col min="20" max="20" width="1.6640625" customWidth="1"/>
    <col min="21" max="22" width="5.6640625" customWidth="1"/>
    <col min="23" max="23" width="1.6640625" customWidth="1"/>
    <col min="24" max="24" width="5.6640625" customWidth="1"/>
    <col min="25" max="25" width="1.6640625" customWidth="1"/>
    <col min="26" max="27" width="5.6640625" customWidth="1"/>
    <col min="28" max="28" width="1.6640625" customWidth="1"/>
    <col min="29" max="29" width="5.6640625" customWidth="1"/>
    <col min="30" max="30" width="1.6640625" customWidth="1"/>
    <col min="31" max="32" width="5.6640625" customWidth="1"/>
    <col min="33" max="33" width="1.6640625" customWidth="1"/>
    <col min="34" max="34" width="5.6640625" customWidth="1"/>
    <col min="35" max="35" width="1.6640625" customWidth="1"/>
    <col min="36" max="37" width="5.6640625" customWidth="1"/>
    <col min="38" max="38" width="1.6640625" customWidth="1"/>
    <col min="39" max="39" width="5.6640625" customWidth="1"/>
    <col min="40" max="40" width="1.6640625" customWidth="1"/>
    <col min="41" max="42" width="5.6640625" customWidth="1"/>
    <col min="43" max="43" width="1.6640625" customWidth="1"/>
    <col min="44" max="44" width="5.6640625" customWidth="1"/>
    <col min="45" max="45" width="1.6640625" customWidth="1"/>
    <col min="46" max="47" width="5.6640625" customWidth="1"/>
    <col min="48" max="48" width="1.6640625" customWidth="1"/>
    <col min="49" max="49" width="5.6640625" customWidth="1"/>
    <col min="50" max="50" width="1.6640625" customWidth="1"/>
    <col min="51" max="52" width="5.6640625" customWidth="1"/>
    <col min="53" max="53" width="1.6640625" customWidth="1"/>
    <col min="54" max="54" width="5.6640625" customWidth="1"/>
    <col min="55" max="55" width="1.6640625" customWidth="1"/>
    <col min="56" max="57" width="5.6640625" customWidth="1"/>
    <col min="58" max="58" width="1.6640625" customWidth="1"/>
    <col min="59" max="59" width="5.6640625" customWidth="1"/>
    <col min="60" max="60" width="1.6640625" customWidth="1"/>
    <col min="61" max="62" width="5.6640625" customWidth="1"/>
    <col min="63" max="63" width="1.6640625" customWidth="1"/>
    <col min="64" max="64" width="5.6640625" customWidth="1"/>
    <col min="65" max="65" width="1.6640625" customWidth="1"/>
    <col min="66" max="67" width="5.6640625" customWidth="1"/>
    <col min="68" max="68" width="1.6640625" customWidth="1"/>
    <col min="69" max="69" width="5.6640625" customWidth="1"/>
    <col min="70" max="70" width="1.6640625" customWidth="1"/>
    <col min="71" max="72" width="5.6640625" customWidth="1"/>
    <col min="73" max="73" width="1.6640625" customWidth="1"/>
    <col min="74" max="74" width="5.6640625" customWidth="1"/>
    <col min="75" max="75" width="1.6640625" customWidth="1"/>
    <col min="76" max="77" width="5.6640625" customWidth="1"/>
    <col min="78" max="78" width="1.6640625" customWidth="1"/>
    <col min="79" max="79" width="5.6640625" customWidth="1"/>
    <col min="80" max="80" width="1.6640625" customWidth="1"/>
    <col min="81" max="82" width="5.6640625" customWidth="1"/>
    <col min="83" max="83" width="1.6640625" customWidth="1"/>
    <col min="84" max="84" width="5.6640625" customWidth="1"/>
    <col min="85" max="85" width="1.6640625" customWidth="1"/>
    <col min="86" max="87" width="5.6640625" customWidth="1"/>
    <col min="88" max="88" width="1.6640625" customWidth="1"/>
    <col min="89" max="89" width="5.6640625" customWidth="1"/>
    <col min="90" max="90" width="1.6640625" customWidth="1"/>
    <col min="91" max="92" width="5.6640625" customWidth="1"/>
    <col min="93" max="93" width="1.6640625" customWidth="1"/>
    <col min="94" max="94" width="5.6640625" customWidth="1"/>
    <col min="95" max="95" width="1.6640625" customWidth="1"/>
    <col min="96" max="97" width="5.6640625" customWidth="1"/>
    <col min="98" max="98" width="1.6640625" customWidth="1"/>
    <col min="99" max="99" width="5.6640625" customWidth="1"/>
    <col min="100" max="100" width="1.6640625" customWidth="1"/>
    <col min="101" max="102" width="5.6640625" customWidth="1"/>
    <col min="103" max="103" width="1.6640625" customWidth="1"/>
  </cols>
  <sheetData>
    <row r="1" spans="1:103" ht="7.5" customHeight="1">
      <c r="A1" s="1" t="s">
        <v>0</v>
      </c>
      <c r="B1" s="1"/>
      <c r="C1" s="1"/>
      <c r="D1" s="1"/>
      <c r="E1" s="2"/>
      <c r="F1" s="1"/>
      <c r="G1" s="3"/>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row>
    <row r="2" spans="1:103" ht="30" customHeight="1">
      <c r="A2" s="4"/>
      <c r="B2" s="4"/>
      <c r="C2" s="4"/>
      <c r="D2" s="131" t="s">
        <v>4</v>
      </c>
      <c r="E2" s="131"/>
      <c r="F2" s="131"/>
      <c r="G2" s="131"/>
      <c r="H2" s="142"/>
      <c r="I2" s="131" t="s">
        <v>3</v>
      </c>
      <c r="J2" s="131"/>
      <c r="K2" s="131"/>
      <c r="L2" s="131"/>
      <c r="M2" s="142"/>
      <c r="N2" s="131" t="s">
        <v>9</v>
      </c>
      <c r="O2" s="131"/>
      <c r="P2" s="131"/>
      <c r="Q2" s="131"/>
      <c r="R2" s="142"/>
      <c r="S2" s="131" t="s">
        <v>1362</v>
      </c>
      <c r="T2" s="131"/>
      <c r="U2" s="131"/>
      <c r="V2" s="131"/>
      <c r="W2" s="142"/>
      <c r="X2" s="131" t="s">
        <v>11</v>
      </c>
      <c r="Y2" s="131"/>
      <c r="Z2" s="131"/>
      <c r="AA2" s="131"/>
      <c r="AB2" s="142"/>
      <c r="AC2" s="131" t="s">
        <v>1363</v>
      </c>
      <c r="AD2" s="131"/>
      <c r="AE2" s="131"/>
      <c r="AF2" s="131"/>
      <c r="AG2" s="142"/>
      <c r="AH2" s="131" t="s">
        <v>5</v>
      </c>
      <c r="AI2" s="131"/>
      <c r="AJ2" s="131"/>
      <c r="AK2" s="131"/>
      <c r="AL2" s="142"/>
      <c r="AM2" s="131" t="s">
        <v>1364</v>
      </c>
      <c r="AN2" s="131"/>
      <c r="AO2" s="131"/>
      <c r="AP2" s="131"/>
      <c r="AQ2" s="142"/>
      <c r="AR2" s="131" t="s">
        <v>1365</v>
      </c>
      <c r="AS2" s="131"/>
      <c r="AT2" s="131"/>
      <c r="AU2" s="131"/>
      <c r="AV2" s="142"/>
      <c r="AW2" s="131" t="s">
        <v>1366</v>
      </c>
      <c r="AX2" s="131"/>
      <c r="AY2" s="131"/>
      <c r="AZ2" s="131"/>
      <c r="BA2" s="142"/>
      <c r="BB2" s="131" t="s">
        <v>13</v>
      </c>
      <c r="BC2" s="131"/>
      <c r="BD2" s="131"/>
      <c r="BE2" s="131"/>
      <c r="BF2" s="142"/>
      <c r="BG2" s="131" t="s">
        <v>19</v>
      </c>
      <c r="BH2" s="131"/>
      <c r="BI2" s="131"/>
      <c r="BJ2" s="131"/>
      <c r="BK2" s="142"/>
      <c r="BL2" s="131" t="s">
        <v>8</v>
      </c>
      <c r="BM2" s="131"/>
      <c r="BN2" s="131"/>
      <c r="BO2" s="131"/>
      <c r="BP2" s="142"/>
      <c r="BQ2" s="131" t="s">
        <v>17</v>
      </c>
      <c r="BR2" s="131"/>
      <c r="BS2" s="131"/>
      <c r="BT2" s="131"/>
      <c r="BU2" s="142"/>
      <c r="BV2" s="131" t="s">
        <v>10</v>
      </c>
      <c r="BW2" s="131"/>
      <c r="BX2" s="131"/>
      <c r="BY2" s="131"/>
      <c r="BZ2" s="142"/>
      <c r="CA2" s="131" t="s">
        <v>1367</v>
      </c>
      <c r="CB2" s="131"/>
      <c r="CC2" s="131"/>
      <c r="CD2" s="131"/>
      <c r="CE2" s="142"/>
      <c r="CF2" s="131" t="s">
        <v>2</v>
      </c>
      <c r="CG2" s="131"/>
      <c r="CH2" s="131"/>
      <c r="CI2" s="131"/>
      <c r="CJ2" s="142"/>
      <c r="CK2" s="131" t="s">
        <v>1</v>
      </c>
      <c r="CL2" s="131"/>
      <c r="CM2" s="131"/>
      <c r="CN2" s="131"/>
      <c r="CO2" s="142"/>
      <c r="CP2" s="131" t="s">
        <v>14</v>
      </c>
      <c r="CQ2" s="131"/>
      <c r="CR2" s="131"/>
      <c r="CS2" s="131"/>
      <c r="CT2" s="142"/>
      <c r="CU2" s="131" t="s">
        <v>1368</v>
      </c>
      <c r="CV2" s="131"/>
      <c r="CW2" s="131"/>
      <c r="CX2" s="131"/>
      <c r="CY2" s="4"/>
    </row>
    <row r="3" spans="1:103" ht="7.5" customHeight="1">
      <c r="A3" s="4"/>
      <c r="B3" s="4"/>
      <c r="C3" s="4"/>
      <c r="D3" s="6"/>
      <c r="E3" s="6"/>
      <c r="F3" s="6"/>
      <c r="G3" s="7"/>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row>
    <row r="4" spans="1:103" ht="30" customHeight="1">
      <c r="A4" s="8"/>
      <c r="B4" s="129" t="s">
        <v>21</v>
      </c>
      <c r="C4" s="9"/>
      <c r="D4" s="143" t="s">
        <v>32</v>
      </c>
      <c r="E4" s="130"/>
      <c r="F4" s="130"/>
      <c r="G4" s="130"/>
      <c r="H4" s="125"/>
      <c r="I4" s="143" t="s">
        <v>1358</v>
      </c>
      <c r="J4" s="130"/>
      <c r="K4" s="130"/>
      <c r="L4" s="130"/>
      <c r="M4" s="125"/>
      <c r="N4" s="143" t="s">
        <v>37</v>
      </c>
      <c r="O4" s="130"/>
      <c r="P4" s="130"/>
      <c r="Q4" s="130"/>
      <c r="R4" s="125"/>
      <c r="S4" s="143" t="s">
        <v>101</v>
      </c>
      <c r="T4" s="130"/>
      <c r="U4" s="130"/>
      <c r="V4" s="130"/>
      <c r="W4" s="125"/>
      <c r="X4" s="143" t="s">
        <v>48</v>
      </c>
      <c r="Y4" s="130"/>
      <c r="Z4" s="130"/>
      <c r="AA4" s="130"/>
      <c r="AB4" s="125"/>
      <c r="AC4" s="143" t="s">
        <v>56</v>
      </c>
      <c r="AD4" s="130"/>
      <c r="AE4" s="130"/>
      <c r="AF4" s="130"/>
      <c r="AG4" s="125"/>
      <c r="AH4" s="143" t="s">
        <v>1258</v>
      </c>
      <c r="AI4" s="130"/>
      <c r="AJ4" s="130"/>
      <c r="AK4" s="130"/>
      <c r="AL4" s="125"/>
      <c r="AM4" s="143" t="s">
        <v>1282</v>
      </c>
      <c r="AN4" s="130"/>
      <c r="AO4" s="130"/>
      <c r="AP4" s="130"/>
      <c r="AQ4" s="125"/>
      <c r="AR4" s="143" t="s">
        <v>60</v>
      </c>
      <c r="AS4" s="130"/>
      <c r="AT4" s="130"/>
      <c r="AU4" s="130"/>
      <c r="AV4" s="125"/>
      <c r="AW4" s="143" t="s">
        <v>1369</v>
      </c>
      <c r="AX4" s="130"/>
      <c r="AY4" s="130"/>
      <c r="AZ4" s="130"/>
      <c r="BA4" s="125"/>
      <c r="BB4" s="143" t="s">
        <v>125</v>
      </c>
      <c r="BC4" s="130"/>
      <c r="BD4" s="130"/>
      <c r="BE4" s="130"/>
      <c r="BF4" s="125"/>
      <c r="BG4" s="143" t="s">
        <v>26</v>
      </c>
      <c r="BH4" s="130"/>
      <c r="BI4" s="130"/>
      <c r="BJ4" s="130"/>
      <c r="BK4" s="125"/>
      <c r="BL4" s="143" t="s">
        <v>255</v>
      </c>
      <c r="BM4" s="130"/>
      <c r="BN4" s="130"/>
      <c r="BO4" s="130"/>
      <c r="BP4" s="125"/>
      <c r="BQ4" s="143" t="s">
        <v>144</v>
      </c>
      <c r="BR4" s="130"/>
      <c r="BS4" s="130"/>
      <c r="BT4" s="130"/>
      <c r="BU4" s="125"/>
      <c r="BV4" s="143" t="s">
        <v>65</v>
      </c>
      <c r="BW4" s="130"/>
      <c r="BX4" s="130"/>
      <c r="BY4" s="130"/>
      <c r="BZ4" s="125"/>
      <c r="CA4" s="143" t="s">
        <v>1370</v>
      </c>
      <c r="CB4" s="130"/>
      <c r="CC4" s="130"/>
      <c r="CD4" s="130"/>
      <c r="CE4" s="125"/>
      <c r="CF4" s="143" t="s">
        <v>110</v>
      </c>
      <c r="CG4" s="130"/>
      <c r="CH4" s="130"/>
      <c r="CI4" s="130"/>
      <c r="CJ4" s="125"/>
      <c r="CK4" s="143" t="s">
        <v>223</v>
      </c>
      <c r="CL4" s="130"/>
      <c r="CM4" s="130"/>
      <c r="CN4" s="130"/>
      <c r="CO4" s="125"/>
      <c r="CP4" s="143" t="s">
        <v>1371</v>
      </c>
      <c r="CQ4" s="130"/>
      <c r="CR4" s="130"/>
      <c r="CS4" s="130"/>
      <c r="CT4" s="125"/>
      <c r="CU4" s="143" t="s">
        <v>139</v>
      </c>
      <c r="CV4" s="130"/>
      <c r="CW4" s="130"/>
      <c r="CX4" s="130"/>
      <c r="CY4" s="8"/>
    </row>
    <row r="5" spans="1:103" ht="30" customHeight="1">
      <c r="A5" s="8"/>
      <c r="B5" s="130"/>
      <c r="C5" s="9"/>
      <c r="D5" s="126" t="s">
        <v>389</v>
      </c>
      <c r="E5" s="126" t="s">
        <v>42</v>
      </c>
      <c r="F5" s="126" t="s">
        <v>338</v>
      </c>
      <c r="G5" s="127">
        <f>LEFT(B4,1)+0.01</f>
        <v>1.01</v>
      </c>
      <c r="H5" s="125"/>
      <c r="I5" s="126" t="s">
        <v>405</v>
      </c>
      <c r="J5" s="126" t="s">
        <v>42</v>
      </c>
      <c r="K5" s="126" t="s">
        <v>338</v>
      </c>
      <c r="L5" s="127">
        <f>G5+0.01</f>
        <v>1.02</v>
      </c>
      <c r="M5" s="125"/>
      <c r="N5" s="126" t="s">
        <v>415</v>
      </c>
      <c r="O5" s="126" t="s">
        <v>42</v>
      </c>
      <c r="P5" s="126" t="s">
        <v>338</v>
      </c>
      <c r="Q5" s="127">
        <f>L5+0.01</f>
        <v>1.03</v>
      </c>
      <c r="R5" s="125"/>
      <c r="S5" s="126" t="s">
        <v>400</v>
      </c>
      <c r="T5" s="126" t="s">
        <v>42</v>
      </c>
      <c r="U5" s="126" t="s">
        <v>340</v>
      </c>
      <c r="V5" s="127">
        <f>Q5+0.01</f>
        <v>1.04</v>
      </c>
      <c r="W5" s="125"/>
      <c r="X5" s="126" t="s">
        <v>388</v>
      </c>
      <c r="Y5" s="126" t="s">
        <v>42</v>
      </c>
      <c r="Z5" s="126" t="s">
        <v>337</v>
      </c>
      <c r="AA5" s="127">
        <f>V5+0.01</f>
        <v>1.05</v>
      </c>
      <c r="AB5" s="125"/>
      <c r="AC5" s="126" t="s">
        <v>407</v>
      </c>
      <c r="AD5" s="126" t="s">
        <v>42</v>
      </c>
      <c r="AE5" s="126" t="s">
        <v>338</v>
      </c>
      <c r="AF5" s="127">
        <f>AA5+0.01</f>
        <v>1.06</v>
      </c>
      <c r="AG5" s="125"/>
      <c r="AH5" s="126" t="s">
        <v>396</v>
      </c>
      <c r="AI5" s="126" t="s">
        <v>42</v>
      </c>
      <c r="AJ5" s="126" t="s">
        <v>338</v>
      </c>
      <c r="AK5" s="127">
        <f>AF5+0.01</f>
        <v>1.07</v>
      </c>
      <c r="AL5" s="125"/>
      <c r="AM5" s="126" t="s">
        <v>400</v>
      </c>
      <c r="AN5" s="126" t="s">
        <v>42</v>
      </c>
      <c r="AO5" s="126" t="s">
        <v>337</v>
      </c>
      <c r="AP5" s="127">
        <f>AK5+0.01</f>
        <v>1.08</v>
      </c>
      <c r="AQ5" s="125"/>
      <c r="AR5" s="126" t="s">
        <v>398</v>
      </c>
      <c r="AS5" s="126" t="s">
        <v>42</v>
      </c>
      <c r="AT5" s="126" t="s">
        <v>338</v>
      </c>
      <c r="AU5" s="127">
        <f>AP5+0.01</f>
        <v>1.0900000000000001</v>
      </c>
      <c r="AV5" s="125"/>
      <c r="AW5" s="126" t="s">
        <v>393</v>
      </c>
      <c r="AX5" s="126" t="s">
        <v>42</v>
      </c>
      <c r="AY5" s="126" t="s">
        <v>338</v>
      </c>
      <c r="AZ5" s="127">
        <f>AU5+0.01</f>
        <v>1.1000000000000001</v>
      </c>
      <c r="BA5" s="125"/>
      <c r="BB5" s="126" t="s">
        <v>401</v>
      </c>
      <c r="BC5" s="126" t="s">
        <v>42</v>
      </c>
      <c r="BD5" s="126" t="s">
        <v>338</v>
      </c>
      <c r="BE5" s="127">
        <f>AZ5+0.01</f>
        <v>1.1100000000000001</v>
      </c>
      <c r="BF5" s="125"/>
      <c r="BG5" s="126" t="s">
        <v>408</v>
      </c>
      <c r="BH5" s="126" t="s">
        <v>42</v>
      </c>
      <c r="BI5" s="126" t="s">
        <v>338</v>
      </c>
      <c r="BJ5" s="127">
        <f>BE5+0.01</f>
        <v>1.1200000000000001</v>
      </c>
      <c r="BK5" s="125"/>
      <c r="BL5" s="126" t="s">
        <v>416</v>
      </c>
      <c r="BM5" s="126" t="s">
        <v>42</v>
      </c>
      <c r="BN5" s="126" t="s">
        <v>338</v>
      </c>
      <c r="BO5" s="127">
        <f>BJ5+0.01</f>
        <v>1.1300000000000001</v>
      </c>
      <c r="BP5" s="125"/>
      <c r="BQ5" s="126" t="s">
        <v>392</v>
      </c>
      <c r="BR5" s="126" t="s">
        <v>42</v>
      </c>
      <c r="BS5" s="126" t="s">
        <v>338</v>
      </c>
      <c r="BT5" s="127">
        <f>BO5+0.01</f>
        <v>1.1400000000000001</v>
      </c>
      <c r="BU5" s="125"/>
      <c r="BV5" s="126" t="s">
        <v>396</v>
      </c>
      <c r="BW5" s="126" t="s">
        <v>42</v>
      </c>
      <c r="BX5" s="126" t="s">
        <v>339</v>
      </c>
      <c r="BY5" s="127">
        <f>BT5+0.01</f>
        <v>1.1500000000000001</v>
      </c>
      <c r="BZ5" s="125"/>
      <c r="CA5" s="126" t="s">
        <v>385</v>
      </c>
      <c r="CB5" s="126" t="s">
        <v>42</v>
      </c>
      <c r="CC5" s="126" t="s">
        <v>339</v>
      </c>
      <c r="CD5" s="127">
        <f>BY5+0.01</f>
        <v>1.1600000000000001</v>
      </c>
      <c r="CE5" s="125"/>
      <c r="CF5" s="126" t="s">
        <v>391</v>
      </c>
      <c r="CG5" s="126" t="s">
        <v>42</v>
      </c>
      <c r="CH5" s="126" t="s">
        <v>338</v>
      </c>
      <c r="CI5" s="127">
        <f>CD5+0.01</f>
        <v>1.1700000000000002</v>
      </c>
      <c r="CJ5" s="125"/>
      <c r="CK5" s="126" t="s">
        <v>392</v>
      </c>
      <c r="CL5" s="126" t="s">
        <v>42</v>
      </c>
      <c r="CM5" s="126" t="s">
        <v>338</v>
      </c>
      <c r="CN5" s="127">
        <f>CI5+0.01</f>
        <v>1.1800000000000002</v>
      </c>
      <c r="CO5" s="125"/>
      <c r="CP5" s="126" t="s">
        <v>415</v>
      </c>
      <c r="CQ5" s="126" t="s">
        <v>42</v>
      </c>
      <c r="CR5" s="126" t="s">
        <v>339</v>
      </c>
      <c r="CS5" s="127">
        <f>CN5+0.01</f>
        <v>1.1900000000000002</v>
      </c>
      <c r="CT5" s="125"/>
      <c r="CU5" s="126" t="s">
        <v>411</v>
      </c>
      <c r="CV5" s="126" t="s">
        <v>42</v>
      </c>
      <c r="CW5" s="126" t="s">
        <v>338</v>
      </c>
      <c r="CX5" s="127">
        <f>CS5+0.01</f>
        <v>1.2000000000000002</v>
      </c>
      <c r="CY5" s="8"/>
    </row>
    <row r="6" spans="1:103" ht="7.5" customHeight="1">
      <c r="A6" s="8"/>
      <c r="B6" s="9"/>
      <c r="C6" s="9"/>
      <c r="D6" s="126"/>
      <c r="E6" s="126"/>
      <c r="F6" s="126"/>
      <c r="G6" s="127"/>
      <c r="H6" s="125"/>
      <c r="I6" s="126"/>
      <c r="J6" s="126"/>
      <c r="K6" s="126"/>
      <c r="L6" s="127"/>
      <c r="M6" s="125"/>
      <c r="N6" s="126"/>
      <c r="O6" s="126"/>
      <c r="P6" s="126"/>
      <c r="Q6" s="127"/>
      <c r="R6" s="125"/>
      <c r="S6" s="126"/>
      <c r="T6" s="126"/>
      <c r="U6" s="126"/>
      <c r="V6" s="127"/>
      <c r="W6" s="125"/>
      <c r="X6" s="126"/>
      <c r="Y6" s="126"/>
      <c r="Z6" s="126"/>
      <c r="AA6" s="127"/>
      <c r="AB6" s="125"/>
      <c r="AC6" s="126"/>
      <c r="AD6" s="126"/>
      <c r="AE6" s="126"/>
      <c r="AF6" s="127"/>
      <c r="AG6" s="125"/>
      <c r="AH6" s="126"/>
      <c r="AI6" s="126"/>
      <c r="AJ6" s="126"/>
      <c r="AK6" s="127"/>
      <c r="AL6" s="125"/>
      <c r="AM6" s="126"/>
      <c r="AN6" s="126"/>
      <c r="AO6" s="126"/>
      <c r="AP6" s="127"/>
      <c r="AQ6" s="125"/>
      <c r="AR6" s="126"/>
      <c r="AS6" s="126"/>
      <c r="AT6" s="126"/>
      <c r="AU6" s="127"/>
      <c r="AV6" s="125"/>
      <c r="AW6" s="126"/>
      <c r="AX6" s="126"/>
      <c r="AY6" s="126"/>
      <c r="AZ6" s="127"/>
      <c r="BA6" s="125"/>
      <c r="BB6" s="126"/>
      <c r="BC6" s="126"/>
      <c r="BD6" s="126"/>
      <c r="BE6" s="127"/>
      <c r="BF6" s="125"/>
      <c r="BG6" s="126"/>
      <c r="BH6" s="126"/>
      <c r="BI6" s="126"/>
      <c r="BJ6" s="127"/>
      <c r="BK6" s="125"/>
      <c r="BL6" s="126"/>
      <c r="BM6" s="126"/>
      <c r="BN6" s="126"/>
      <c r="BO6" s="127"/>
      <c r="BP6" s="125"/>
      <c r="BQ6" s="126"/>
      <c r="BR6" s="126"/>
      <c r="BS6" s="126"/>
      <c r="BT6" s="127"/>
      <c r="BU6" s="125"/>
      <c r="BV6" s="126"/>
      <c r="BW6" s="126"/>
      <c r="BX6" s="126"/>
      <c r="BY6" s="127"/>
      <c r="BZ6" s="125"/>
      <c r="CA6" s="126"/>
      <c r="CB6" s="126"/>
      <c r="CC6" s="126"/>
      <c r="CD6" s="127"/>
      <c r="CE6" s="125"/>
      <c r="CF6" s="126"/>
      <c r="CG6" s="126"/>
      <c r="CH6" s="126"/>
      <c r="CI6" s="127"/>
      <c r="CJ6" s="125"/>
      <c r="CK6" s="126"/>
      <c r="CL6" s="126"/>
      <c r="CM6" s="126"/>
      <c r="CN6" s="127"/>
      <c r="CO6" s="125"/>
      <c r="CP6" s="126"/>
      <c r="CQ6" s="126"/>
      <c r="CR6" s="126"/>
      <c r="CS6" s="127"/>
      <c r="CT6" s="125"/>
      <c r="CU6" s="126"/>
      <c r="CV6" s="126"/>
      <c r="CW6" s="126"/>
      <c r="CX6" s="127"/>
      <c r="CY6" s="8"/>
    </row>
    <row r="7" spans="1:103" ht="30" customHeight="1">
      <c r="A7" s="8"/>
      <c r="B7" s="129" t="s">
        <v>43</v>
      </c>
      <c r="C7" s="8"/>
      <c r="D7" s="143" t="s">
        <v>1372</v>
      </c>
      <c r="E7" s="130"/>
      <c r="F7" s="130"/>
      <c r="G7" s="130"/>
      <c r="H7" s="125"/>
      <c r="I7" s="143" t="s">
        <v>964</v>
      </c>
      <c r="J7" s="130"/>
      <c r="K7" s="130"/>
      <c r="L7" s="130"/>
      <c r="M7" s="125"/>
      <c r="N7" s="143" t="s">
        <v>1284</v>
      </c>
      <c r="O7" s="130"/>
      <c r="P7" s="130"/>
      <c r="Q7" s="130"/>
      <c r="R7" s="125"/>
      <c r="S7" s="143" t="s">
        <v>39</v>
      </c>
      <c r="T7" s="130"/>
      <c r="U7" s="130"/>
      <c r="V7" s="130"/>
      <c r="W7" s="125"/>
      <c r="X7" s="143" t="s">
        <v>909</v>
      </c>
      <c r="Y7" s="130"/>
      <c r="Z7" s="130"/>
      <c r="AA7" s="130"/>
      <c r="AB7" s="125"/>
      <c r="AC7" s="143" t="s">
        <v>146</v>
      </c>
      <c r="AD7" s="130"/>
      <c r="AE7" s="130"/>
      <c r="AF7" s="130"/>
      <c r="AG7" s="125"/>
      <c r="AH7" s="143" t="s">
        <v>27</v>
      </c>
      <c r="AI7" s="130"/>
      <c r="AJ7" s="130"/>
      <c r="AK7" s="130"/>
      <c r="AL7" s="125"/>
      <c r="AM7" s="143" t="s">
        <v>45</v>
      </c>
      <c r="AN7" s="130"/>
      <c r="AO7" s="130"/>
      <c r="AP7" s="130"/>
      <c r="AQ7" s="125"/>
      <c r="AR7" s="143" t="s">
        <v>1373</v>
      </c>
      <c r="AS7" s="130"/>
      <c r="AT7" s="130"/>
      <c r="AU7" s="130"/>
      <c r="AV7" s="125"/>
      <c r="AW7" s="143" t="s">
        <v>1374</v>
      </c>
      <c r="AX7" s="130"/>
      <c r="AY7" s="130"/>
      <c r="AZ7" s="130"/>
      <c r="BA7" s="125"/>
      <c r="BB7" s="143" t="s">
        <v>111</v>
      </c>
      <c r="BC7" s="130"/>
      <c r="BD7" s="130"/>
      <c r="BE7" s="130"/>
      <c r="BF7" s="125"/>
      <c r="BG7" s="143" t="s">
        <v>44</v>
      </c>
      <c r="BH7" s="130"/>
      <c r="BI7" s="130"/>
      <c r="BJ7" s="130"/>
      <c r="BK7" s="125"/>
      <c r="BL7" s="143" t="s">
        <v>73</v>
      </c>
      <c r="BM7" s="130"/>
      <c r="BN7" s="130"/>
      <c r="BO7" s="130"/>
      <c r="BP7" s="125"/>
      <c r="BQ7" s="143" t="s">
        <v>1375</v>
      </c>
      <c r="BR7" s="130"/>
      <c r="BS7" s="130"/>
      <c r="BT7" s="130"/>
      <c r="BU7" s="125"/>
      <c r="BV7" s="143" t="s">
        <v>1376</v>
      </c>
      <c r="BW7" s="130"/>
      <c r="BX7" s="130"/>
      <c r="BY7" s="130"/>
      <c r="BZ7" s="125"/>
      <c r="CA7" s="143" t="s">
        <v>126</v>
      </c>
      <c r="CB7" s="130"/>
      <c r="CC7" s="130"/>
      <c r="CD7" s="130"/>
      <c r="CE7" s="125"/>
      <c r="CF7" s="143" t="s">
        <v>1377</v>
      </c>
      <c r="CG7" s="130"/>
      <c r="CH7" s="130"/>
      <c r="CI7" s="130"/>
      <c r="CJ7" s="125"/>
      <c r="CK7" s="143" t="s">
        <v>1378</v>
      </c>
      <c r="CL7" s="130"/>
      <c r="CM7" s="130"/>
      <c r="CN7" s="130"/>
      <c r="CO7" s="125"/>
      <c r="CP7" s="143" t="s">
        <v>1379</v>
      </c>
      <c r="CQ7" s="130"/>
      <c r="CR7" s="130"/>
      <c r="CS7" s="130"/>
      <c r="CT7" s="125"/>
      <c r="CU7" s="143" t="s">
        <v>36</v>
      </c>
      <c r="CV7" s="130"/>
      <c r="CW7" s="130"/>
      <c r="CX7" s="130"/>
      <c r="CY7" s="8"/>
    </row>
    <row r="8" spans="1:103" ht="30" customHeight="1">
      <c r="A8" s="8"/>
      <c r="B8" s="130"/>
      <c r="C8" s="8"/>
      <c r="D8" s="126" t="s">
        <v>402</v>
      </c>
      <c r="E8" s="126" t="s">
        <v>42</v>
      </c>
      <c r="F8" s="126" t="s">
        <v>338</v>
      </c>
      <c r="G8" s="127">
        <f>LEFT(B7,1)+0.2</f>
        <v>2.2000000000000002</v>
      </c>
      <c r="H8" s="125"/>
      <c r="I8" s="126" t="s">
        <v>402</v>
      </c>
      <c r="J8" s="126" t="s">
        <v>42</v>
      </c>
      <c r="K8" s="126" t="s">
        <v>339</v>
      </c>
      <c r="L8" s="127">
        <f>G8-0.01</f>
        <v>2.1900000000000004</v>
      </c>
      <c r="M8" s="125"/>
      <c r="N8" s="126" t="s">
        <v>386</v>
      </c>
      <c r="O8" s="126" t="s">
        <v>42</v>
      </c>
      <c r="P8" s="126" t="s">
        <v>340</v>
      </c>
      <c r="Q8" s="127">
        <f>L8-0.01</f>
        <v>2.1800000000000006</v>
      </c>
      <c r="R8" s="125"/>
      <c r="S8" s="126" t="s">
        <v>403</v>
      </c>
      <c r="T8" s="126" t="s">
        <v>42</v>
      </c>
      <c r="U8" s="126" t="s">
        <v>338</v>
      </c>
      <c r="V8" s="127">
        <f>Q8-0.01</f>
        <v>2.1700000000000008</v>
      </c>
      <c r="W8" s="125"/>
      <c r="X8" s="126" t="s">
        <v>410</v>
      </c>
      <c r="Y8" s="126" t="s">
        <v>42</v>
      </c>
      <c r="Z8" s="126" t="s">
        <v>338</v>
      </c>
      <c r="AA8" s="127">
        <f>V8-0.01</f>
        <v>2.160000000000001</v>
      </c>
      <c r="AB8" s="125"/>
      <c r="AC8" s="126" t="s">
        <v>385</v>
      </c>
      <c r="AD8" s="126" t="s">
        <v>42</v>
      </c>
      <c r="AE8" s="126" t="s">
        <v>337</v>
      </c>
      <c r="AF8" s="127">
        <f>AA8-0.01</f>
        <v>2.1500000000000012</v>
      </c>
      <c r="AG8" s="125"/>
      <c r="AH8" s="126" t="s">
        <v>405</v>
      </c>
      <c r="AI8" s="126" t="s">
        <v>42</v>
      </c>
      <c r="AJ8" s="126" t="s">
        <v>339</v>
      </c>
      <c r="AK8" s="127">
        <f>AF8-0.01</f>
        <v>2.1400000000000015</v>
      </c>
      <c r="AL8" s="125"/>
      <c r="AM8" s="126" t="s">
        <v>414</v>
      </c>
      <c r="AN8" s="126" t="s">
        <v>42</v>
      </c>
      <c r="AO8" s="126" t="s">
        <v>339</v>
      </c>
      <c r="AP8" s="127">
        <f>AK8-0.01</f>
        <v>2.1300000000000017</v>
      </c>
      <c r="AQ8" s="125"/>
      <c r="AR8" s="126" t="s">
        <v>399</v>
      </c>
      <c r="AS8" s="126" t="s">
        <v>42</v>
      </c>
      <c r="AT8" s="126" t="s">
        <v>338</v>
      </c>
      <c r="AU8" s="127">
        <f>AP8-0.01</f>
        <v>2.1200000000000019</v>
      </c>
      <c r="AV8" s="125"/>
      <c r="AW8" s="126" t="s">
        <v>415</v>
      </c>
      <c r="AX8" s="126" t="s">
        <v>42</v>
      </c>
      <c r="AY8" s="126" t="s">
        <v>339</v>
      </c>
      <c r="AZ8" s="127">
        <f>AU8-0.01</f>
        <v>2.1100000000000021</v>
      </c>
      <c r="BA8" s="125"/>
      <c r="BB8" s="126" t="s">
        <v>387</v>
      </c>
      <c r="BC8" s="126" t="s">
        <v>42</v>
      </c>
      <c r="BD8" s="126" t="s">
        <v>338</v>
      </c>
      <c r="BE8" s="127">
        <f>AZ8-0.01</f>
        <v>2.1000000000000023</v>
      </c>
      <c r="BF8" s="125"/>
      <c r="BG8" s="126" t="s">
        <v>390</v>
      </c>
      <c r="BH8" s="126" t="s">
        <v>42</v>
      </c>
      <c r="BI8" s="126" t="s">
        <v>338</v>
      </c>
      <c r="BJ8" s="127">
        <f>BE8-0.01</f>
        <v>2.0900000000000025</v>
      </c>
      <c r="BK8" s="125"/>
      <c r="BL8" s="126" t="s">
        <v>386</v>
      </c>
      <c r="BM8" s="126" t="s">
        <v>42</v>
      </c>
      <c r="BN8" s="126" t="s">
        <v>339</v>
      </c>
      <c r="BO8" s="127">
        <f>BJ8-0.01</f>
        <v>2.0800000000000027</v>
      </c>
      <c r="BP8" s="125"/>
      <c r="BQ8" s="126" t="s">
        <v>412</v>
      </c>
      <c r="BR8" s="126" t="s">
        <v>42</v>
      </c>
      <c r="BS8" s="126" t="s">
        <v>338</v>
      </c>
      <c r="BT8" s="127">
        <f>BO8-0.01</f>
        <v>2.0700000000000029</v>
      </c>
      <c r="BU8" s="125"/>
      <c r="BV8" s="126" t="s">
        <v>395</v>
      </c>
      <c r="BW8" s="126" t="s">
        <v>42</v>
      </c>
      <c r="BX8" s="126" t="s">
        <v>338</v>
      </c>
      <c r="BY8" s="127">
        <f>BT8-0.01</f>
        <v>2.0600000000000032</v>
      </c>
      <c r="BZ8" s="125"/>
      <c r="CA8" s="126" t="s">
        <v>388</v>
      </c>
      <c r="CB8" s="126" t="s">
        <v>42</v>
      </c>
      <c r="CC8" s="126" t="s">
        <v>339</v>
      </c>
      <c r="CD8" s="127">
        <f>BY8-0.01</f>
        <v>2.0500000000000034</v>
      </c>
      <c r="CE8" s="125"/>
      <c r="CF8" s="126" t="s">
        <v>412</v>
      </c>
      <c r="CG8" s="126" t="s">
        <v>42</v>
      </c>
      <c r="CH8" s="126" t="s">
        <v>339</v>
      </c>
      <c r="CI8" s="127">
        <f>CD8-0.01</f>
        <v>2.0400000000000036</v>
      </c>
      <c r="CJ8" s="125"/>
      <c r="CK8" s="126" t="s">
        <v>414</v>
      </c>
      <c r="CL8" s="126" t="s">
        <v>42</v>
      </c>
      <c r="CM8" s="126" t="s">
        <v>338</v>
      </c>
      <c r="CN8" s="127">
        <f>CI8-0.01</f>
        <v>2.0300000000000038</v>
      </c>
      <c r="CO8" s="125"/>
      <c r="CP8" s="126" t="s">
        <v>400</v>
      </c>
      <c r="CQ8" s="126" t="s">
        <v>42</v>
      </c>
      <c r="CR8" s="126" t="s">
        <v>338</v>
      </c>
      <c r="CS8" s="127">
        <f>CN8-0.01</f>
        <v>2.020000000000004</v>
      </c>
      <c r="CT8" s="125"/>
      <c r="CU8" s="126" t="s">
        <v>400</v>
      </c>
      <c r="CV8" s="126" t="s">
        <v>42</v>
      </c>
      <c r="CW8" s="126" t="s">
        <v>339</v>
      </c>
      <c r="CX8" s="127">
        <f>CS8-0.01</f>
        <v>2.0100000000000042</v>
      </c>
      <c r="CY8" s="8"/>
    </row>
    <row r="9" spans="1:103" ht="7.5" customHeight="1">
      <c r="A9" s="8"/>
      <c r="B9" s="9"/>
      <c r="C9" s="8"/>
      <c r="D9" s="125"/>
      <c r="E9" s="126"/>
      <c r="F9" s="125"/>
      <c r="G9" s="127"/>
      <c r="H9" s="125"/>
      <c r="I9" s="125"/>
      <c r="J9" s="126"/>
      <c r="K9" s="125"/>
      <c r="L9" s="127"/>
      <c r="M9" s="125"/>
      <c r="N9" s="125"/>
      <c r="O9" s="126"/>
      <c r="P9" s="125"/>
      <c r="Q9" s="127"/>
      <c r="R9" s="125"/>
      <c r="S9" s="125"/>
      <c r="T9" s="126"/>
      <c r="U9" s="125"/>
      <c r="V9" s="127"/>
      <c r="W9" s="125"/>
      <c r="X9" s="125"/>
      <c r="Y9" s="126"/>
      <c r="Z9" s="125"/>
      <c r="AA9" s="127"/>
      <c r="AB9" s="125"/>
      <c r="AC9" s="125"/>
      <c r="AD9" s="126"/>
      <c r="AE9" s="125"/>
      <c r="AF9" s="127"/>
      <c r="AG9" s="125"/>
      <c r="AH9" s="125"/>
      <c r="AI9" s="126"/>
      <c r="AJ9" s="125"/>
      <c r="AK9" s="127"/>
      <c r="AL9" s="125"/>
      <c r="AM9" s="125"/>
      <c r="AN9" s="126"/>
      <c r="AO9" s="125"/>
      <c r="AP9" s="127"/>
      <c r="AQ9" s="125"/>
      <c r="AR9" s="125"/>
      <c r="AS9" s="126"/>
      <c r="AT9" s="125"/>
      <c r="AU9" s="127"/>
      <c r="AV9" s="125"/>
      <c r="AW9" s="125"/>
      <c r="AX9" s="126"/>
      <c r="AY9" s="125"/>
      <c r="AZ9" s="127"/>
      <c r="BA9" s="125"/>
      <c r="BB9" s="125"/>
      <c r="BC9" s="126"/>
      <c r="BD9" s="125"/>
      <c r="BE9" s="127"/>
      <c r="BF9" s="125"/>
      <c r="BG9" s="125"/>
      <c r="BH9" s="126"/>
      <c r="BI9" s="125"/>
      <c r="BJ9" s="127"/>
      <c r="BK9" s="125"/>
      <c r="BL9" s="125"/>
      <c r="BM9" s="126"/>
      <c r="BN9" s="125"/>
      <c r="BO9" s="127"/>
      <c r="BP9" s="125"/>
      <c r="BQ9" s="125"/>
      <c r="BR9" s="126"/>
      <c r="BS9" s="125"/>
      <c r="BT9" s="127"/>
      <c r="BU9" s="125"/>
      <c r="BV9" s="125"/>
      <c r="BW9" s="126"/>
      <c r="BX9" s="125"/>
      <c r="BY9" s="127"/>
      <c r="BZ9" s="125"/>
      <c r="CA9" s="125"/>
      <c r="CB9" s="126"/>
      <c r="CC9" s="125"/>
      <c r="CD9" s="127"/>
      <c r="CE9" s="125"/>
      <c r="CF9" s="125"/>
      <c r="CG9" s="126"/>
      <c r="CH9" s="125"/>
      <c r="CI9" s="127"/>
      <c r="CJ9" s="125"/>
      <c r="CK9" s="125"/>
      <c r="CL9" s="126"/>
      <c r="CM9" s="125"/>
      <c r="CN9" s="127"/>
      <c r="CO9" s="125"/>
      <c r="CP9" s="125"/>
      <c r="CQ9" s="126"/>
      <c r="CR9" s="125"/>
      <c r="CS9" s="127"/>
      <c r="CT9" s="125"/>
      <c r="CU9" s="125"/>
      <c r="CV9" s="126"/>
      <c r="CW9" s="125"/>
      <c r="CX9" s="127"/>
      <c r="CY9" s="8"/>
    </row>
    <row r="10" spans="1:103" ht="30" customHeight="1">
      <c r="A10" s="8"/>
      <c r="B10" s="129" t="s">
        <v>64</v>
      </c>
      <c r="C10" s="8"/>
      <c r="D10" s="143" t="s">
        <v>50</v>
      </c>
      <c r="E10" s="130"/>
      <c r="F10" s="130"/>
      <c r="G10" s="130"/>
      <c r="H10" s="125"/>
      <c r="I10" s="143" t="s">
        <v>249</v>
      </c>
      <c r="J10" s="130"/>
      <c r="K10" s="130"/>
      <c r="L10" s="130"/>
      <c r="M10" s="125"/>
      <c r="N10" s="143" t="s">
        <v>230</v>
      </c>
      <c r="O10" s="130"/>
      <c r="P10" s="130"/>
      <c r="Q10" s="130"/>
      <c r="R10" s="125"/>
      <c r="S10" s="143" t="s">
        <v>210</v>
      </c>
      <c r="T10" s="130"/>
      <c r="U10" s="130"/>
      <c r="V10" s="130"/>
      <c r="W10" s="125"/>
      <c r="X10" s="143" t="s">
        <v>67</v>
      </c>
      <c r="Y10" s="130"/>
      <c r="Z10" s="130"/>
      <c r="AA10" s="130"/>
      <c r="AB10" s="125"/>
      <c r="AC10" s="143" t="s">
        <v>247</v>
      </c>
      <c r="AD10" s="130"/>
      <c r="AE10" s="130"/>
      <c r="AF10" s="130"/>
      <c r="AG10" s="125"/>
      <c r="AH10" s="143" t="s">
        <v>1380</v>
      </c>
      <c r="AI10" s="130"/>
      <c r="AJ10" s="130"/>
      <c r="AK10" s="130"/>
      <c r="AL10" s="125"/>
      <c r="AM10" s="143" t="s">
        <v>1381</v>
      </c>
      <c r="AN10" s="130"/>
      <c r="AO10" s="130"/>
      <c r="AP10" s="130"/>
      <c r="AQ10" s="125"/>
      <c r="AR10" s="143" t="s">
        <v>81</v>
      </c>
      <c r="AS10" s="130"/>
      <c r="AT10" s="130"/>
      <c r="AU10" s="130"/>
      <c r="AV10" s="125"/>
      <c r="AW10" s="143" t="s">
        <v>228</v>
      </c>
      <c r="AX10" s="130"/>
      <c r="AY10" s="130"/>
      <c r="AZ10" s="130"/>
      <c r="BA10" s="125"/>
      <c r="BB10" s="143" t="s">
        <v>1382</v>
      </c>
      <c r="BC10" s="130"/>
      <c r="BD10" s="130"/>
      <c r="BE10" s="130"/>
      <c r="BF10" s="125"/>
      <c r="BG10" s="143" t="s">
        <v>1383</v>
      </c>
      <c r="BH10" s="130"/>
      <c r="BI10" s="130"/>
      <c r="BJ10" s="130"/>
      <c r="BK10" s="125"/>
      <c r="BL10" s="143" t="s">
        <v>218</v>
      </c>
      <c r="BM10" s="130"/>
      <c r="BN10" s="130"/>
      <c r="BO10" s="130"/>
      <c r="BP10" s="125"/>
      <c r="BQ10" s="143" t="s">
        <v>25</v>
      </c>
      <c r="BR10" s="130"/>
      <c r="BS10" s="130"/>
      <c r="BT10" s="130"/>
      <c r="BU10" s="125"/>
      <c r="BV10" s="143" t="s">
        <v>74</v>
      </c>
      <c r="BW10" s="130"/>
      <c r="BX10" s="130"/>
      <c r="BY10" s="130"/>
      <c r="BZ10" s="125"/>
      <c r="CA10" s="143" t="s">
        <v>1384</v>
      </c>
      <c r="CB10" s="130"/>
      <c r="CC10" s="130"/>
      <c r="CD10" s="130"/>
      <c r="CE10" s="125"/>
      <c r="CF10" s="143" t="s">
        <v>108</v>
      </c>
      <c r="CG10" s="130"/>
      <c r="CH10" s="130"/>
      <c r="CI10" s="130"/>
      <c r="CJ10" s="125"/>
      <c r="CK10" s="143" t="s">
        <v>99</v>
      </c>
      <c r="CL10" s="130"/>
      <c r="CM10" s="130"/>
      <c r="CN10" s="130"/>
      <c r="CO10" s="125"/>
      <c r="CP10" s="143" t="s">
        <v>120</v>
      </c>
      <c r="CQ10" s="130"/>
      <c r="CR10" s="130"/>
      <c r="CS10" s="130"/>
      <c r="CT10" s="125"/>
      <c r="CU10" s="143" t="s">
        <v>1385</v>
      </c>
      <c r="CV10" s="130"/>
      <c r="CW10" s="130"/>
      <c r="CX10" s="130"/>
      <c r="CY10" s="8"/>
    </row>
    <row r="11" spans="1:103" ht="30" customHeight="1">
      <c r="A11" s="8"/>
      <c r="B11" s="130"/>
      <c r="C11" s="8"/>
      <c r="D11" s="126" t="s">
        <v>387</v>
      </c>
      <c r="E11" s="126" t="s">
        <v>42</v>
      </c>
      <c r="F11" s="126" t="s">
        <v>337</v>
      </c>
      <c r="G11" s="127">
        <f>LEFT(B10,1)+0.01</f>
        <v>3.01</v>
      </c>
      <c r="H11" s="125"/>
      <c r="I11" s="126" t="s">
        <v>403</v>
      </c>
      <c r="J11" s="126" t="s">
        <v>42</v>
      </c>
      <c r="K11" s="126" t="s">
        <v>340</v>
      </c>
      <c r="L11" s="127">
        <f>G11+0.01</f>
        <v>3.0199999999999996</v>
      </c>
      <c r="M11" s="125"/>
      <c r="N11" s="126" t="s">
        <v>401</v>
      </c>
      <c r="O11" s="126" t="s">
        <v>42</v>
      </c>
      <c r="P11" s="126" t="s">
        <v>339</v>
      </c>
      <c r="Q11" s="127">
        <f>L11+0.01</f>
        <v>3.0299999999999994</v>
      </c>
      <c r="R11" s="125"/>
      <c r="S11" s="126" t="s">
        <v>405</v>
      </c>
      <c r="T11" s="126" t="s">
        <v>42</v>
      </c>
      <c r="U11" s="126" t="s">
        <v>339</v>
      </c>
      <c r="V11" s="127">
        <f>Q11+0.01</f>
        <v>3.0399999999999991</v>
      </c>
      <c r="W11" s="125"/>
      <c r="X11" s="126" t="s">
        <v>416</v>
      </c>
      <c r="Y11" s="126" t="s">
        <v>42</v>
      </c>
      <c r="Z11" s="126" t="s">
        <v>339</v>
      </c>
      <c r="AA11" s="127">
        <f>V11+0.01</f>
        <v>3.0499999999999989</v>
      </c>
      <c r="AB11" s="125"/>
      <c r="AC11" s="126" t="s">
        <v>393</v>
      </c>
      <c r="AD11" s="126" t="s">
        <v>42</v>
      </c>
      <c r="AE11" s="126" t="s">
        <v>339</v>
      </c>
      <c r="AF11" s="127">
        <f>AA11+0.01</f>
        <v>3.0599999999999987</v>
      </c>
      <c r="AG11" s="125"/>
      <c r="AH11" s="126" t="s">
        <v>414</v>
      </c>
      <c r="AI11" s="126" t="s">
        <v>42</v>
      </c>
      <c r="AJ11" s="126" t="s">
        <v>338</v>
      </c>
      <c r="AK11" s="127">
        <f>AF11+0.01</f>
        <v>3.0699999999999985</v>
      </c>
      <c r="AL11" s="125"/>
      <c r="AM11" s="126" t="s">
        <v>386</v>
      </c>
      <c r="AN11" s="126" t="s">
        <v>42</v>
      </c>
      <c r="AO11" s="126" t="s">
        <v>338</v>
      </c>
      <c r="AP11" s="127">
        <f>AK11+0.01</f>
        <v>3.0799999999999983</v>
      </c>
      <c r="AQ11" s="125"/>
      <c r="AR11" s="126" t="s">
        <v>394</v>
      </c>
      <c r="AS11" s="126" t="s">
        <v>42</v>
      </c>
      <c r="AT11" s="126" t="s">
        <v>339</v>
      </c>
      <c r="AU11" s="127">
        <f>AP11+0.01</f>
        <v>3.0899999999999981</v>
      </c>
      <c r="AV11" s="125"/>
      <c r="AW11" s="126" t="s">
        <v>396</v>
      </c>
      <c r="AX11" s="126" t="s">
        <v>42</v>
      </c>
      <c r="AY11" s="126" t="s">
        <v>337</v>
      </c>
      <c r="AZ11" s="127">
        <f>AU11+0.01</f>
        <v>3.0999999999999979</v>
      </c>
      <c r="BA11" s="125"/>
      <c r="BB11" s="126" t="s">
        <v>390</v>
      </c>
      <c r="BC11" s="126" t="s">
        <v>42</v>
      </c>
      <c r="BD11" s="126" t="s">
        <v>339</v>
      </c>
      <c r="BE11" s="127">
        <f>AZ11+0.01</f>
        <v>3.1099999999999977</v>
      </c>
      <c r="BF11" s="125"/>
      <c r="BG11" s="126" t="s">
        <v>394</v>
      </c>
      <c r="BH11" s="126" t="s">
        <v>42</v>
      </c>
      <c r="BI11" s="126" t="s">
        <v>338</v>
      </c>
      <c r="BJ11" s="127">
        <f>BE11+0.01</f>
        <v>3.1199999999999974</v>
      </c>
      <c r="BK11" s="125"/>
      <c r="BL11" s="126" t="s">
        <v>412</v>
      </c>
      <c r="BM11" s="126" t="s">
        <v>42</v>
      </c>
      <c r="BN11" s="126" t="s">
        <v>337</v>
      </c>
      <c r="BO11" s="127">
        <f>BJ11+0.01</f>
        <v>3.1299999999999972</v>
      </c>
      <c r="BP11" s="125"/>
      <c r="BQ11" s="126" t="s">
        <v>393</v>
      </c>
      <c r="BR11" s="126" t="s">
        <v>42</v>
      </c>
      <c r="BS11" s="126" t="s">
        <v>339</v>
      </c>
      <c r="BT11" s="127">
        <f>BO11+0.01</f>
        <v>3.139999999999997</v>
      </c>
      <c r="BU11" s="125"/>
      <c r="BV11" s="126" t="s">
        <v>413</v>
      </c>
      <c r="BW11" s="126" t="s">
        <v>42</v>
      </c>
      <c r="BX11" s="126" t="s">
        <v>340</v>
      </c>
      <c r="BY11" s="127">
        <f>BT11+0.01</f>
        <v>3.1499999999999968</v>
      </c>
      <c r="BZ11" s="125"/>
      <c r="CA11" s="126" t="s">
        <v>404</v>
      </c>
      <c r="CB11" s="126" t="s">
        <v>42</v>
      </c>
      <c r="CC11" s="126" t="s">
        <v>338</v>
      </c>
      <c r="CD11" s="127">
        <f>BY11+0.01</f>
        <v>3.1599999999999966</v>
      </c>
      <c r="CE11" s="125"/>
      <c r="CF11" s="126" t="s">
        <v>393</v>
      </c>
      <c r="CG11" s="126" t="s">
        <v>42</v>
      </c>
      <c r="CH11" s="126" t="s">
        <v>337</v>
      </c>
      <c r="CI11" s="127">
        <f>CD11+0.01</f>
        <v>3.1699999999999964</v>
      </c>
      <c r="CJ11" s="125"/>
      <c r="CK11" s="126" t="s">
        <v>387</v>
      </c>
      <c r="CL11" s="126" t="s">
        <v>42</v>
      </c>
      <c r="CM11" s="126" t="s">
        <v>340</v>
      </c>
      <c r="CN11" s="127">
        <f>CI11+0.01</f>
        <v>3.1799999999999962</v>
      </c>
      <c r="CO11" s="125"/>
      <c r="CP11" s="126" t="s">
        <v>414</v>
      </c>
      <c r="CQ11" s="126" t="s">
        <v>42</v>
      </c>
      <c r="CR11" s="126" t="s">
        <v>339</v>
      </c>
      <c r="CS11" s="127">
        <f>CN11+0.01</f>
        <v>3.1899999999999959</v>
      </c>
      <c r="CT11" s="125"/>
      <c r="CU11" s="126" t="s">
        <v>385</v>
      </c>
      <c r="CV11" s="126" t="s">
        <v>42</v>
      </c>
      <c r="CW11" s="126" t="s">
        <v>338</v>
      </c>
      <c r="CX11" s="127">
        <f>CS11+0.01</f>
        <v>3.1999999999999957</v>
      </c>
      <c r="CY11" s="8"/>
    </row>
    <row r="12" spans="1:103" ht="7.5" customHeight="1">
      <c r="A12" s="8"/>
      <c r="B12" s="9"/>
      <c r="C12" s="8"/>
      <c r="D12" s="126"/>
      <c r="E12" s="126"/>
      <c r="F12" s="126"/>
      <c r="G12" s="127"/>
      <c r="H12" s="125"/>
      <c r="I12" s="126"/>
      <c r="J12" s="126"/>
      <c r="K12" s="126"/>
      <c r="L12" s="127"/>
      <c r="M12" s="125"/>
      <c r="N12" s="126"/>
      <c r="O12" s="126"/>
      <c r="P12" s="126"/>
      <c r="Q12" s="127"/>
      <c r="R12" s="125"/>
      <c r="S12" s="126"/>
      <c r="T12" s="126"/>
      <c r="U12" s="126"/>
      <c r="V12" s="127"/>
      <c r="W12" s="125"/>
      <c r="X12" s="126"/>
      <c r="Y12" s="126"/>
      <c r="Z12" s="126"/>
      <c r="AA12" s="127"/>
      <c r="AB12" s="125"/>
      <c r="AC12" s="126"/>
      <c r="AD12" s="126"/>
      <c r="AE12" s="126"/>
      <c r="AF12" s="127"/>
      <c r="AG12" s="125"/>
      <c r="AH12" s="126"/>
      <c r="AI12" s="126"/>
      <c r="AJ12" s="126"/>
      <c r="AK12" s="127"/>
      <c r="AL12" s="125"/>
      <c r="AM12" s="126"/>
      <c r="AN12" s="126"/>
      <c r="AO12" s="126"/>
      <c r="AP12" s="127"/>
      <c r="AQ12" s="125"/>
      <c r="AR12" s="126"/>
      <c r="AS12" s="126"/>
      <c r="AT12" s="126"/>
      <c r="AU12" s="127"/>
      <c r="AV12" s="125"/>
      <c r="AW12" s="126"/>
      <c r="AX12" s="126"/>
      <c r="AY12" s="126"/>
      <c r="AZ12" s="127"/>
      <c r="BA12" s="125"/>
      <c r="BB12" s="126"/>
      <c r="BC12" s="126"/>
      <c r="BD12" s="126"/>
      <c r="BE12" s="127"/>
      <c r="BF12" s="125"/>
      <c r="BG12" s="126"/>
      <c r="BH12" s="126"/>
      <c r="BI12" s="126"/>
      <c r="BJ12" s="127"/>
      <c r="BK12" s="125"/>
      <c r="BL12" s="126"/>
      <c r="BM12" s="126"/>
      <c r="BN12" s="126"/>
      <c r="BO12" s="127"/>
      <c r="BP12" s="125"/>
      <c r="BQ12" s="126"/>
      <c r="BR12" s="126"/>
      <c r="BS12" s="126"/>
      <c r="BT12" s="127"/>
      <c r="BU12" s="125"/>
      <c r="BV12" s="126"/>
      <c r="BW12" s="126"/>
      <c r="BX12" s="126"/>
      <c r="BY12" s="127"/>
      <c r="BZ12" s="125"/>
      <c r="CA12" s="126"/>
      <c r="CB12" s="126"/>
      <c r="CC12" s="126"/>
      <c r="CD12" s="127"/>
      <c r="CE12" s="125"/>
      <c r="CF12" s="126"/>
      <c r="CG12" s="126"/>
      <c r="CH12" s="126"/>
      <c r="CI12" s="127"/>
      <c r="CJ12" s="125"/>
      <c r="CK12" s="126"/>
      <c r="CL12" s="126"/>
      <c r="CM12" s="126"/>
      <c r="CN12" s="127"/>
      <c r="CO12" s="125"/>
      <c r="CP12" s="126"/>
      <c r="CQ12" s="126"/>
      <c r="CR12" s="126"/>
      <c r="CS12" s="127"/>
      <c r="CT12" s="125"/>
      <c r="CU12" s="126"/>
      <c r="CV12" s="126"/>
      <c r="CW12" s="126"/>
      <c r="CX12" s="127"/>
      <c r="CY12" s="8"/>
    </row>
    <row r="13" spans="1:103" ht="30" customHeight="1">
      <c r="A13" s="8"/>
      <c r="B13" s="129" t="s">
        <v>85</v>
      </c>
      <c r="C13" s="8"/>
      <c r="D13" s="143" t="s">
        <v>1386</v>
      </c>
      <c r="E13" s="130"/>
      <c r="F13" s="130"/>
      <c r="G13" s="130"/>
      <c r="H13" s="125"/>
      <c r="I13" s="143" t="s">
        <v>1387</v>
      </c>
      <c r="J13" s="130"/>
      <c r="K13" s="130"/>
      <c r="L13" s="130"/>
      <c r="M13" s="125"/>
      <c r="N13" s="143" t="s">
        <v>1388</v>
      </c>
      <c r="O13" s="130"/>
      <c r="P13" s="130"/>
      <c r="Q13" s="130"/>
      <c r="R13" s="125"/>
      <c r="S13" s="143" t="s">
        <v>1389</v>
      </c>
      <c r="T13" s="130"/>
      <c r="U13" s="130"/>
      <c r="V13" s="130"/>
      <c r="W13" s="125"/>
      <c r="X13" s="143" t="s">
        <v>135</v>
      </c>
      <c r="Y13" s="130"/>
      <c r="Z13" s="130"/>
      <c r="AA13" s="130"/>
      <c r="AB13" s="125"/>
      <c r="AC13" s="143" t="s">
        <v>1054</v>
      </c>
      <c r="AD13" s="130"/>
      <c r="AE13" s="130"/>
      <c r="AF13" s="130"/>
      <c r="AG13" s="125"/>
      <c r="AH13" s="143" t="s">
        <v>130</v>
      </c>
      <c r="AI13" s="130"/>
      <c r="AJ13" s="130"/>
      <c r="AK13" s="130"/>
      <c r="AL13" s="125"/>
      <c r="AM13" s="143" t="s">
        <v>307</v>
      </c>
      <c r="AN13" s="130"/>
      <c r="AO13" s="130"/>
      <c r="AP13" s="130"/>
      <c r="AQ13" s="125"/>
      <c r="AR13" s="143" t="s">
        <v>1390</v>
      </c>
      <c r="AS13" s="130"/>
      <c r="AT13" s="130"/>
      <c r="AU13" s="130"/>
      <c r="AV13" s="125"/>
      <c r="AW13" s="143" t="s">
        <v>1391</v>
      </c>
      <c r="AX13" s="130"/>
      <c r="AY13" s="130"/>
      <c r="AZ13" s="130"/>
      <c r="BA13" s="125"/>
      <c r="BB13" s="143" t="s">
        <v>53</v>
      </c>
      <c r="BC13" s="130"/>
      <c r="BD13" s="130"/>
      <c r="BE13" s="130"/>
      <c r="BF13" s="125"/>
      <c r="BG13" s="143" t="s">
        <v>1392</v>
      </c>
      <c r="BH13" s="130"/>
      <c r="BI13" s="130"/>
      <c r="BJ13" s="130"/>
      <c r="BK13" s="125"/>
      <c r="BL13" s="143" t="s">
        <v>1393</v>
      </c>
      <c r="BM13" s="130"/>
      <c r="BN13" s="130"/>
      <c r="BO13" s="130"/>
      <c r="BP13" s="125"/>
      <c r="BQ13" s="143" t="s">
        <v>1394</v>
      </c>
      <c r="BR13" s="130"/>
      <c r="BS13" s="130"/>
      <c r="BT13" s="130"/>
      <c r="BU13" s="125"/>
      <c r="BV13" s="143" t="s">
        <v>70</v>
      </c>
      <c r="BW13" s="130"/>
      <c r="BX13" s="130"/>
      <c r="BY13" s="130"/>
      <c r="BZ13" s="125"/>
      <c r="CA13" s="143" t="s">
        <v>1395</v>
      </c>
      <c r="CB13" s="130"/>
      <c r="CC13" s="130"/>
      <c r="CD13" s="130"/>
      <c r="CE13" s="125"/>
      <c r="CF13" s="143" t="s">
        <v>1396</v>
      </c>
      <c r="CG13" s="130"/>
      <c r="CH13" s="130"/>
      <c r="CI13" s="130"/>
      <c r="CJ13" s="125"/>
      <c r="CK13" s="143" t="s">
        <v>293</v>
      </c>
      <c r="CL13" s="130"/>
      <c r="CM13" s="130"/>
      <c r="CN13" s="130"/>
      <c r="CO13" s="125"/>
      <c r="CP13" s="143" t="s">
        <v>1087</v>
      </c>
      <c r="CQ13" s="130"/>
      <c r="CR13" s="130"/>
      <c r="CS13" s="130"/>
      <c r="CT13" s="125"/>
      <c r="CU13" s="143" t="s">
        <v>155</v>
      </c>
      <c r="CV13" s="130"/>
      <c r="CW13" s="130"/>
      <c r="CX13" s="130"/>
      <c r="CY13" s="8"/>
    </row>
    <row r="14" spans="1:103" ht="30" customHeight="1">
      <c r="A14" s="8"/>
      <c r="B14" s="130"/>
      <c r="C14" s="8"/>
      <c r="D14" s="126" t="s">
        <v>408</v>
      </c>
      <c r="E14" s="126" t="s">
        <v>42</v>
      </c>
      <c r="F14" s="126" t="s">
        <v>339</v>
      </c>
      <c r="G14" s="127">
        <f>LEFT(B13,1)+0.2</f>
        <v>4.2</v>
      </c>
      <c r="H14" s="125"/>
      <c r="I14" s="126" t="s">
        <v>415</v>
      </c>
      <c r="J14" s="126" t="s">
        <v>42</v>
      </c>
      <c r="K14" s="126" t="s">
        <v>337</v>
      </c>
      <c r="L14" s="127">
        <f>G14-0.01</f>
        <v>4.1900000000000004</v>
      </c>
      <c r="M14" s="125"/>
      <c r="N14" s="126" t="s">
        <v>397</v>
      </c>
      <c r="O14" s="126" t="s">
        <v>42</v>
      </c>
      <c r="P14" s="126" t="s">
        <v>338</v>
      </c>
      <c r="Q14" s="127">
        <f>L14-0.01</f>
        <v>4.1800000000000006</v>
      </c>
      <c r="R14" s="125"/>
      <c r="S14" s="126" t="s">
        <v>414</v>
      </c>
      <c r="T14" s="126" t="s">
        <v>42</v>
      </c>
      <c r="U14" s="126" t="s">
        <v>337</v>
      </c>
      <c r="V14" s="127">
        <f>Q14-0.01</f>
        <v>4.1700000000000008</v>
      </c>
      <c r="W14" s="125"/>
      <c r="X14" s="126" t="s">
        <v>410</v>
      </c>
      <c r="Y14" s="126" t="s">
        <v>42</v>
      </c>
      <c r="Z14" s="126" t="s">
        <v>340</v>
      </c>
      <c r="AA14" s="127">
        <f>V14-0.01</f>
        <v>4.160000000000001</v>
      </c>
      <c r="AB14" s="125"/>
      <c r="AC14" s="126" t="s">
        <v>402</v>
      </c>
      <c r="AD14" s="126" t="s">
        <v>42</v>
      </c>
      <c r="AE14" s="126" t="s">
        <v>340</v>
      </c>
      <c r="AF14" s="127">
        <f>AA14-0.01</f>
        <v>4.1500000000000012</v>
      </c>
      <c r="AG14" s="125"/>
      <c r="AH14" s="126" t="s">
        <v>402</v>
      </c>
      <c r="AI14" s="126" t="s">
        <v>42</v>
      </c>
      <c r="AJ14" s="126" t="s">
        <v>337</v>
      </c>
      <c r="AK14" s="127">
        <f>AF14-0.01</f>
        <v>4.1400000000000015</v>
      </c>
      <c r="AL14" s="125"/>
      <c r="AM14" s="126" t="s">
        <v>394</v>
      </c>
      <c r="AN14" s="126" t="s">
        <v>42</v>
      </c>
      <c r="AO14" s="126" t="s">
        <v>340</v>
      </c>
      <c r="AP14" s="127">
        <f>AK14-0.01</f>
        <v>4.1300000000000017</v>
      </c>
      <c r="AQ14" s="125"/>
      <c r="AR14" s="126" t="s">
        <v>406</v>
      </c>
      <c r="AS14" s="126" t="s">
        <v>42</v>
      </c>
      <c r="AT14" s="126" t="s">
        <v>339</v>
      </c>
      <c r="AU14" s="127">
        <f>AP14-0.01</f>
        <v>4.1200000000000019</v>
      </c>
      <c r="AV14" s="125"/>
      <c r="AW14" s="126" t="s">
        <v>394</v>
      </c>
      <c r="AX14" s="126" t="s">
        <v>42</v>
      </c>
      <c r="AY14" s="126" t="s">
        <v>338</v>
      </c>
      <c r="AZ14" s="127">
        <f>AU14-0.01</f>
        <v>4.1100000000000021</v>
      </c>
      <c r="BA14" s="125"/>
      <c r="BB14" s="126" t="s">
        <v>391</v>
      </c>
      <c r="BC14" s="126" t="s">
        <v>42</v>
      </c>
      <c r="BD14" s="126" t="s">
        <v>339</v>
      </c>
      <c r="BE14" s="127">
        <f>AZ14-0.01</f>
        <v>4.1000000000000023</v>
      </c>
      <c r="BF14" s="125"/>
      <c r="BG14" s="126" t="s">
        <v>395</v>
      </c>
      <c r="BH14" s="126" t="s">
        <v>42</v>
      </c>
      <c r="BI14" s="126" t="s">
        <v>340</v>
      </c>
      <c r="BJ14" s="127">
        <f>BE14-0.01</f>
        <v>4.0900000000000025</v>
      </c>
      <c r="BK14" s="125"/>
      <c r="BL14" s="126" t="s">
        <v>406</v>
      </c>
      <c r="BM14" s="126" t="s">
        <v>42</v>
      </c>
      <c r="BN14" s="126" t="s">
        <v>338</v>
      </c>
      <c r="BO14" s="127">
        <f>BJ14-0.01</f>
        <v>4.0800000000000027</v>
      </c>
      <c r="BP14" s="125"/>
      <c r="BQ14" s="126" t="s">
        <v>392</v>
      </c>
      <c r="BR14" s="126" t="s">
        <v>42</v>
      </c>
      <c r="BS14" s="126" t="s">
        <v>339</v>
      </c>
      <c r="BT14" s="127">
        <f>BO14-0.01</f>
        <v>4.0700000000000029</v>
      </c>
      <c r="BU14" s="125"/>
      <c r="BV14" s="126" t="s">
        <v>389</v>
      </c>
      <c r="BW14" s="126" t="s">
        <v>42</v>
      </c>
      <c r="BX14" s="126" t="s">
        <v>339</v>
      </c>
      <c r="BY14" s="127">
        <f>BT14-0.01</f>
        <v>4.0600000000000032</v>
      </c>
      <c r="BZ14" s="125"/>
      <c r="CA14" s="126" t="s">
        <v>413</v>
      </c>
      <c r="CB14" s="126" t="s">
        <v>42</v>
      </c>
      <c r="CC14" s="126" t="s">
        <v>338</v>
      </c>
      <c r="CD14" s="127">
        <f>BY14-0.01</f>
        <v>4.0500000000000034</v>
      </c>
      <c r="CE14" s="125"/>
      <c r="CF14" s="126" t="s">
        <v>416</v>
      </c>
      <c r="CG14" s="126" t="s">
        <v>42</v>
      </c>
      <c r="CH14" s="126" t="s">
        <v>340</v>
      </c>
      <c r="CI14" s="127">
        <f>CD14-0.01</f>
        <v>4.0400000000000036</v>
      </c>
      <c r="CJ14" s="125"/>
      <c r="CK14" s="126" t="s">
        <v>412</v>
      </c>
      <c r="CL14" s="126" t="s">
        <v>42</v>
      </c>
      <c r="CM14" s="126" t="s">
        <v>339</v>
      </c>
      <c r="CN14" s="127">
        <f>CI14-0.01</f>
        <v>4.0300000000000038</v>
      </c>
      <c r="CO14" s="125"/>
      <c r="CP14" s="126" t="s">
        <v>388</v>
      </c>
      <c r="CQ14" s="126" t="s">
        <v>42</v>
      </c>
      <c r="CR14" s="126" t="s">
        <v>338</v>
      </c>
      <c r="CS14" s="127">
        <f>CN14-0.01</f>
        <v>4.020000000000004</v>
      </c>
      <c r="CT14" s="125"/>
      <c r="CU14" s="126" t="s">
        <v>402</v>
      </c>
      <c r="CV14" s="126" t="s">
        <v>42</v>
      </c>
      <c r="CW14" s="126" t="s">
        <v>339</v>
      </c>
      <c r="CX14" s="127">
        <f>CS14-0.01</f>
        <v>4.0100000000000042</v>
      </c>
      <c r="CY14" s="8"/>
    </row>
    <row r="15" spans="1:103" ht="7.5" customHeight="1">
      <c r="A15" s="8"/>
      <c r="B15" s="11"/>
      <c r="C15" s="8"/>
      <c r="D15" s="125"/>
      <c r="E15" s="126"/>
      <c r="F15" s="125"/>
      <c r="G15" s="127"/>
      <c r="H15" s="125"/>
      <c r="I15" s="125"/>
      <c r="J15" s="126"/>
      <c r="K15" s="125"/>
      <c r="L15" s="127"/>
      <c r="M15" s="125"/>
      <c r="N15" s="125"/>
      <c r="O15" s="126"/>
      <c r="P15" s="125"/>
      <c r="Q15" s="127"/>
      <c r="R15" s="125"/>
      <c r="S15" s="125"/>
      <c r="T15" s="126"/>
      <c r="U15" s="125"/>
      <c r="V15" s="127"/>
      <c r="W15" s="125"/>
      <c r="X15" s="125"/>
      <c r="Y15" s="126"/>
      <c r="Z15" s="125"/>
      <c r="AA15" s="127"/>
      <c r="AB15" s="125"/>
      <c r="AC15" s="125"/>
      <c r="AD15" s="126"/>
      <c r="AE15" s="125"/>
      <c r="AF15" s="127"/>
      <c r="AG15" s="125"/>
      <c r="AH15" s="125"/>
      <c r="AI15" s="126"/>
      <c r="AJ15" s="125"/>
      <c r="AK15" s="127"/>
      <c r="AL15" s="125"/>
      <c r="AM15" s="125"/>
      <c r="AN15" s="126"/>
      <c r="AO15" s="125"/>
      <c r="AP15" s="127"/>
      <c r="AQ15" s="125"/>
      <c r="AR15" s="125"/>
      <c r="AS15" s="126"/>
      <c r="AT15" s="125"/>
      <c r="AU15" s="127"/>
      <c r="AV15" s="125"/>
      <c r="AW15" s="125"/>
      <c r="AX15" s="126"/>
      <c r="AY15" s="125"/>
      <c r="AZ15" s="127"/>
      <c r="BA15" s="125"/>
      <c r="BB15" s="125"/>
      <c r="BC15" s="126"/>
      <c r="BD15" s="125"/>
      <c r="BE15" s="127"/>
      <c r="BF15" s="125"/>
      <c r="BG15" s="125"/>
      <c r="BH15" s="126"/>
      <c r="BI15" s="125"/>
      <c r="BJ15" s="127"/>
      <c r="BK15" s="125"/>
      <c r="BL15" s="125"/>
      <c r="BM15" s="126"/>
      <c r="BN15" s="125"/>
      <c r="BO15" s="127"/>
      <c r="BP15" s="125"/>
      <c r="BQ15" s="125"/>
      <c r="BR15" s="126"/>
      <c r="BS15" s="125"/>
      <c r="BT15" s="127"/>
      <c r="BU15" s="125"/>
      <c r="BV15" s="125"/>
      <c r="BW15" s="126"/>
      <c r="BX15" s="125"/>
      <c r="BY15" s="127"/>
      <c r="BZ15" s="125"/>
      <c r="CA15" s="125"/>
      <c r="CB15" s="126"/>
      <c r="CC15" s="125"/>
      <c r="CD15" s="127"/>
      <c r="CE15" s="125"/>
      <c r="CF15" s="125"/>
      <c r="CG15" s="126"/>
      <c r="CH15" s="125"/>
      <c r="CI15" s="127"/>
      <c r="CJ15" s="125"/>
      <c r="CK15" s="125"/>
      <c r="CL15" s="126"/>
      <c r="CM15" s="125"/>
      <c r="CN15" s="127"/>
      <c r="CO15" s="125"/>
      <c r="CP15" s="125"/>
      <c r="CQ15" s="126"/>
      <c r="CR15" s="125"/>
      <c r="CS15" s="127"/>
      <c r="CT15" s="125"/>
      <c r="CU15" s="125"/>
      <c r="CV15" s="126"/>
      <c r="CW15" s="125"/>
      <c r="CX15" s="127"/>
      <c r="CY15" s="8"/>
    </row>
    <row r="16" spans="1:103" ht="30" customHeight="1">
      <c r="A16" s="8"/>
      <c r="B16" s="129" t="s">
        <v>106</v>
      </c>
      <c r="C16" s="8"/>
      <c r="D16" s="143" t="s">
        <v>72</v>
      </c>
      <c r="E16" s="130"/>
      <c r="F16" s="130"/>
      <c r="G16" s="130"/>
      <c r="H16" s="125"/>
      <c r="I16" s="143" t="s">
        <v>1397</v>
      </c>
      <c r="J16" s="130"/>
      <c r="K16" s="130"/>
      <c r="L16" s="130"/>
      <c r="M16" s="125"/>
      <c r="N16" s="143" t="s">
        <v>231</v>
      </c>
      <c r="O16" s="130"/>
      <c r="P16" s="130"/>
      <c r="Q16" s="130"/>
      <c r="R16" s="125"/>
      <c r="S16" s="143" t="s">
        <v>1398</v>
      </c>
      <c r="T16" s="130"/>
      <c r="U16" s="130"/>
      <c r="V16" s="130"/>
      <c r="W16" s="125"/>
      <c r="X16" s="143" t="s">
        <v>1032</v>
      </c>
      <c r="Y16" s="130"/>
      <c r="Z16" s="130"/>
      <c r="AA16" s="130"/>
      <c r="AB16" s="125"/>
      <c r="AC16" s="143" t="s">
        <v>1278</v>
      </c>
      <c r="AD16" s="130"/>
      <c r="AE16" s="130"/>
      <c r="AF16" s="130"/>
      <c r="AG16" s="125"/>
      <c r="AH16" s="143" t="s">
        <v>1399</v>
      </c>
      <c r="AI16" s="130"/>
      <c r="AJ16" s="130"/>
      <c r="AK16" s="130"/>
      <c r="AL16" s="125"/>
      <c r="AM16" s="143" t="s">
        <v>898</v>
      </c>
      <c r="AN16" s="130"/>
      <c r="AO16" s="130"/>
      <c r="AP16" s="130"/>
      <c r="AQ16" s="125"/>
      <c r="AR16" s="143" t="s">
        <v>209</v>
      </c>
      <c r="AS16" s="130"/>
      <c r="AT16" s="130"/>
      <c r="AU16" s="130"/>
      <c r="AV16" s="125"/>
      <c r="AW16" s="143" t="s">
        <v>180</v>
      </c>
      <c r="AX16" s="130"/>
      <c r="AY16" s="130"/>
      <c r="AZ16" s="130"/>
      <c r="BA16" s="125"/>
      <c r="BB16" s="143" t="s">
        <v>1400</v>
      </c>
      <c r="BC16" s="130"/>
      <c r="BD16" s="130"/>
      <c r="BE16" s="130"/>
      <c r="BF16" s="125"/>
      <c r="BG16" s="143" t="s">
        <v>1401</v>
      </c>
      <c r="BH16" s="130"/>
      <c r="BI16" s="130"/>
      <c r="BJ16" s="130"/>
      <c r="BK16" s="125"/>
      <c r="BL16" s="143" t="s">
        <v>1402</v>
      </c>
      <c r="BM16" s="130"/>
      <c r="BN16" s="130"/>
      <c r="BO16" s="130"/>
      <c r="BP16" s="125"/>
      <c r="BQ16" s="143" t="s">
        <v>202</v>
      </c>
      <c r="BR16" s="130"/>
      <c r="BS16" s="130"/>
      <c r="BT16" s="130"/>
      <c r="BU16" s="125"/>
      <c r="BV16" s="143" t="s">
        <v>1403</v>
      </c>
      <c r="BW16" s="130"/>
      <c r="BX16" s="130"/>
      <c r="BY16" s="130"/>
      <c r="BZ16" s="125"/>
      <c r="CA16" s="143" t="s">
        <v>84</v>
      </c>
      <c r="CB16" s="130"/>
      <c r="CC16" s="130"/>
      <c r="CD16" s="130"/>
      <c r="CE16" s="125"/>
      <c r="CF16" s="143" t="s">
        <v>648</v>
      </c>
      <c r="CG16" s="130"/>
      <c r="CH16" s="130"/>
      <c r="CI16" s="130"/>
      <c r="CJ16" s="125"/>
      <c r="CK16" s="143" t="s">
        <v>1404</v>
      </c>
      <c r="CL16" s="130"/>
      <c r="CM16" s="130"/>
      <c r="CN16" s="130"/>
      <c r="CO16" s="125"/>
      <c r="CP16" s="143" t="s">
        <v>1194</v>
      </c>
      <c r="CQ16" s="130"/>
      <c r="CR16" s="130"/>
      <c r="CS16" s="130"/>
      <c r="CT16" s="125"/>
      <c r="CU16" s="143" t="s">
        <v>1405</v>
      </c>
      <c r="CV16" s="130"/>
      <c r="CW16" s="130"/>
      <c r="CX16" s="130"/>
      <c r="CY16" s="8"/>
    </row>
    <row r="17" spans="1:103" ht="30" customHeight="1">
      <c r="A17" s="8"/>
      <c r="B17" s="130"/>
      <c r="C17" s="8"/>
      <c r="D17" s="126" t="s">
        <v>410</v>
      </c>
      <c r="E17" s="126" t="s">
        <v>42</v>
      </c>
      <c r="F17" s="126" t="s">
        <v>337</v>
      </c>
      <c r="G17" s="127">
        <f>LEFT(B16,1)+0.01</f>
        <v>5.01</v>
      </c>
      <c r="H17" s="125"/>
      <c r="I17" s="126" t="s">
        <v>391</v>
      </c>
      <c r="J17" s="126" t="s">
        <v>42</v>
      </c>
      <c r="K17" s="126" t="s">
        <v>339</v>
      </c>
      <c r="L17" s="127">
        <f>G17+0.01</f>
        <v>5.0199999999999996</v>
      </c>
      <c r="M17" s="125"/>
      <c r="N17" s="126" t="s">
        <v>402</v>
      </c>
      <c r="O17" s="126" t="s">
        <v>42</v>
      </c>
      <c r="P17" s="126" t="s">
        <v>337</v>
      </c>
      <c r="Q17" s="127">
        <f>L17+0.01</f>
        <v>5.0299999999999994</v>
      </c>
      <c r="R17" s="125"/>
      <c r="S17" s="126" t="s">
        <v>411</v>
      </c>
      <c r="T17" s="126" t="s">
        <v>42</v>
      </c>
      <c r="U17" s="126" t="s">
        <v>339</v>
      </c>
      <c r="V17" s="127">
        <f>Q17+0.01</f>
        <v>5.0399999999999991</v>
      </c>
      <c r="W17" s="125"/>
      <c r="X17" s="126" t="s">
        <v>413</v>
      </c>
      <c r="Y17" s="126" t="s">
        <v>42</v>
      </c>
      <c r="Z17" s="126" t="s">
        <v>338</v>
      </c>
      <c r="AA17" s="127">
        <f>V17+0.01</f>
        <v>5.0499999999999989</v>
      </c>
      <c r="AB17" s="125"/>
      <c r="AC17" s="126" t="s">
        <v>385</v>
      </c>
      <c r="AD17" s="126" t="s">
        <v>42</v>
      </c>
      <c r="AE17" s="126" t="s">
        <v>338</v>
      </c>
      <c r="AF17" s="127">
        <f>AA17+0.01</f>
        <v>5.0599999999999987</v>
      </c>
      <c r="AG17" s="125"/>
      <c r="AH17" s="126" t="s">
        <v>411</v>
      </c>
      <c r="AI17" s="126" t="s">
        <v>42</v>
      </c>
      <c r="AJ17" s="126" t="s">
        <v>339</v>
      </c>
      <c r="AK17" s="127">
        <f>AF17+0.01</f>
        <v>5.0699999999999985</v>
      </c>
      <c r="AL17" s="125"/>
      <c r="AM17" s="126" t="s">
        <v>409</v>
      </c>
      <c r="AN17" s="126" t="s">
        <v>42</v>
      </c>
      <c r="AO17" s="126" t="s">
        <v>338</v>
      </c>
      <c r="AP17" s="127">
        <f>AK17+0.01</f>
        <v>5.0799999999999983</v>
      </c>
      <c r="AQ17" s="125"/>
      <c r="AR17" s="126" t="s">
        <v>404</v>
      </c>
      <c r="AS17" s="126" t="s">
        <v>42</v>
      </c>
      <c r="AT17" s="126" t="s">
        <v>337</v>
      </c>
      <c r="AU17" s="127">
        <f>AP17+0.01</f>
        <v>5.0899999999999981</v>
      </c>
      <c r="AV17" s="125"/>
      <c r="AW17" s="126" t="s">
        <v>413</v>
      </c>
      <c r="AX17" s="126" t="s">
        <v>42</v>
      </c>
      <c r="AY17" s="126" t="s">
        <v>339</v>
      </c>
      <c r="AZ17" s="127">
        <f>AU17+0.01</f>
        <v>5.0999999999999979</v>
      </c>
      <c r="BA17" s="125"/>
      <c r="BB17" s="126" t="s">
        <v>396</v>
      </c>
      <c r="BC17" s="126" t="s">
        <v>42</v>
      </c>
      <c r="BD17" s="126" t="s">
        <v>340</v>
      </c>
      <c r="BE17" s="127">
        <f>AZ17+0.01</f>
        <v>5.1099999999999977</v>
      </c>
      <c r="BF17" s="125"/>
      <c r="BG17" s="126" t="s">
        <v>410</v>
      </c>
      <c r="BH17" s="126" t="s">
        <v>42</v>
      </c>
      <c r="BI17" s="126" t="s">
        <v>339</v>
      </c>
      <c r="BJ17" s="127">
        <f>BE17+0.01</f>
        <v>5.1199999999999974</v>
      </c>
      <c r="BK17" s="125"/>
      <c r="BL17" s="126" t="s">
        <v>407</v>
      </c>
      <c r="BM17" s="126" t="s">
        <v>42</v>
      </c>
      <c r="BN17" s="126" t="s">
        <v>339</v>
      </c>
      <c r="BO17" s="127">
        <f>BJ17+0.01</f>
        <v>5.1299999999999972</v>
      </c>
      <c r="BP17" s="125"/>
      <c r="BQ17" s="126" t="s">
        <v>404</v>
      </c>
      <c r="BR17" s="126" t="s">
        <v>42</v>
      </c>
      <c r="BS17" s="126" t="s">
        <v>340</v>
      </c>
      <c r="BT17" s="127">
        <f>BO17+0.01</f>
        <v>5.139999999999997</v>
      </c>
      <c r="BU17" s="125"/>
      <c r="BV17" s="126" t="s">
        <v>411</v>
      </c>
      <c r="BW17" s="126" t="s">
        <v>42</v>
      </c>
      <c r="BX17" s="126" t="s">
        <v>339</v>
      </c>
      <c r="BY17" s="127">
        <f>BT17+0.01</f>
        <v>5.1499999999999968</v>
      </c>
      <c r="BZ17" s="125"/>
      <c r="CA17" s="126" t="s">
        <v>391</v>
      </c>
      <c r="CB17" s="126" t="s">
        <v>42</v>
      </c>
      <c r="CC17" s="126" t="s">
        <v>337</v>
      </c>
      <c r="CD17" s="127">
        <f>BY17+0.01</f>
        <v>5.1599999999999966</v>
      </c>
      <c r="CE17" s="125"/>
      <c r="CF17" s="126" t="s">
        <v>387</v>
      </c>
      <c r="CG17" s="126" t="s">
        <v>42</v>
      </c>
      <c r="CH17" s="126" t="s">
        <v>338</v>
      </c>
      <c r="CI17" s="127">
        <f>CD17+0.01</f>
        <v>5.1699999999999964</v>
      </c>
      <c r="CJ17" s="125"/>
      <c r="CK17" s="126" t="s">
        <v>386</v>
      </c>
      <c r="CL17" s="126" t="s">
        <v>42</v>
      </c>
      <c r="CM17" s="126" t="s">
        <v>337</v>
      </c>
      <c r="CN17" s="127">
        <f>CI17+0.01</f>
        <v>5.1799999999999962</v>
      </c>
      <c r="CO17" s="125"/>
      <c r="CP17" s="126" t="s">
        <v>402</v>
      </c>
      <c r="CQ17" s="126" t="s">
        <v>42</v>
      </c>
      <c r="CR17" s="126" t="s">
        <v>341</v>
      </c>
      <c r="CS17" s="127">
        <f>CN17+0.01</f>
        <v>5.1899999999999959</v>
      </c>
      <c r="CT17" s="125"/>
      <c r="CU17" s="126" t="s">
        <v>403</v>
      </c>
      <c r="CV17" s="126" t="s">
        <v>42</v>
      </c>
      <c r="CW17" s="126" t="s">
        <v>338</v>
      </c>
      <c r="CX17" s="127">
        <f>CS17+0.01</f>
        <v>5.1999999999999957</v>
      </c>
      <c r="CY17" s="8"/>
    </row>
    <row r="18" spans="1:103" ht="7.5" customHeight="1">
      <c r="A18" s="8"/>
      <c r="B18" s="11"/>
      <c r="C18" s="8"/>
      <c r="D18" s="126"/>
      <c r="E18" s="126"/>
      <c r="F18" s="126"/>
      <c r="G18" s="127"/>
      <c r="H18" s="125"/>
      <c r="I18" s="126"/>
      <c r="J18" s="126"/>
      <c r="K18" s="126"/>
      <c r="L18" s="127"/>
      <c r="M18" s="125"/>
      <c r="N18" s="126"/>
      <c r="O18" s="126"/>
      <c r="P18" s="126"/>
      <c r="Q18" s="127"/>
      <c r="R18" s="125"/>
      <c r="S18" s="126"/>
      <c r="T18" s="126"/>
      <c r="U18" s="126"/>
      <c r="V18" s="127"/>
      <c r="W18" s="125"/>
      <c r="X18" s="126"/>
      <c r="Y18" s="126"/>
      <c r="Z18" s="126"/>
      <c r="AA18" s="127"/>
      <c r="AB18" s="125"/>
      <c r="AC18" s="126"/>
      <c r="AD18" s="126"/>
      <c r="AE18" s="126"/>
      <c r="AF18" s="127"/>
      <c r="AG18" s="125"/>
      <c r="AH18" s="126"/>
      <c r="AI18" s="126"/>
      <c r="AJ18" s="126"/>
      <c r="AK18" s="127"/>
      <c r="AL18" s="125"/>
      <c r="AM18" s="126"/>
      <c r="AN18" s="126"/>
      <c r="AO18" s="126"/>
      <c r="AP18" s="127"/>
      <c r="AQ18" s="125"/>
      <c r="AR18" s="126"/>
      <c r="AS18" s="126"/>
      <c r="AT18" s="126"/>
      <c r="AU18" s="127"/>
      <c r="AV18" s="125"/>
      <c r="AW18" s="126"/>
      <c r="AX18" s="126"/>
      <c r="AY18" s="126"/>
      <c r="AZ18" s="127"/>
      <c r="BA18" s="125"/>
      <c r="BB18" s="126"/>
      <c r="BC18" s="126"/>
      <c r="BD18" s="126"/>
      <c r="BE18" s="127"/>
      <c r="BF18" s="125"/>
      <c r="BG18" s="126"/>
      <c r="BH18" s="126"/>
      <c r="BI18" s="126"/>
      <c r="BJ18" s="127"/>
      <c r="BK18" s="125"/>
      <c r="BL18" s="126"/>
      <c r="BM18" s="126"/>
      <c r="BN18" s="126"/>
      <c r="BO18" s="127"/>
      <c r="BP18" s="125"/>
      <c r="BQ18" s="126"/>
      <c r="BR18" s="126"/>
      <c r="BS18" s="126"/>
      <c r="BT18" s="127"/>
      <c r="BU18" s="125"/>
      <c r="BV18" s="126"/>
      <c r="BW18" s="126"/>
      <c r="BX18" s="126"/>
      <c r="BY18" s="127"/>
      <c r="BZ18" s="125"/>
      <c r="CA18" s="126"/>
      <c r="CB18" s="126"/>
      <c r="CC18" s="126"/>
      <c r="CD18" s="127"/>
      <c r="CE18" s="125"/>
      <c r="CF18" s="126"/>
      <c r="CG18" s="126"/>
      <c r="CH18" s="126"/>
      <c r="CI18" s="127"/>
      <c r="CJ18" s="125"/>
      <c r="CK18" s="126"/>
      <c r="CL18" s="126"/>
      <c r="CM18" s="126"/>
      <c r="CN18" s="127"/>
      <c r="CO18" s="125"/>
      <c r="CP18" s="126"/>
      <c r="CQ18" s="126"/>
      <c r="CR18" s="126"/>
      <c r="CS18" s="127"/>
      <c r="CT18" s="125"/>
      <c r="CU18" s="126"/>
      <c r="CV18" s="126"/>
      <c r="CW18" s="126"/>
      <c r="CX18" s="127"/>
      <c r="CY18" s="8"/>
    </row>
    <row r="19" spans="1:103" ht="30" customHeight="1">
      <c r="A19" s="8"/>
      <c r="B19" s="129" t="s">
        <v>127</v>
      </c>
      <c r="C19" s="8"/>
      <c r="D19" s="143" t="s">
        <v>1406</v>
      </c>
      <c r="E19" s="130"/>
      <c r="F19" s="130"/>
      <c r="G19" s="130"/>
      <c r="H19" s="125"/>
      <c r="I19" s="143" t="s">
        <v>1407</v>
      </c>
      <c r="J19" s="130"/>
      <c r="K19" s="130"/>
      <c r="L19" s="130"/>
      <c r="M19" s="125"/>
      <c r="N19" s="143" t="s">
        <v>1408</v>
      </c>
      <c r="O19" s="130"/>
      <c r="P19" s="130"/>
      <c r="Q19" s="130"/>
      <c r="R19" s="125"/>
      <c r="S19" s="143" t="s">
        <v>1409</v>
      </c>
      <c r="T19" s="130"/>
      <c r="U19" s="130"/>
      <c r="V19" s="130"/>
      <c r="W19" s="125"/>
      <c r="X19" s="143" t="s">
        <v>260</v>
      </c>
      <c r="Y19" s="130"/>
      <c r="Z19" s="130"/>
      <c r="AA19" s="130"/>
      <c r="AB19" s="125"/>
      <c r="AC19" s="143" t="s">
        <v>1144</v>
      </c>
      <c r="AD19" s="130"/>
      <c r="AE19" s="130"/>
      <c r="AF19" s="130"/>
      <c r="AG19" s="125"/>
      <c r="AH19" s="143" t="s">
        <v>133</v>
      </c>
      <c r="AI19" s="130"/>
      <c r="AJ19" s="130"/>
      <c r="AK19" s="130"/>
      <c r="AL19" s="125"/>
      <c r="AM19" s="143" t="s">
        <v>1360</v>
      </c>
      <c r="AN19" s="130"/>
      <c r="AO19" s="130"/>
      <c r="AP19" s="130"/>
      <c r="AQ19" s="125"/>
      <c r="AR19" s="143" t="s">
        <v>1410</v>
      </c>
      <c r="AS19" s="130"/>
      <c r="AT19" s="130"/>
      <c r="AU19" s="130"/>
      <c r="AV19" s="125"/>
      <c r="AW19" s="143" t="s">
        <v>147</v>
      </c>
      <c r="AX19" s="130"/>
      <c r="AY19" s="130"/>
      <c r="AZ19" s="130"/>
      <c r="BA19" s="125"/>
      <c r="BB19" s="143" t="s">
        <v>592</v>
      </c>
      <c r="BC19" s="130"/>
      <c r="BD19" s="130"/>
      <c r="BE19" s="130"/>
      <c r="BF19" s="125"/>
      <c r="BG19" s="143" t="s">
        <v>1411</v>
      </c>
      <c r="BH19" s="130"/>
      <c r="BI19" s="130"/>
      <c r="BJ19" s="130"/>
      <c r="BK19" s="125"/>
      <c r="BL19" s="143" t="s">
        <v>206</v>
      </c>
      <c r="BM19" s="130"/>
      <c r="BN19" s="130"/>
      <c r="BO19" s="130"/>
      <c r="BP19" s="125"/>
      <c r="BQ19" s="143" t="s">
        <v>82</v>
      </c>
      <c r="BR19" s="130"/>
      <c r="BS19" s="130"/>
      <c r="BT19" s="130"/>
      <c r="BU19" s="125"/>
      <c r="BV19" s="143" t="s">
        <v>1412</v>
      </c>
      <c r="BW19" s="130"/>
      <c r="BX19" s="130"/>
      <c r="BY19" s="130"/>
      <c r="BZ19" s="125"/>
      <c r="CA19" s="143" t="s">
        <v>1413</v>
      </c>
      <c r="CB19" s="130"/>
      <c r="CC19" s="130"/>
      <c r="CD19" s="130"/>
      <c r="CE19" s="125"/>
      <c r="CF19" s="143" t="s">
        <v>1414</v>
      </c>
      <c r="CG19" s="130"/>
      <c r="CH19" s="130"/>
      <c r="CI19" s="130"/>
      <c r="CJ19" s="125"/>
      <c r="CK19" s="143" t="s">
        <v>1415</v>
      </c>
      <c r="CL19" s="130"/>
      <c r="CM19" s="130"/>
      <c r="CN19" s="130"/>
      <c r="CO19" s="125"/>
      <c r="CP19" s="143" t="s">
        <v>1153</v>
      </c>
      <c r="CQ19" s="130"/>
      <c r="CR19" s="130"/>
      <c r="CS19" s="130"/>
      <c r="CT19" s="125"/>
      <c r="CU19" s="143" t="s">
        <v>184</v>
      </c>
      <c r="CV19" s="130"/>
      <c r="CW19" s="130"/>
      <c r="CX19" s="130"/>
      <c r="CY19" s="8"/>
    </row>
    <row r="20" spans="1:103" ht="30" customHeight="1">
      <c r="A20" s="8"/>
      <c r="B20" s="130"/>
      <c r="C20" s="8"/>
      <c r="D20" s="126" t="s">
        <v>414</v>
      </c>
      <c r="E20" s="126" t="s">
        <v>42</v>
      </c>
      <c r="F20" s="126" t="s">
        <v>340</v>
      </c>
      <c r="G20" s="127">
        <f>LEFT(B19,1)+0.2</f>
        <v>6.2</v>
      </c>
      <c r="H20" s="125"/>
      <c r="I20" s="126" t="s">
        <v>390</v>
      </c>
      <c r="J20" s="126" t="s">
        <v>42</v>
      </c>
      <c r="K20" s="126" t="s">
        <v>338</v>
      </c>
      <c r="L20" s="127">
        <f>G20-0.01</f>
        <v>6.19</v>
      </c>
      <c r="M20" s="125"/>
      <c r="N20" s="126" t="s">
        <v>400</v>
      </c>
      <c r="O20" s="126" t="s">
        <v>42</v>
      </c>
      <c r="P20" s="126" t="s">
        <v>339</v>
      </c>
      <c r="Q20" s="127">
        <f>L20-0.01</f>
        <v>6.1800000000000006</v>
      </c>
      <c r="R20" s="125"/>
      <c r="S20" s="126" t="s">
        <v>411</v>
      </c>
      <c r="T20" s="126" t="s">
        <v>42</v>
      </c>
      <c r="U20" s="126" t="s">
        <v>338</v>
      </c>
      <c r="V20" s="127">
        <f>Q20-0.01</f>
        <v>6.1700000000000008</v>
      </c>
      <c r="W20" s="125"/>
      <c r="X20" s="126" t="s">
        <v>397</v>
      </c>
      <c r="Y20" s="126" t="s">
        <v>42</v>
      </c>
      <c r="Z20" s="126" t="s">
        <v>339</v>
      </c>
      <c r="AA20" s="127">
        <f>V20-0.01</f>
        <v>6.160000000000001</v>
      </c>
      <c r="AB20" s="125"/>
      <c r="AC20" s="126" t="s">
        <v>387</v>
      </c>
      <c r="AD20" s="126" t="s">
        <v>42</v>
      </c>
      <c r="AE20" s="126" t="s">
        <v>341</v>
      </c>
      <c r="AF20" s="127">
        <f>AA20-0.01</f>
        <v>6.1500000000000012</v>
      </c>
      <c r="AG20" s="125"/>
      <c r="AH20" s="126" t="s">
        <v>406</v>
      </c>
      <c r="AI20" s="126" t="s">
        <v>42</v>
      </c>
      <c r="AJ20" s="126" t="s">
        <v>340</v>
      </c>
      <c r="AK20" s="127">
        <f>AF20-0.01</f>
        <v>6.1400000000000015</v>
      </c>
      <c r="AL20" s="125"/>
      <c r="AM20" s="126" t="s">
        <v>391</v>
      </c>
      <c r="AN20" s="126" t="s">
        <v>42</v>
      </c>
      <c r="AO20" s="126" t="s">
        <v>339</v>
      </c>
      <c r="AP20" s="127">
        <f>AK20-0.01</f>
        <v>6.1300000000000017</v>
      </c>
      <c r="AQ20" s="125"/>
      <c r="AR20" s="126" t="s">
        <v>412</v>
      </c>
      <c r="AS20" s="126" t="s">
        <v>42</v>
      </c>
      <c r="AT20" s="126" t="s">
        <v>340</v>
      </c>
      <c r="AU20" s="127">
        <f>AP20-0.01</f>
        <v>6.1200000000000019</v>
      </c>
      <c r="AV20" s="125"/>
      <c r="AW20" s="126" t="s">
        <v>408</v>
      </c>
      <c r="AX20" s="126" t="s">
        <v>42</v>
      </c>
      <c r="AY20" s="126" t="s">
        <v>340</v>
      </c>
      <c r="AZ20" s="127">
        <f>AU20-0.01</f>
        <v>6.1100000000000021</v>
      </c>
      <c r="BA20" s="125"/>
      <c r="BB20" s="126" t="s">
        <v>399</v>
      </c>
      <c r="BC20" s="126" t="s">
        <v>42</v>
      </c>
      <c r="BD20" s="126" t="s">
        <v>339</v>
      </c>
      <c r="BE20" s="127">
        <f>AZ20-0.01</f>
        <v>6.1000000000000023</v>
      </c>
      <c r="BF20" s="125"/>
      <c r="BG20" s="126" t="s">
        <v>389</v>
      </c>
      <c r="BH20" s="126" t="s">
        <v>42</v>
      </c>
      <c r="BI20" s="126" t="s">
        <v>339</v>
      </c>
      <c r="BJ20" s="127">
        <f>BE20-0.01</f>
        <v>6.0900000000000025</v>
      </c>
      <c r="BK20" s="125"/>
      <c r="BL20" s="126" t="s">
        <v>406</v>
      </c>
      <c r="BM20" s="126" t="s">
        <v>42</v>
      </c>
      <c r="BN20" s="126" t="s">
        <v>340</v>
      </c>
      <c r="BO20" s="127">
        <f>BJ20-0.01</f>
        <v>6.0800000000000027</v>
      </c>
      <c r="BP20" s="125"/>
      <c r="BQ20" s="126" t="s">
        <v>394</v>
      </c>
      <c r="BR20" s="126" t="s">
        <v>42</v>
      </c>
      <c r="BS20" s="126" t="s">
        <v>339</v>
      </c>
      <c r="BT20" s="127">
        <f>BO20-0.01</f>
        <v>6.0700000000000029</v>
      </c>
      <c r="BU20" s="125"/>
      <c r="BV20" s="126" t="s">
        <v>416</v>
      </c>
      <c r="BW20" s="126" t="s">
        <v>42</v>
      </c>
      <c r="BX20" s="126" t="s">
        <v>338</v>
      </c>
      <c r="BY20" s="127">
        <f>BT20-0.01</f>
        <v>6.0600000000000032</v>
      </c>
      <c r="BZ20" s="125"/>
      <c r="CA20" s="126" t="s">
        <v>405</v>
      </c>
      <c r="CB20" s="126" t="s">
        <v>42</v>
      </c>
      <c r="CC20" s="126" t="s">
        <v>340</v>
      </c>
      <c r="CD20" s="127">
        <f>BY20-0.01</f>
        <v>6.0500000000000034</v>
      </c>
      <c r="CE20" s="125"/>
      <c r="CF20" s="126" t="s">
        <v>404</v>
      </c>
      <c r="CG20" s="126" t="s">
        <v>42</v>
      </c>
      <c r="CH20" s="126" t="s">
        <v>339</v>
      </c>
      <c r="CI20" s="127">
        <f>CD20-0.01</f>
        <v>6.0400000000000036</v>
      </c>
      <c r="CJ20" s="125"/>
      <c r="CK20" s="126" t="s">
        <v>414</v>
      </c>
      <c r="CL20" s="126" t="s">
        <v>42</v>
      </c>
      <c r="CM20" s="126" t="s">
        <v>339</v>
      </c>
      <c r="CN20" s="127">
        <f>CI20-0.01</f>
        <v>6.0300000000000038</v>
      </c>
      <c r="CO20" s="125"/>
      <c r="CP20" s="126" t="s">
        <v>411</v>
      </c>
      <c r="CQ20" s="126" t="s">
        <v>42</v>
      </c>
      <c r="CR20" s="126" t="s">
        <v>341</v>
      </c>
      <c r="CS20" s="127">
        <f>CN20-0.01</f>
        <v>6.020000000000004</v>
      </c>
      <c r="CT20" s="125"/>
      <c r="CU20" s="126" t="s">
        <v>399</v>
      </c>
      <c r="CV20" s="126" t="s">
        <v>42</v>
      </c>
      <c r="CW20" s="126" t="s">
        <v>337</v>
      </c>
      <c r="CX20" s="127">
        <f>CS20-0.01</f>
        <v>6.0100000000000042</v>
      </c>
      <c r="CY20" s="8"/>
    </row>
    <row r="21" spans="1:103" ht="7.5" customHeight="1">
      <c r="A21" s="8"/>
      <c r="B21" s="11"/>
      <c r="C21" s="8"/>
      <c r="D21" s="125"/>
      <c r="E21" s="126"/>
      <c r="F21" s="125"/>
      <c r="G21" s="127"/>
      <c r="H21" s="125"/>
      <c r="I21" s="125"/>
      <c r="J21" s="126"/>
      <c r="K21" s="125"/>
      <c r="L21" s="127"/>
      <c r="M21" s="125"/>
      <c r="N21" s="125"/>
      <c r="O21" s="126"/>
      <c r="P21" s="125"/>
      <c r="Q21" s="127"/>
      <c r="R21" s="125"/>
      <c r="S21" s="125"/>
      <c r="T21" s="126"/>
      <c r="U21" s="125"/>
      <c r="V21" s="127"/>
      <c r="W21" s="125"/>
      <c r="X21" s="125"/>
      <c r="Y21" s="126"/>
      <c r="Z21" s="125"/>
      <c r="AA21" s="127"/>
      <c r="AB21" s="125"/>
      <c r="AC21" s="125"/>
      <c r="AD21" s="126"/>
      <c r="AE21" s="125"/>
      <c r="AF21" s="127"/>
      <c r="AG21" s="125"/>
      <c r="AH21" s="125"/>
      <c r="AI21" s="126"/>
      <c r="AJ21" s="125"/>
      <c r="AK21" s="127"/>
      <c r="AL21" s="125"/>
      <c r="AM21" s="125"/>
      <c r="AN21" s="126"/>
      <c r="AO21" s="125"/>
      <c r="AP21" s="127"/>
      <c r="AQ21" s="125"/>
      <c r="AR21" s="125"/>
      <c r="AS21" s="126"/>
      <c r="AT21" s="125"/>
      <c r="AU21" s="127"/>
      <c r="AV21" s="125"/>
      <c r="AW21" s="125"/>
      <c r="AX21" s="126"/>
      <c r="AY21" s="125"/>
      <c r="AZ21" s="127"/>
      <c r="BA21" s="125"/>
      <c r="BB21" s="125"/>
      <c r="BC21" s="126"/>
      <c r="BD21" s="125"/>
      <c r="BE21" s="127"/>
      <c r="BF21" s="125"/>
      <c r="BG21" s="125"/>
      <c r="BH21" s="126"/>
      <c r="BI21" s="125"/>
      <c r="BJ21" s="127"/>
      <c r="BK21" s="125"/>
      <c r="BL21" s="125"/>
      <c r="BM21" s="126"/>
      <c r="BN21" s="125"/>
      <c r="BO21" s="127"/>
      <c r="BP21" s="125"/>
      <c r="BQ21" s="125"/>
      <c r="BR21" s="126"/>
      <c r="BS21" s="125"/>
      <c r="BT21" s="127"/>
      <c r="BU21" s="125"/>
      <c r="BV21" s="125"/>
      <c r="BW21" s="126"/>
      <c r="BX21" s="125"/>
      <c r="BY21" s="127"/>
      <c r="BZ21" s="125"/>
      <c r="CA21" s="125"/>
      <c r="CB21" s="126"/>
      <c r="CC21" s="125"/>
      <c r="CD21" s="127"/>
      <c r="CE21" s="125"/>
      <c r="CF21" s="125"/>
      <c r="CG21" s="126"/>
      <c r="CH21" s="125"/>
      <c r="CI21" s="127"/>
      <c r="CJ21" s="125"/>
      <c r="CK21" s="125"/>
      <c r="CL21" s="126"/>
      <c r="CM21" s="125"/>
      <c r="CN21" s="127"/>
      <c r="CO21" s="125"/>
      <c r="CP21" s="125"/>
      <c r="CQ21" s="126"/>
      <c r="CR21" s="125"/>
      <c r="CS21" s="127"/>
      <c r="CT21" s="125"/>
      <c r="CU21" s="125"/>
      <c r="CV21" s="126"/>
      <c r="CW21" s="125"/>
      <c r="CX21" s="127"/>
      <c r="CY21" s="8"/>
    </row>
    <row r="22" spans="1:103" ht="30" customHeight="1">
      <c r="A22" s="8"/>
      <c r="B22" s="129" t="s">
        <v>148</v>
      </c>
      <c r="C22" s="8"/>
      <c r="D22" s="143" t="s">
        <v>1416</v>
      </c>
      <c r="E22" s="130"/>
      <c r="F22" s="130"/>
      <c r="G22" s="130"/>
      <c r="H22" s="125"/>
      <c r="I22" s="143" t="s">
        <v>1417</v>
      </c>
      <c r="J22" s="130"/>
      <c r="K22" s="130"/>
      <c r="L22" s="130"/>
      <c r="M22" s="125"/>
      <c r="N22" s="143" t="s">
        <v>1418</v>
      </c>
      <c r="O22" s="130"/>
      <c r="P22" s="130"/>
      <c r="Q22" s="130"/>
      <c r="R22" s="125"/>
      <c r="S22" s="143" t="s">
        <v>1220</v>
      </c>
      <c r="T22" s="130"/>
      <c r="U22" s="130"/>
      <c r="V22" s="130"/>
      <c r="W22" s="125"/>
      <c r="X22" s="143" t="s">
        <v>1162</v>
      </c>
      <c r="Y22" s="130"/>
      <c r="Z22" s="130"/>
      <c r="AA22" s="130"/>
      <c r="AB22" s="125"/>
      <c r="AC22" s="143" t="s">
        <v>1419</v>
      </c>
      <c r="AD22" s="130"/>
      <c r="AE22" s="130"/>
      <c r="AF22" s="130"/>
      <c r="AG22" s="125"/>
      <c r="AH22" s="143" t="s">
        <v>1420</v>
      </c>
      <c r="AI22" s="130"/>
      <c r="AJ22" s="130"/>
      <c r="AK22" s="130"/>
      <c r="AL22" s="125"/>
      <c r="AM22" s="143" t="s">
        <v>1150</v>
      </c>
      <c r="AN22" s="130"/>
      <c r="AO22" s="130"/>
      <c r="AP22" s="130"/>
      <c r="AQ22" s="125"/>
      <c r="AR22" s="143" t="s">
        <v>1355</v>
      </c>
      <c r="AS22" s="130"/>
      <c r="AT22" s="130"/>
      <c r="AU22" s="130"/>
      <c r="AV22" s="125"/>
      <c r="AW22" s="143" t="s">
        <v>1357</v>
      </c>
      <c r="AX22" s="130"/>
      <c r="AY22" s="130"/>
      <c r="AZ22" s="130"/>
      <c r="BA22" s="125"/>
      <c r="BB22" s="143" t="s">
        <v>1421</v>
      </c>
      <c r="BC22" s="130"/>
      <c r="BD22" s="130"/>
      <c r="BE22" s="130"/>
      <c r="BF22" s="125"/>
      <c r="BG22" s="143" t="s">
        <v>1422</v>
      </c>
      <c r="BH22" s="130"/>
      <c r="BI22" s="130"/>
      <c r="BJ22" s="130"/>
      <c r="BK22" s="125"/>
      <c r="BL22" s="143" t="s">
        <v>801</v>
      </c>
      <c r="BM22" s="130"/>
      <c r="BN22" s="130"/>
      <c r="BO22" s="130"/>
      <c r="BP22" s="125"/>
      <c r="BQ22" s="143" t="s">
        <v>1423</v>
      </c>
      <c r="BR22" s="130"/>
      <c r="BS22" s="130"/>
      <c r="BT22" s="130"/>
      <c r="BU22" s="125"/>
      <c r="BV22" s="143" t="s">
        <v>275</v>
      </c>
      <c r="BW22" s="130"/>
      <c r="BX22" s="130"/>
      <c r="BY22" s="130"/>
      <c r="BZ22" s="125"/>
      <c r="CA22" s="143" t="s">
        <v>1424</v>
      </c>
      <c r="CB22" s="130"/>
      <c r="CC22" s="130"/>
      <c r="CD22" s="130"/>
      <c r="CE22" s="125"/>
      <c r="CF22" s="143" t="s">
        <v>1425</v>
      </c>
      <c r="CG22" s="130"/>
      <c r="CH22" s="130"/>
      <c r="CI22" s="130"/>
      <c r="CJ22" s="125"/>
      <c r="CK22" s="143" t="s">
        <v>1361</v>
      </c>
      <c r="CL22" s="130"/>
      <c r="CM22" s="130"/>
      <c r="CN22" s="130"/>
      <c r="CO22" s="125"/>
      <c r="CP22" s="143" t="s">
        <v>1426</v>
      </c>
      <c r="CQ22" s="130"/>
      <c r="CR22" s="130"/>
      <c r="CS22" s="130"/>
      <c r="CT22" s="125"/>
      <c r="CU22" s="143" t="s">
        <v>281</v>
      </c>
      <c r="CV22" s="130"/>
      <c r="CW22" s="130"/>
      <c r="CX22" s="130"/>
      <c r="CY22" s="8"/>
    </row>
    <row r="23" spans="1:103" ht="30" customHeight="1">
      <c r="A23" s="8"/>
      <c r="B23" s="130"/>
      <c r="C23" s="8"/>
      <c r="D23" s="126" t="s">
        <v>413</v>
      </c>
      <c r="E23" s="126" t="s">
        <v>42</v>
      </c>
      <c r="F23" s="126" t="s">
        <v>339</v>
      </c>
      <c r="G23" s="127">
        <f>LEFT(B22,1)+0.01</f>
        <v>7.01</v>
      </c>
      <c r="H23" s="125"/>
      <c r="I23" s="126" t="s">
        <v>392</v>
      </c>
      <c r="J23" s="126" t="s">
        <v>42</v>
      </c>
      <c r="K23" s="126" t="s">
        <v>339</v>
      </c>
      <c r="L23" s="127">
        <f>G23+0.01</f>
        <v>7.02</v>
      </c>
      <c r="M23" s="125"/>
      <c r="N23" s="126" t="s">
        <v>398</v>
      </c>
      <c r="O23" s="126" t="s">
        <v>42</v>
      </c>
      <c r="P23" s="126" t="s">
        <v>338</v>
      </c>
      <c r="Q23" s="127">
        <f>L23+0.01</f>
        <v>7.0299999999999994</v>
      </c>
      <c r="R23" s="125"/>
      <c r="S23" s="126" t="s">
        <v>398</v>
      </c>
      <c r="T23" s="126" t="s">
        <v>42</v>
      </c>
      <c r="U23" s="126" t="s">
        <v>341</v>
      </c>
      <c r="V23" s="127">
        <f>Q23+0.01</f>
        <v>7.0399999999999991</v>
      </c>
      <c r="W23" s="125"/>
      <c r="X23" s="126" t="s">
        <v>414</v>
      </c>
      <c r="Y23" s="126" t="s">
        <v>42</v>
      </c>
      <c r="Z23" s="126" t="s">
        <v>341</v>
      </c>
      <c r="AA23" s="127">
        <f>V23+0.01</f>
        <v>7.0499999999999989</v>
      </c>
      <c r="AB23" s="125"/>
      <c r="AC23" s="126" t="s">
        <v>409</v>
      </c>
      <c r="AD23" s="126" t="s">
        <v>42</v>
      </c>
      <c r="AE23" s="126" t="s">
        <v>339</v>
      </c>
      <c r="AF23" s="127">
        <f>AA23+0.01</f>
        <v>7.0599999999999987</v>
      </c>
      <c r="AG23" s="125"/>
      <c r="AH23" s="126" t="s">
        <v>416</v>
      </c>
      <c r="AI23" s="126" t="s">
        <v>42</v>
      </c>
      <c r="AJ23" s="126" t="s">
        <v>341</v>
      </c>
      <c r="AK23" s="127">
        <f>AF23+0.01</f>
        <v>7.0699999999999985</v>
      </c>
      <c r="AL23" s="125"/>
      <c r="AM23" s="126" t="s">
        <v>413</v>
      </c>
      <c r="AN23" s="126" t="s">
        <v>42</v>
      </c>
      <c r="AO23" s="126" t="s">
        <v>341</v>
      </c>
      <c r="AP23" s="127">
        <f>AK23+0.01</f>
        <v>7.0799999999999983</v>
      </c>
      <c r="AQ23" s="125"/>
      <c r="AR23" s="126" t="s">
        <v>405</v>
      </c>
      <c r="AS23" s="126" t="s">
        <v>42</v>
      </c>
      <c r="AT23" s="126" t="s">
        <v>338</v>
      </c>
      <c r="AU23" s="127">
        <f>AP23+0.01</f>
        <v>7.0899999999999981</v>
      </c>
      <c r="AV23" s="125"/>
      <c r="AW23" s="126" t="s">
        <v>395</v>
      </c>
      <c r="AX23" s="126" t="s">
        <v>42</v>
      </c>
      <c r="AY23" s="126" t="s">
        <v>338</v>
      </c>
      <c r="AZ23" s="127">
        <f>AU23+0.01</f>
        <v>7.0999999999999979</v>
      </c>
      <c r="BA23" s="125"/>
      <c r="BB23" s="126" t="s">
        <v>409</v>
      </c>
      <c r="BC23" s="126" t="s">
        <v>42</v>
      </c>
      <c r="BD23" s="126" t="s">
        <v>338</v>
      </c>
      <c r="BE23" s="127">
        <f>AZ23+0.01</f>
        <v>7.1099999999999977</v>
      </c>
      <c r="BF23" s="125"/>
      <c r="BG23" s="126" t="s">
        <v>399</v>
      </c>
      <c r="BH23" s="126" t="s">
        <v>42</v>
      </c>
      <c r="BI23" s="126" t="s">
        <v>339</v>
      </c>
      <c r="BJ23" s="127">
        <f>BE23+0.01</f>
        <v>7.1199999999999974</v>
      </c>
      <c r="BK23" s="125"/>
      <c r="BL23" s="126" t="s">
        <v>387</v>
      </c>
      <c r="BM23" s="126" t="s">
        <v>42</v>
      </c>
      <c r="BN23" s="126" t="s">
        <v>342</v>
      </c>
      <c r="BO23" s="127">
        <f>BJ23+0.01</f>
        <v>7.1299999999999972</v>
      </c>
      <c r="BP23" s="125"/>
      <c r="BQ23" s="126" t="s">
        <v>407</v>
      </c>
      <c r="BR23" s="126" t="s">
        <v>42</v>
      </c>
      <c r="BS23" s="126" t="s">
        <v>339</v>
      </c>
      <c r="BT23" s="127">
        <f>BO23+0.01</f>
        <v>7.139999999999997</v>
      </c>
      <c r="BU23" s="125"/>
      <c r="BV23" s="126" t="s">
        <v>405</v>
      </c>
      <c r="BW23" s="126" t="s">
        <v>42</v>
      </c>
      <c r="BX23" s="126" t="s">
        <v>337</v>
      </c>
      <c r="BY23" s="127">
        <f>BT23+0.01</f>
        <v>7.1499999999999968</v>
      </c>
      <c r="BZ23" s="125"/>
      <c r="CA23" s="126" t="s">
        <v>406</v>
      </c>
      <c r="CB23" s="126" t="s">
        <v>42</v>
      </c>
      <c r="CC23" s="126" t="s">
        <v>338</v>
      </c>
      <c r="CD23" s="127">
        <f>BY23+0.01</f>
        <v>7.1599999999999966</v>
      </c>
      <c r="CE23" s="125"/>
      <c r="CF23" s="126" t="s">
        <v>396</v>
      </c>
      <c r="CG23" s="126" t="s">
        <v>42</v>
      </c>
      <c r="CH23" s="126" t="s">
        <v>338</v>
      </c>
      <c r="CI23" s="127">
        <f>CD23+0.01</f>
        <v>7.1699999999999964</v>
      </c>
      <c r="CJ23" s="125"/>
      <c r="CK23" s="126" t="s">
        <v>393</v>
      </c>
      <c r="CL23" s="126" t="s">
        <v>42</v>
      </c>
      <c r="CM23" s="126" t="s">
        <v>342</v>
      </c>
      <c r="CN23" s="127">
        <f>CI23+0.01</f>
        <v>7.1799999999999962</v>
      </c>
      <c r="CO23" s="125"/>
      <c r="CP23" s="126" t="s">
        <v>393</v>
      </c>
      <c r="CQ23" s="126" t="s">
        <v>42</v>
      </c>
      <c r="CR23" s="126" t="s">
        <v>340</v>
      </c>
      <c r="CS23" s="127">
        <f>CN23+0.01</f>
        <v>7.1899999999999959</v>
      </c>
      <c r="CT23" s="125"/>
      <c r="CU23" s="126" t="s">
        <v>390</v>
      </c>
      <c r="CV23" s="126" t="s">
        <v>42</v>
      </c>
      <c r="CW23" s="126" t="s">
        <v>340</v>
      </c>
      <c r="CX23" s="127">
        <f>CS23+0.01</f>
        <v>7.1999999999999957</v>
      </c>
      <c r="CY23" s="8"/>
    </row>
    <row r="24" spans="1:103" ht="7.5" customHeight="1">
      <c r="A24" s="8"/>
      <c r="B24" s="11"/>
      <c r="C24" s="8"/>
      <c r="D24" s="126"/>
      <c r="E24" s="126"/>
      <c r="F24" s="126"/>
      <c r="G24" s="127"/>
      <c r="H24" s="125"/>
      <c r="I24" s="126"/>
      <c r="J24" s="126"/>
      <c r="K24" s="126"/>
      <c r="L24" s="127"/>
      <c r="M24" s="125"/>
      <c r="N24" s="126"/>
      <c r="O24" s="126"/>
      <c r="P24" s="126"/>
      <c r="Q24" s="127"/>
      <c r="R24" s="125"/>
      <c r="S24" s="126"/>
      <c r="T24" s="126"/>
      <c r="U24" s="126"/>
      <c r="V24" s="127"/>
      <c r="W24" s="125"/>
      <c r="X24" s="126"/>
      <c r="Y24" s="126"/>
      <c r="Z24" s="126"/>
      <c r="AA24" s="127"/>
      <c r="AB24" s="125"/>
      <c r="AC24" s="126"/>
      <c r="AD24" s="126"/>
      <c r="AE24" s="126"/>
      <c r="AF24" s="127"/>
      <c r="AG24" s="125"/>
      <c r="AH24" s="126"/>
      <c r="AI24" s="126"/>
      <c r="AJ24" s="126"/>
      <c r="AK24" s="127"/>
      <c r="AL24" s="125"/>
      <c r="AM24" s="126"/>
      <c r="AN24" s="126"/>
      <c r="AO24" s="126"/>
      <c r="AP24" s="127"/>
      <c r="AQ24" s="125"/>
      <c r="AR24" s="126"/>
      <c r="AS24" s="126"/>
      <c r="AT24" s="126"/>
      <c r="AU24" s="127"/>
      <c r="AV24" s="125"/>
      <c r="AW24" s="126"/>
      <c r="AX24" s="126"/>
      <c r="AY24" s="126"/>
      <c r="AZ24" s="127"/>
      <c r="BA24" s="125"/>
      <c r="BB24" s="126"/>
      <c r="BC24" s="126"/>
      <c r="BD24" s="126"/>
      <c r="BE24" s="127"/>
      <c r="BF24" s="125"/>
      <c r="BG24" s="126"/>
      <c r="BH24" s="126"/>
      <c r="BI24" s="126"/>
      <c r="BJ24" s="127"/>
      <c r="BK24" s="125"/>
      <c r="BL24" s="126"/>
      <c r="BM24" s="126"/>
      <c r="BN24" s="126"/>
      <c r="BO24" s="127"/>
      <c r="BP24" s="125"/>
      <c r="BQ24" s="126"/>
      <c r="BR24" s="126"/>
      <c r="BS24" s="126"/>
      <c r="BT24" s="127"/>
      <c r="BU24" s="125"/>
      <c r="BV24" s="126"/>
      <c r="BW24" s="126"/>
      <c r="BX24" s="126"/>
      <c r="BY24" s="127"/>
      <c r="BZ24" s="125"/>
      <c r="CA24" s="126"/>
      <c r="CB24" s="126"/>
      <c r="CC24" s="126"/>
      <c r="CD24" s="127"/>
      <c r="CE24" s="125"/>
      <c r="CF24" s="126"/>
      <c r="CG24" s="126"/>
      <c r="CH24" s="126"/>
      <c r="CI24" s="127"/>
      <c r="CJ24" s="125"/>
      <c r="CK24" s="126"/>
      <c r="CL24" s="126"/>
      <c r="CM24" s="126"/>
      <c r="CN24" s="127"/>
      <c r="CO24" s="125"/>
      <c r="CP24" s="126"/>
      <c r="CQ24" s="126"/>
      <c r="CR24" s="126"/>
      <c r="CS24" s="127"/>
      <c r="CT24" s="125"/>
      <c r="CU24" s="126"/>
      <c r="CV24" s="126"/>
      <c r="CW24" s="126"/>
      <c r="CX24" s="127"/>
      <c r="CY24" s="8"/>
    </row>
    <row r="25" spans="1:103" ht="30" customHeight="1">
      <c r="A25" s="8"/>
      <c r="B25" s="129" t="s">
        <v>169</v>
      </c>
      <c r="C25" s="8"/>
      <c r="D25" s="143" t="s">
        <v>1427</v>
      </c>
      <c r="E25" s="130"/>
      <c r="F25" s="130"/>
      <c r="G25" s="130"/>
      <c r="H25" s="125"/>
      <c r="I25" s="143" t="s">
        <v>1158</v>
      </c>
      <c r="J25" s="130"/>
      <c r="K25" s="130"/>
      <c r="L25" s="130"/>
      <c r="M25" s="125"/>
      <c r="N25" s="143" t="s">
        <v>187</v>
      </c>
      <c r="O25" s="130"/>
      <c r="P25" s="130"/>
      <c r="Q25" s="130"/>
      <c r="R25" s="125"/>
      <c r="S25" s="143" t="s">
        <v>1428</v>
      </c>
      <c r="T25" s="130"/>
      <c r="U25" s="130"/>
      <c r="V25" s="130"/>
      <c r="W25" s="125"/>
      <c r="X25" s="143" t="s">
        <v>290</v>
      </c>
      <c r="Y25" s="130"/>
      <c r="Z25" s="130"/>
      <c r="AA25" s="130"/>
      <c r="AB25" s="125"/>
      <c r="AC25" s="143" t="s">
        <v>164</v>
      </c>
      <c r="AD25" s="130"/>
      <c r="AE25" s="130"/>
      <c r="AF25" s="130"/>
      <c r="AG25" s="125"/>
      <c r="AH25" s="143" t="s">
        <v>203</v>
      </c>
      <c r="AI25" s="130"/>
      <c r="AJ25" s="130"/>
      <c r="AK25" s="130"/>
      <c r="AL25" s="125"/>
      <c r="AM25" s="143" t="s">
        <v>314</v>
      </c>
      <c r="AN25" s="130"/>
      <c r="AO25" s="130"/>
      <c r="AP25" s="130"/>
      <c r="AQ25" s="125"/>
      <c r="AR25" s="143" t="s">
        <v>1429</v>
      </c>
      <c r="AS25" s="130"/>
      <c r="AT25" s="130"/>
      <c r="AU25" s="130"/>
      <c r="AV25" s="125"/>
      <c r="AW25" s="143" t="s">
        <v>1143</v>
      </c>
      <c r="AX25" s="130"/>
      <c r="AY25" s="130"/>
      <c r="AZ25" s="130"/>
      <c r="BA25" s="125"/>
      <c r="BB25" s="143" t="s">
        <v>117</v>
      </c>
      <c r="BC25" s="130"/>
      <c r="BD25" s="130"/>
      <c r="BE25" s="130"/>
      <c r="BF25" s="125"/>
      <c r="BG25" s="143" t="s">
        <v>1356</v>
      </c>
      <c r="BH25" s="130"/>
      <c r="BI25" s="130"/>
      <c r="BJ25" s="130"/>
      <c r="BK25" s="125"/>
      <c r="BL25" s="143" t="s">
        <v>1175</v>
      </c>
      <c r="BM25" s="130"/>
      <c r="BN25" s="130"/>
      <c r="BO25" s="130"/>
      <c r="BP25" s="125"/>
      <c r="BQ25" s="143" t="s">
        <v>1430</v>
      </c>
      <c r="BR25" s="130"/>
      <c r="BS25" s="130"/>
      <c r="BT25" s="130"/>
      <c r="BU25" s="125"/>
      <c r="BV25" s="143" t="s">
        <v>1431</v>
      </c>
      <c r="BW25" s="130"/>
      <c r="BX25" s="130"/>
      <c r="BY25" s="130"/>
      <c r="BZ25" s="125"/>
      <c r="CA25" s="143" t="s">
        <v>1432</v>
      </c>
      <c r="CB25" s="130"/>
      <c r="CC25" s="130"/>
      <c r="CD25" s="130"/>
      <c r="CE25" s="125"/>
      <c r="CF25" s="143" t="s">
        <v>1309</v>
      </c>
      <c r="CG25" s="130"/>
      <c r="CH25" s="130"/>
      <c r="CI25" s="130"/>
      <c r="CJ25" s="125"/>
      <c r="CK25" s="143" t="s">
        <v>1160</v>
      </c>
      <c r="CL25" s="130"/>
      <c r="CM25" s="130"/>
      <c r="CN25" s="130"/>
      <c r="CO25" s="125"/>
      <c r="CP25" s="143" t="s">
        <v>1433</v>
      </c>
      <c r="CQ25" s="130"/>
      <c r="CR25" s="130"/>
      <c r="CS25" s="130"/>
      <c r="CT25" s="125"/>
      <c r="CU25" s="143" t="s">
        <v>1125</v>
      </c>
      <c r="CV25" s="130"/>
      <c r="CW25" s="130"/>
      <c r="CX25" s="130"/>
      <c r="CY25" s="8"/>
    </row>
    <row r="26" spans="1:103" ht="30" customHeight="1">
      <c r="A26" s="8"/>
      <c r="B26" s="130"/>
      <c r="C26" s="8"/>
      <c r="D26" s="126"/>
      <c r="E26" s="126" t="s">
        <v>42</v>
      </c>
      <c r="F26" s="126" t="s">
        <v>338</v>
      </c>
      <c r="G26" s="127">
        <f>LEFT(B25,1)+0.2</f>
        <v>8.1999999999999993</v>
      </c>
      <c r="H26" s="125"/>
      <c r="I26" s="126" t="s">
        <v>400</v>
      </c>
      <c r="J26" s="126" t="s">
        <v>42</v>
      </c>
      <c r="K26" s="126" t="s">
        <v>341</v>
      </c>
      <c r="L26" s="127">
        <f>G26-0.01</f>
        <v>8.19</v>
      </c>
      <c r="M26" s="125"/>
      <c r="N26" s="126" t="s">
        <v>390</v>
      </c>
      <c r="O26" s="126" t="s">
        <v>42</v>
      </c>
      <c r="P26" s="126" t="s">
        <v>339</v>
      </c>
      <c r="Q26" s="127">
        <f>L26-0.01</f>
        <v>8.18</v>
      </c>
      <c r="R26" s="125"/>
      <c r="S26" s="126" t="s">
        <v>388</v>
      </c>
      <c r="T26" s="126" t="s">
        <v>42</v>
      </c>
      <c r="U26" s="126" t="s">
        <v>339</v>
      </c>
      <c r="V26" s="127">
        <f>Q26-0.01</f>
        <v>8.17</v>
      </c>
      <c r="W26" s="125"/>
      <c r="X26" s="126" t="s">
        <v>386</v>
      </c>
      <c r="Y26" s="126" t="s">
        <v>42</v>
      </c>
      <c r="Z26" s="126" t="s">
        <v>342</v>
      </c>
      <c r="AA26" s="127">
        <f>V26-0.01</f>
        <v>8.16</v>
      </c>
      <c r="AB26" s="125"/>
      <c r="AC26" s="126" t="s">
        <v>390</v>
      </c>
      <c r="AD26" s="126" t="s">
        <v>42</v>
      </c>
      <c r="AE26" s="126" t="s">
        <v>337</v>
      </c>
      <c r="AF26" s="127">
        <f>AA26-0.01</f>
        <v>8.15</v>
      </c>
      <c r="AG26" s="125"/>
      <c r="AH26" s="126" t="s">
        <v>387</v>
      </c>
      <c r="AI26" s="126" t="s">
        <v>42</v>
      </c>
      <c r="AJ26" s="126" t="s">
        <v>339</v>
      </c>
      <c r="AK26" s="127">
        <f>AF26-0.01</f>
        <v>8.14</v>
      </c>
      <c r="AL26" s="125"/>
      <c r="AM26" s="126" t="s">
        <v>400</v>
      </c>
      <c r="AN26" s="126" t="s">
        <v>42</v>
      </c>
      <c r="AO26" s="126" t="s">
        <v>342</v>
      </c>
      <c r="AP26" s="127">
        <f>AK26-0.01</f>
        <v>8.1300000000000008</v>
      </c>
      <c r="AQ26" s="125"/>
      <c r="AR26" s="126" t="s">
        <v>386</v>
      </c>
      <c r="AS26" s="126" t="s">
        <v>42</v>
      </c>
      <c r="AT26" s="126" t="s">
        <v>339</v>
      </c>
      <c r="AU26" s="127">
        <f>AP26-0.01</f>
        <v>8.120000000000001</v>
      </c>
      <c r="AV26" s="125"/>
      <c r="AW26" s="126" t="s">
        <v>394</v>
      </c>
      <c r="AX26" s="126" t="s">
        <v>42</v>
      </c>
      <c r="AY26" s="126" t="s">
        <v>341</v>
      </c>
      <c r="AZ26" s="127">
        <f>AU26-0.01</f>
        <v>8.1100000000000012</v>
      </c>
      <c r="BA26" s="125"/>
      <c r="BB26" s="126" t="s">
        <v>392</v>
      </c>
      <c r="BC26" s="126" t="s">
        <v>42</v>
      </c>
      <c r="BD26" s="126" t="s">
        <v>337</v>
      </c>
      <c r="BE26" s="127">
        <f>AZ26-0.01</f>
        <v>8.1000000000000014</v>
      </c>
      <c r="BF26" s="125"/>
      <c r="BG26" s="126" t="s">
        <v>403</v>
      </c>
      <c r="BH26" s="126" t="s">
        <v>42</v>
      </c>
      <c r="BI26" s="126" t="s">
        <v>337</v>
      </c>
      <c r="BJ26" s="127">
        <f>BE26-0.01</f>
        <v>8.0900000000000016</v>
      </c>
      <c r="BK26" s="125"/>
      <c r="BL26" s="126" t="s">
        <v>407</v>
      </c>
      <c r="BM26" s="126" t="s">
        <v>42</v>
      </c>
      <c r="BN26" s="126" t="s">
        <v>341</v>
      </c>
      <c r="BO26" s="127">
        <f>BJ26-0.01</f>
        <v>8.0800000000000018</v>
      </c>
      <c r="BP26" s="125"/>
      <c r="BQ26" s="126" t="s">
        <v>411</v>
      </c>
      <c r="BR26" s="126" t="s">
        <v>42</v>
      </c>
      <c r="BS26" s="126" t="s">
        <v>337</v>
      </c>
      <c r="BT26" s="127">
        <f>BO26-0.01</f>
        <v>8.0700000000000021</v>
      </c>
      <c r="BU26" s="125"/>
      <c r="BV26" s="126" t="s">
        <v>399</v>
      </c>
      <c r="BW26" s="126" t="s">
        <v>42</v>
      </c>
      <c r="BX26" s="126" t="s">
        <v>339</v>
      </c>
      <c r="BY26" s="127">
        <f>BT26-0.01</f>
        <v>8.0600000000000023</v>
      </c>
      <c r="BZ26" s="125"/>
      <c r="CA26" s="126" t="s">
        <v>404</v>
      </c>
      <c r="CB26" s="126" t="s">
        <v>42</v>
      </c>
      <c r="CC26" s="126" t="s">
        <v>339</v>
      </c>
      <c r="CD26" s="127">
        <f>BY26-0.01</f>
        <v>8.0500000000000025</v>
      </c>
      <c r="CE26" s="125"/>
      <c r="CF26" s="126" t="s">
        <v>401</v>
      </c>
      <c r="CG26" s="126" t="s">
        <v>42</v>
      </c>
      <c r="CH26" s="126" t="s">
        <v>339</v>
      </c>
      <c r="CI26" s="127">
        <f>CD26-0.01</f>
        <v>8.0400000000000027</v>
      </c>
      <c r="CJ26" s="125"/>
      <c r="CK26" s="126" t="s">
        <v>406</v>
      </c>
      <c r="CL26" s="126" t="s">
        <v>42</v>
      </c>
      <c r="CM26" s="126" t="s">
        <v>341</v>
      </c>
      <c r="CN26" s="127">
        <f>CI26-0.01</f>
        <v>8.0300000000000029</v>
      </c>
      <c r="CO26" s="125"/>
      <c r="CP26" s="126" t="s">
        <v>416</v>
      </c>
      <c r="CQ26" s="126" t="s">
        <v>42</v>
      </c>
      <c r="CR26" s="126" t="s">
        <v>337</v>
      </c>
      <c r="CS26" s="127">
        <f>CN26-0.01</f>
        <v>8.0200000000000031</v>
      </c>
      <c r="CT26" s="125"/>
      <c r="CU26" s="126" t="s">
        <v>388</v>
      </c>
      <c r="CV26" s="126" t="s">
        <v>42</v>
      </c>
      <c r="CW26" s="126" t="s">
        <v>341</v>
      </c>
      <c r="CX26" s="127">
        <f>CS26-0.01</f>
        <v>8.0100000000000033</v>
      </c>
      <c r="CY26" s="8"/>
    </row>
    <row r="27" spans="1:103" ht="7.5" customHeight="1">
      <c r="A27" s="8"/>
      <c r="B27" s="11"/>
      <c r="C27" s="8"/>
      <c r="D27" s="125"/>
      <c r="E27" s="126"/>
      <c r="F27" s="125"/>
      <c r="G27" s="127"/>
      <c r="H27" s="125"/>
      <c r="I27" s="125"/>
      <c r="J27" s="126"/>
      <c r="K27" s="125"/>
      <c r="L27" s="127"/>
      <c r="M27" s="125"/>
      <c r="N27" s="125"/>
      <c r="O27" s="126"/>
      <c r="P27" s="125"/>
      <c r="Q27" s="127"/>
      <c r="R27" s="125"/>
      <c r="S27" s="125"/>
      <c r="T27" s="126"/>
      <c r="U27" s="125"/>
      <c r="V27" s="127"/>
      <c r="W27" s="125"/>
      <c r="X27" s="125"/>
      <c r="Y27" s="126"/>
      <c r="Z27" s="125"/>
      <c r="AA27" s="127"/>
      <c r="AB27" s="125"/>
      <c r="AC27" s="125"/>
      <c r="AD27" s="126"/>
      <c r="AE27" s="125"/>
      <c r="AF27" s="127"/>
      <c r="AG27" s="125"/>
      <c r="AH27" s="125"/>
      <c r="AI27" s="126"/>
      <c r="AJ27" s="125"/>
      <c r="AK27" s="127"/>
      <c r="AL27" s="125"/>
      <c r="AM27" s="125"/>
      <c r="AN27" s="126"/>
      <c r="AO27" s="125"/>
      <c r="AP27" s="127"/>
      <c r="AQ27" s="125"/>
      <c r="AR27" s="125"/>
      <c r="AS27" s="126"/>
      <c r="AT27" s="125"/>
      <c r="AU27" s="127"/>
      <c r="AV27" s="125"/>
      <c r="AW27" s="125"/>
      <c r="AX27" s="126"/>
      <c r="AY27" s="125"/>
      <c r="AZ27" s="127"/>
      <c r="BA27" s="125"/>
      <c r="BB27" s="125"/>
      <c r="BC27" s="126"/>
      <c r="BD27" s="125"/>
      <c r="BE27" s="127"/>
      <c r="BF27" s="125"/>
      <c r="BG27" s="125"/>
      <c r="BH27" s="126"/>
      <c r="BI27" s="125"/>
      <c r="BJ27" s="127"/>
      <c r="BK27" s="125"/>
      <c r="BL27" s="125"/>
      <c r="BM27" s="126"/>
      <c r="BN27" s="125"/>
      <c r="BO27" s="127"/>
      <c r="BP27" s="125"/>
      <c r="BQ27" s="125"/>
      <c r="BR27" s="126"/>
      <c r="BS27" s="125"/>
      <c r="BT27" s="127"/>
      <c r="BU27" s="125"/>
      <c r="BV27" s="125"/>
      <c r="BW27" s="126"/>
      <c r="BX27" s="125"/>
      <c r="BY27" s="127"/>
      <c r="BZ27" s="125"/>
      <c r="CA27" s="125"/>
      <c r="CB27" s="126"/>
      <c r="CC27" s="125"/>
      <c r="CD27" s="127"/>
      <c r="CE27" s="125"/>
      <c r="CF27" s="125"/>
      <c r="CG27" s="126"/>
      <c r="CH27" s="125"/>
      <c r="CI27" s="127"/>
      <c r="CJ27" s="125"/>
      <c r="CK27" s="125"/>
      <c r="CL27" s="126"/>
      <c r="CM27" s="125"/>
      <c r="CN27" s="127"/>
      <c r="CO27" s="125"/>
      <c r="CP27" s="125"/>
      <c r="CQ27" s="126"/>
      <c r="CR27" s="125"/>
      <c r="CS27" s="127"/>
      <c r="CT27" s="125"/>
      <c r="CU27" s="125"/>
      <c r="CV27" s="126"/>
      <c r="CW27" s="125"/>
      <c r="CX27" s="127"/>
      <c r="CY27" s="8"/>
    </row>
    <row r="28" spans="1:103" ht="30" customHeight="1">
      <c r="A28" s="8"/>
      <c r="B28" s="129" t="s">
        <v>190</v>
      </c>
      <c r="C28" s="8"/>
      <c r="D28" s="143" t="s">
        <v>542</v>
      </c>
      <c r="E28" s="130"/>
      <c r="F28" s="130"/>
      <c r="G28" s="130"/>
      <c r="H28" s="125"/>
      <c r="I28" s="143" t="s">
        <v>823</v>
      </c>
      <c r="J28" s="130"/>
      <c r="K28" s="130"/>
      <c r="L28" s="130"/>
      <c r="M28" s="125"/>
      <c r="N28" s="143" t="s">
        <v>460</v>
      </c>
      <c r="O28" s="130"/>
      <c r="P28" s="130"/>
      <c r="Q28" s="130"/>
      <c r="R28" s="125"/>
      <c r="S28" s="143" t="s">
        <v>1434</v>
      </c>
      <c r="T28" s="130"/>
      <c r="U28" s="130"/>
      <c r="V28" s="130"/>
      <c r="W28" s="125"/>
      <c r="X28" s="143" t="s">
        <v>584</v>
      </c>
      <c r="Y28" s="130"/>
      <c r="Z28" s="130"/>
      <c r="AA28" s="130"/>
      <c r="AB28" s="125"/>
      <c r="AC28" s="143" t="s">
        <v>900</v>
      </c>
      <c r="AD28" s="130"/>
      <c r="AE28" s="130"/>
      <c r="AF28" s="130"/>
      <c r="AG28" s="125"/>
      <c r="AH28" s="143" t="s">
        <v>1435</v>
      </c>
      <c r="AI28" s="130"/>
      <c r="AJ28" s="130"/>
      <c r="AK28" s="130"/>
      <c r="AL28" s="125"/>
      <c r="AM28" s="143" t="s">
        <v>1436</v>
      </c>
      <c r="AN28" s="130"/>
      <c r="AO28" s="130"/>
      <c r="AP28" s="130"/>
      <c r="AQ28" s="125"/>
      <c r="AR28" s="143" t="s">
        <v>1437</v>
      </c>
      <c r="AS28" s="130"/>
      <c r="AT28" s="130"/>
      <c r="AU28" s="130"/>
      <c r="AV28" s="125"/>
      <c r="AW28" s="143" t="s">
        <v>76</v>
      </c>
      <c r="AX28" s="130"/>
      <c r="AY28" s="130"/>
      <c r="AZ28" s="130"/>
      <c r="BA28" s="125"/>
      <c r="BB28" s="143" t="s">
        <v>98</v>
      </c>
      <c r="BC28" s="130"/>
      <c r="BD28" s="130"/>
      <c r="BE28" s="130"/>
      <c r="BF28" s="125"/>
      <c r="BG28" s="143" t="s">
        <v>1438</v>
      </c>
      <c r="BH28" s="130"/>
      <c r="BI28" s="130"/>
      <c r="BJ28" s="130"/>
      <c r="BK28" s="125"/>
      <c r="BL28" s="143" t="s">
        <v>1439</v>
      </c>
      <c r="BM28" s="130"/>
      <c r="BN28" s="130"/>
      <c r="BO28" s="130"/>
      <c r="BP28" s="125"/>
      <c r="BQ28" s="143" t="s">
        <v>1440</v>
      </c>
      <c r="BR28" s="130"/>
      <c r="BS28" s="130"/>
      <c r="BT28" s="130"/>
      <c r="BU28" s="125"/>
      <c r="BV28" s="143" t="s">
        <v>1441</v>
      </c>
      <c r="BW28" s="130"/>
      <c r="BX28" s="130"/>
      <c r="BY28" s="130"/>
      <c r="BZ28" s="125"/>
      <c r="CA28" s="143" t="s">
        <v>1442</v>
      </c>
      <c r="CB28" s="130"/>
      <c r="CC28" s="130"/>
      <c r="CD28" s="130"/>
      <c r="CE28" s="125"/>
      <c r="CF28" s="143" t="s">
        <v>1121</v>
      </c>
      <c r="CG28" s="130"/>
      <c r="CH28" s="130"/>
      <c r="CI28" s="130"/>
      <c r="CJ28" s="125"/>
      <c r="CK28" s="143" t="s">
        <v>1443</v>
      </c>
      <c r="CL28" s="130"/>
      <c r="CM28" s="130"/>
      <c r="CN28" s="130"/>
      <c r="CO28" s="125"/>
      <c r="CP28" s="143" t="s">
        <v>1444</v>
      </c>
      <c r="CQ28" s="130"/>
      <c r="CR28" s="130"/>
      <c r="CS28" s="130"/>
      <c r="CT28" s="125"/>
      <c r="CU28" s="143" t="s">
        <v>267</v>
      </c>
      <c r="CV28" s="130"/>
      <c r="CW28" s="130"/>
      <c r="CX28" s="130"/>
      <c r="CY28" s="8"/>
    </row>
    <row r="29" spans="1:103" ht="30" customHeight="1">
      <c r="A29" s="8"/>
      <c r="B29" s="130"/>
      <c r="C29" s="8"/>
      <c r="D29" s="126" t="s">
        <v>416</v>
      </c>
      <c r="E29" s="126" t="s">
        <v>42</v>
      </c>
      <c r="F29" s="126" t="s">
        <v>339</v>
      </c>
      <c r="G29" s="127">
        <f>LEFT(B28,1)+0.01</f>
        <v>9.01</v>
      </c>
      <c r="H29" s="125"/>
      <c r="I29" s="126" t="s">
        <v>410</v>
      </c>
      <c r="J29" s="126" t="s">
        <v>42</v>
      </c>
      <c r="K29" s="126" t="s">
        <v>338</v>
      </c>
      <c r="L29" s="127">
        <f>G29+0.01</f>
        <v>9.02</v>
      </c>
      <c r="M29" s="125"/>
      <c r="N29" s="126" t="s">
        <v>392</v>
      </c>
      <c r="O29" s="126" t="s">
        <v>42</v>
      </c>
      <c r="P29" s="126" t="s">
        <v>340</v>
      </c>
      <c r="Q29" s="127">
        <f>L29+0.01</f>
        <v>9.0299999999999994</v>
      </c>
      <c r="R29" s="125"/>
      <c r="S29" s="126" t="s">
        <v>397</v>
      </c>
      <c r="T29" s="126" t="s">
        <v>42</v>
      </c>
      <c r="U29" s="126" t="s">
        <v>338</v>
      </c>
      <c r="V29" s="127">
        <f>Q29+0.01</f>
        <v>9.0399999999999991</v>
      </c>
      <c r="W29" s="125"/>
      <c r="X29" s="126" t="s">
        <v>388</v>
      </c>
      <c r="Y29" s="126" t="s">
        <v>42</v>
      </c>
      <c r="Z29" s="126" t="s">
        <v>338</v>
      </c>
      <c r="AA29" s="127">
        <f>V29+0.01</f>
        <v>9.0499999999999989</v>
      </c>
      <c r="AB29" s="125"/>
      <c r="AC29" s="126" t="s">
        <v>393</v>
      </c>
      <c r="AD29" s="126" t="s">
        <v>42</v>
      </c>
      <c r="AE29" s="126" t="s">
        <v>339</v>
      </c>
      <c r="AF29" s="127">
        <f>AA29+0.01</f>
        <v>9.0599999999999987</v>
      </c>
      <c r="AG29" s="125"/>
      <c r="AH29" s="126" t="s">
        <v>407</v>
      </c>
      <c r="AI29" s="126" t="s">
        <v>42</v>
      </c>
      <c r="AJ29" s="126" t="s">
        <v>338</v>
      </c>
      <c r="AK29" s="127">
        <f>AF29+0.01</f>
        <v>9.0699999999999985</v>
      </c>
      <c r="AL29" s="125"/>
      <c r="AM29" s="126" t="s">
        <v>401</v>
      </c>
      <c r="AN29" s="126" t="s">
        <v>42</v>
      </c>
      <c r="AO29" s="126" t="s">
        <v>340</v>
      </c>
      <c r="AP29" s="127">
        <f>AK29+0.01</f>
        <v>9.0799999999999983</v>
      </c>
      <c r="AQ29" s="125"/>
      <c r="AR29" s="126" t="s">
        <v>400</v>
      </c>
      <c r="AS29" s="126" t="s">
        <v>42</v>
      </c>
      <c r="AT29" s="126" t="s">
        <v>338</v>
      </c>
      <c r="AU29" s="127">
        <f>AP29+0.01</f>
        <v>9.0899999999999981</v>
      </c>
      <c r="AV29" s="125"/>
      <c r="AW29" s="126" t="s">
        <v>393</v>
      </c>
      <c r="AX29" s="126" t="s">
        <v>42</v>
      </c>
      <c r="AY29" s="126" t="s">
        <v>338</v>
      </c>
      <c r="AZ29" s="127">
        <f>AU29+0.01</f>
        <v>9.0999999999999979</v>
      </c>
      <c r="BA29" s="125"/>
      <c r="BB29" s="126" t="s">
        <v>404</v>
      </c>
      <c r="BC29" s="126" t="s">
        <v>42</v>
      </c>
      <c r="BD29" s="126" t="s">
        <v>339</v>
      </c>
      <c r="BE29" s="127">
        <f>AZ29+0.01</f>
        <v>9.1099999999999977</v>
      </c>
      <c r="BF29" s="125"/>
      <c r="BG29" s="126" t="s">
        <v>402</v>
      </c>
      <c r="BH29" s="126" t="s">
        <v>42</v>
      </c>
      <c r="BI29" s="126" t="s">
        <v>338</v>
      </c>
      <c r="BJ29" s="127">
        <f>BE29+0.01</f>
        <v>9.1199999999999974</v>
      </c>
      <c r="BK29" s="125"/>
      <c r="BL29" s="126" t="s">
        <v>407</v>
      </c>
      <c r="BM29" s="126" t="s">
        <v>42</v>
      </c>
      <c r="BN29" s="126" t="s">
        <v>337</v>
      </c>
      <c r="BO29" s="127">
        <f>BJ29+0.01</f>
        <v>9.1299999999999972</v>
      </c>
      <c r="BP29" s="125"/>
      <c r="BQ29" s="126" t="s">
        <v>412</v>
      </c>
      <c r="BR29" s="126" t="s">
        <v>42</v>
      </c>
      <c r="BS29" s="126" t="s">
        <v>338</v>
      </c>
      <c r="BT29" s="127">
        <f>BO29+0.01</f>
        <v>9.139999999999997</v>
      </c>
      <c r="BU29" s="125"/>
      <c r="BV29" s="126" t="s">
        <v>397</v>
      </c>
      <c r="BW29" s="126" t="s">
        <v>42</v>
      </c>
      <c r="BX29" s="126" t="s">
        <v>338</v>
      </c>
      <c r="BY29" s="127">
        <f>BT29+0.01</f>
        <v>9.1499999999999968</v>
      </c>
      <c r="BZ29" s="125"/>
      <c r="CA29" s="126" t="s">
        <v>413</v>
      </c>
      <c r="CB29" s="126" t="s">
        <v>42</v>
      </c>
      <c r="CC29" s="126" t="s">
        <v>337</v>
      </c>
      <c r="CD29" s="127">
        <f>BY29+0.01</f>
        <v>9.1599999999999966</v>
      </c>
      <c r="CE29" s="125"/>
      <c r="CF29" s="126" t="s">
        <v>393</v>
      </c>
      <c r="CG29" s="126" t="s">
        <v>42</v>
      </c>
      <c r="CH29" s="126" t="s">
        <v>341</v>
      </c>
      <c r="CI29" s="127">
        <f>CD29+0.01</f>
        <v>9.1699999999999964</v>
      </c>
      <c r="CJ29" s="125"/>
      <c r="CK29" s="126" t="s">
        <v>414</v>
      </c>
      <c r="CL29" s="126" t="s">
        <v>42</v>
      </c>
      <c r="CM29" s="126" t="s">
        <v>338</v>
      </c>
      <c r="CN29" s="127">
        <f>CI29+0.01</f>
        <v>9.1799999999999962</v>
      </c>
      <c r="CO29" s="125"/>
      <c r="CP29" s="126" t="s">
        <v>390</v>
      </c>
      <c r="CQ29" s="126" t="s">
        <v>42</v>
      </c>
      <c r="CR29" s="126" t="s">
        <v>338</v>
      </c>
      <c r="CS29" s="127">
        <f>CN29+0.01</f>
        <v>9.1899999999999959</v>
      </c>
      <c r="CT29" s="125"/>
      <c r="CU29" s="126" t="s">
        <v>404</v>
      </c>
      <c r="CV29" s="126" t="s">
        <v>42</v>
      </c>
      <c r="CW29" s="126" t="s">
        <v>342</v>
      </c>
      <c r="CX29" s="127">
        <f>CS29+0.01</f>
        <v>9.1999999999999957</v>
      </c>
      <c r="CY29" s="8"/>
    </row>
    <row r="30" spans="1:103" ht="7.5" customHeight="1">
      <c r="A30" s="8"/>
      <c r="B30" s="11"/>
      <c r="C30" s="8"/>
      <c r="D30" s="126"/>
      <c r="E30" s="126"/>
      <c r="F30" s="126"/>
      <c r="G30" s="127"/>
      <c r="H30" s="125"/>
      <c r="I30" s="126"/>
      <c r="J30" s="126"/>
      <c r="K30" s="126"/>
      <c r="L30" s="127"/>
      <c r="M30" s="125"/>
      <c r="N30" s="126"/>
      <c r="O30" s="126"/>
      <c r="P30" s="126"/>
      <c r="Q30" s="127"/>
      <c r="R30" s="125"/>
      <c r="S30" s="126"/>
      <c r="T30" s="126"/>
      <c r="U30" s="126"/>
      <c r="V30" s="127"/>
      <c r="W30" s="125"/>
      <c r="X30" s="126"/>
      <c r="Y30" s="126"/>
      <c r="Z30" s="126"/>
      <c r="AA30" s="127"/>
      <c r="AB30" s="125"/>
      <c r="AC30" s="126"/>
      <c r="AD30" s="126"/>
      <c r="AE30" s="126"/>
      <c r="AF30" s="127"/>
      <c r="AG30" s="125"/>
      <c r="AH30" s="126"/>
      <c r="AI30" s="126"/>
      <c r="AJ30" s="126"/>
      <c r="AK30" s="127"/>
      <c r="AL30" s="125"/>
      <c r="AM30" s="126"/>
      <c r="AN30" s="126"/>
      <c r="AO30" s="126"/>
      <c r="AP30" s="127"/>
      <c r="AQ30" s="125"/>
      <c r="AR30" s="126"/>
      <c r="AS30" s="126"/>
      <c r="AT30" s="126"/>
      <c r="AU30" s="127"/>
      <c r="AV30" s="125"/>
      <c r="AW30" s="126"/>
      <c r="AX30" s="126"/>
      <c r="AY30" s="126"/>
      <c r="AZ30" s="127"/>
      <c r="BA30" s="125"/>
      <c r="BB30" s="126"/>
      <c r="BC30" s="126"/>
      <c r="BD30" s="126"/>
      <c r="BE30" s="127"/>
      <c r="BF30" s="125"/>
      <c r="BG30" s="126"/>
      <c r="BH30" s="126"/>
      <c r="BI30" s="126"/>
      <c r="BJ30" s="127"/>
      <c r="BK30" s="125"/>
      <c r="BL30" s="126"/>
      <c r="BM30" s="126"/>
      <c r="BN30" s="126"/>
      <c r="BO30" s="127"/>
      <c r="BP30" s="125"/>
      <c r="BQ30" s="126"/>
      <c r="BR30" s="126"/>
      <c r="BS30" s="126"/>
      <c r="BT30" s="127"/>
      <c r="BU30" s="125"/>
      <c r="BV30" s="126"/>
      <c r="BW30" s="126"/>
      <c r="BX30" s="126"/>
      <c r="BY30" s="127"/>
      <c r="BZ30" s="125"/>
      <c r="CA30" s="126"/>
      <c r="CB30" s="126"/>
      <c r="CC30" s="126"/>
      <c r="CD30" s="127"/>
      <c r="CE30" s="125"/>
      <c r="CF30" s="126"/>
      <c r="CG30" s="126"/>
      <c r="CH30" s="126"/>
      <c r="CI30" s="127"/>
      <c r="CJ30" s="125"/>
      <c r="CK30" s="126"/>
      <c r="CL30" s="126"/>
      <c r="CM30" s="126"/>
      <c r="CN30" s="127"/>
      <c r="CO30" s="125"/>
      <c r="CP30" s="126"/>
      <c r="CQ30" s="126"/>
      <c r="CR30" s="126"/>
      <c r="CS30" s="127"/>
      <c r="CT30" s="125"/>
      <c r="CU30" s="126"/>
      <c r="CV30" s="126"/>
      <c r="CW30" s="126"/>
      <c r="CX30" s="127"/>
      <c r="CY30" s="8"/>
    </row>
    <row r="31" spans="1:103" ht="30" customHeight="1">
      <c r="A31" s="8"/>
      <c r="B31" s="129" t="s">
        <v>211</v>
      </c>
      <c r="C31" s="8"/>
      <c r="D31" s="143" t="s">
        <v>430</v>
      </c>
      <c r="E31" s="130"/>
      <c r="F31" s="130"/>
      <c r="G31" s="130"/>
      <c r="H31" s="125"/>
      <c r="I31" s="143" t="s">
        <v>1445</v>
      </c>
      <c r="J31" s="130"/>
      <c r="K31" s="130"/>
      <c r="L31" s="130"/>
      <c r="M31" s="125"/>
      <c r="N31" s="143" t="s">
        <v>1446</v>
      </c>
      <c r="O31" s="130"/>
      <c r="P31" s="130"/>
      <c r="Q31" s="130"/>
      <c r="R31" s="125"/>
      <c r="S31" s="143" t="s">
        <v>322</v>
      </c>
      <c r="T31" s="130"/>
      <c r="U31" s="130"/>
      <c r="V31" s="130"/>
      <c r="W31" s="125"/>
      <c r="X31" s="143" t="s">
        <v>161</v>
      </c>
      <c r="Y31" s="130"/>
      <c r="Z31" s="130"/>
      <c r="AA31" s="130"/>
      <c r="AB31" s="125"/>
      <c r="AC31" s="143" t="s">
        <v>890</v>
      </c>
      <c r="AD31" s="130"/>
      <c r="AE31" s="130"/>
      <c r="AF31" s="130"/>
      <c r="AG31" s="125"/>
      <c r="AH31" s="143" t="s">
        <v>208</v>
      </c>
      <c r="AI31" s="130"/>
      <c r="AJ31" s="130"/>
      <c r="AK31" s="130"/>
      <c r="AL31" s="125"/>
      <c r="AM31" s="143" t="s">
        <v>564</v>
      </c>
      <c r="AN31" s="130"/>
      <c r="AO31" s="130"/>
      <c r="AP31" s="130"/>
      <c r="AQ31" s="125"/>
      <c r="AR31" s="143" t="s">
        <v>1447</v>
      </c>
      <c r="AS31" s="130"/>
      <c r="AT31" s="130"/>
      <c r="AU31" s="130"/>
      <c r="AV31" s="125"/>
      <c r="AW31" s="143" t="s">
        <v>217</v>
      </c>
      <c r="AX31" s="130"/>
      <c r="AY31" s="130"/>
      <c r="AZ31" s="130"/>
      <c r="BA31" s="125"/>
      <c r="BB31" s="143" t="s">
        <v>1448</v>
      </c>
      <c r="BC31" s="130"/>
      <c r="BD31" s="130"/>
      <c r="BE31" s="130"/>
      <c r="BF31" s="125"/>
      <c r="BG31" s="143" t="s">
        <v>1449</v>
      </c>
      <c r="BH31" s="130"/>
      <c r="BI31" s="130"/>
      <c r="BJ31" s="130"/>
      <c r="BK31" s="125"/>
      <c r="BL31" s="143" t="s">
        <v>1450</v>
      </c>
      <c r="BM31" s="130"/>
      <c r="BN31" s="130"/>
      <c r="BO31" s="130"/>
      <c r="BP31" s="125"/>
      <c r="BQ31" s="143" t="s">
        <v>617</v>
      </c>
      <c r="BR31" s="130"/>
      <c r="BS31" s="130"/>
      <c r="BT31" s="130"/>
      <c r="BU31" s="125"/>
      <c r="BV31" s="143" t="s">
        <v>1451</v>
      </c>
      <c r="BW31" s="130"/>
      <c r="BX31" s="130"/>
      <c r="BY31" s="130"/>
      <c r="BZ31" s="125"/>
      <c r="CA31" s="143" t="s">
        <v>1452</v>
      </c>
      <c r="CB31" s="130"/>
      <c r="CC31" s="130"/>
      <c r="CD31" s="130"/>
      <c r="CE31" s="125"/>
      <c r="CF31" s="143" t="s">
        <v>1085</v>
      </c>
      <c r="CG31" s="130"/>
      <c r="CH31" s="130"/>
      <c r="CI31" s="130"/>
      <c r="CJ31" s="125"/>
      <c r="CK31" s="143" t="s">
        <v>1453</v>
      </c>
      <c r="CL31" s="130"/>
      <c r="CM31" s="130"/>
      <c r="CN31" s="130"/>
      <c r="CO31" s="125"/>
      <c r="CP31" s="143" t="s">
        <v>1166</v>
      </c>
      <c r="CQ31" s="130"/>
      <c r="CR31" s="130"/>
      <c r="CS31" s="130"/>
      <c r="CT31" s="125"/>
      <c r="CU31" s="143" t="s">
        <v>1454</v>
      </c>
      <c r="CV31" s="130"/>
      <c r="CW31" s="130"/>
      <c r="CX31" s="130"/>
      <c r="CY31" s="8"/>
    </row>
    <row r="32" spans="1:103" ht="30" customHeight="1">
      <c r="A32" s="8"/>
      <c r="B32" s="130"/>
      <c r="C32" s="8"/>
      <c r="D32" s="126" t="s">
        <v>407</v>
      </c>
      <c r="E32" s="126" t="s">
        <v>42</v>
      </c>
      <c r="F32" s="126" t="s">
        <v>340</v>
      </c>
      <c r="G32" s="127">
        <f>LEFT(B31,2)+0.2</f>
        <v>10.199999999999999</v>
      </c>
      <c r="H32" s="125"/>
      <c r="I32" s="126" t="s">
        <v>395</v>
      </c>
      <c r="J32" s="126" t="s">
        <v>42</v>
      </c>
      <c r="K32" s="126" t="s">
        <v>339</v>
      </c>
      <c r="L32" s="127">
        <f>G32-0.01</f>
        <v>10.19</v>
      </c>
      <c r="M32" s="125"/>
      <c r="N32" s="126" t="s">
        <v>388</v>
      </c>
      <c r="O32" s="126" t="s">
        <v>42</v>
      </c>
      <c r="P32" s="126" t="s">
        <v>339</v>
      </c>
      <c r="Q32" s="127">
        <f>L32-0.01</f>
        <v>10.18</v>
      </c>
      <c r="R32" s="125"/>
      <c r="S32" s="126" t="s">
        <v>403</v>
      </c>
      <c r="T32" s="126" t="s">
        <v>42</v>
      </c>
      <c r="U32" s="126" t="s">
        <v>342</v>
      </c>
      <c r="V32" s="127">
        <f>Q32-0.01</f>
        <v>10.17</v>
      </c>
      <c r="W32" s="125"/>
      <c r="X32" s="126" t="s">
        <v>398</v>
      </c>
      <c r="Y32" s="126" t="s">
        <v>42</v>
      </c>
      <c r="Z32" s="126" t="s">
        <v>339</v>
      </c>
      <c r="AA32" s="127">
        <f>V32-0.01</f>
        <v>10.16</v>
      </c>
      <c r="AB32" s="125"/>
      <c r="AC32" s="126" t="s">
        <v>385</v>
      </c>
      <c r="AD32" s="126" t="s">
        <v>42</v>
      </c>
      <c r="AE32" s="126" t="s">
        <v>342</v>
      </c>
      <c r="AF32" s="127">
        <f>AA32-0.01</f>
        <v>10.15</v>
      </c>
      <c r="AG32" s="125"/>
      <c r="AH32" s="126" t="s">
        <v>389</v>
      </c>
      <c r="AI32" s="126" t="s">
        <v>42</v>
      </c>
      <c r="AJ32" s="126" t="s">
        <v>337</v>
      </c>
      <c r="AK32" s="127">
        <f>AF32-0.01</f>
        <v>10.14</v>
      </c>
      <c r="AL32" s="125"/>
      <c r="AM32" s="126" t="s">
        <v>415</v>
      </c>
      <c r="AN32" s="126" t="s">
        <v>42</v>
      </c>
      <c r="AO32" s="126" t="s">
        <v>338</v>
      </c>
      <c r="AP32" s="127">
        <f>AK32-0.01</f>
        <v>10.130000000000001</v>
      </c>
      <c r="AQ32" s="125"/>
      <c r="AR32" s="126" t="s">
        <v>409</v>
      </c>
      <c r="AS32" s="126" t="s">
        <v>42</v>
      </c>
      <c r="AT32" s="126" t="s">
        <v>339</v>
      </c>
      <c r="AU32" s="127">
        <f>AP32-0.01</f>
        <v>10.120000000000001</v>
      </c>
      <c r="AV32" s="125"/>
      <c r="AW32" s="126" t="s">
        <v>408</v>
      </c>
      <c r="AX32" s="126" t="s">
        <v>42</v>
      </c>
      <c r="AY32" s="126" t="s">
        <v>337</v>
      </c>
      <c r="AZ32" s="127">
        <f>AU32-0.01</f>
        <v>10.110000000000001</v>
      </c>
      <c r="BA32" s="125"/>
      <c r="BB32" s="126" t="s">
        <v>385</v>
      </c>
      <c r="BC32" s="126" t="s">
        <v>42</v>
      </c>
      <c r="BD32" s="126" t="s">
        <v>339</v>
      </c>
      <c r="BE32" s="127">
        <f>AZ32-0.01</f>
        <v>10.100000000000001</v>
      </c>
      <c r="BF32" s="125"/>
      <c r="BG32" s="126" t="s">
        <v>407</v>
      </c>
      <c r="BH32" s="126" t="s">
        <v>42</v>
      </c>
      <c r="BI32" s="126" t="s">
        <v>339</v>
      </c>
      <c r="BJ32" s="127">
        <f>BE32-0.01</f>
        <v>10.090000000000002</v>
      </c>
      <c r="BK32" s="125"/>
      <c r="BL32" s="126" t="s">
        <v>398</v>
      </c>
      <c r="BM32" s="126" t="s">
        <v>42</v>
      </c>
      <c r="BN32" s="126" t="s">
        <v>338</v>
      </c>
      <c r="BO32" s="127">
        <f>BJ32-0.01</f>
        <v>10.080000000000002</v>
      </c>
      <c r="BP32" s="125"/>
      <c r="BQ32" s="126" t="s">
        <v>409</v>
      </c>
      <c r="BR32" s="126" t="s">
        <v>42</v>
      </c>
      <c r="BS32" s="126" t="s">
        <v>339</v>
      </c>
      <c r="BT32" s="127">
        <f>BO32-0.01</f>
        <v>10.070000000000002</v>
      </c>
      <c r="BU32" s="125"/>
      <c r="BV32" s="126" t="s">
        <v>404</v>
      </c>
      <c r="BW32" s="126" t="s">
        <v>42</v>
      </c>
      <c r="BX32" s="126" t="s">
        <v>338</v>
      </c>
      <c r="BY32" s="127">
        <f>BT32-0.01</f>
        <v>10.060000000000002</v>
      </c>
      <c r="BZ32" s="125"/>
      <c r="CA32" s="126" t="s">
        <v>402</v>
      </c>
      <c r="CB32" s="126" t="s">
        <v>42</v>
      </c>
      <c r="CC32" s="126" t="s">
        <v>339</v>
      </c>
      <c r="CD32" s="127">
        <f>BY32-0.01</f>
        <v>10.050000000000002</v>
      </c>
      <c r="CE32" s="125"/>
      <c r="CF32" s="126" t="s">
        <v>409</v>
      </c>
      <c r="CG32" s="126" t="s">
        <v>42</v>
      </c>
      <c r="CH32" s="126" t="s">
        <v>337</v>
      </c>
      <c r="CI32" s="127">
        <f>CD32-0.01</f>
        <v>10.040000000000003</v>
      </c>
      <c r="CJ32" s="125"/>
      <c r="CK32" s="126" t="s">
        <v>398</v>
      </c>
      <c r="CL32" s="126" t="s">
        <v>42</v>
      </c>
      <c r="CM32" s="126" t="s">
        <v>339</v>
      </c>
      <c r="CN32" s="127">
        <f>CI32-0.01</f>
        <v>10.030000000000003</v>
      </c>
      <c r="CO32" s="125"/>
      <c r="CP32" s="126" t="s">
        <v>404</v>
      </c>
      <c r="CQ32" s="126" t="s">
        <v>42</v>
      </c>
      <c r="CR32" s="126" t="s">
        <v>341</v>
      </c>
      <c r="CS32" s="127">
        <f>CN32-0.01</f>
        <v>10.020000000000003</v>
      </c>
      <c r="CT32" s="125"/>
      <c r="CU32" s="126" t="s">
        <v>404</v>
      </c>
      <c r="CV32" s="126" t="s">
        <v>42</v>
      </c>
      <c r="CW32" s="126" t="s">
        <v>338</v>
      </c>
      <c r="CX32" s="127">
        <f>CS32-0.01</f>
        <v>10.010000000000003</v>
      </c>
      <c r="CY32" s="8"/>
    </row>
    <row r="33" spans="1:103" ht="7.5" customHeight="1">
      <c r="A33" s="8"/>
      <c r="B33" s="11"/>
      <c r="C33" s="8"/>
      <c r="D33" s="125"/>
      <c r="E33" s="126"/>
      <c r="F33" s="125"/>
      <c r="G33" s="127"/>
      <c r="H33" s="125"/>
      <c r="I33" s="125"/>
      <c r="J33" s="126"/>
      <c r="K33" s="125"/>
      <c r="L33" s="127"/>
      <c r="M33" s="125"/>
      <c r="N33" s="125"/>
      <c r="O33" s="126"/>
      <c r="P33" s="125"/>
      <c r="Q33" s="127"/>
      <c r="R33" s="125"/>
      <c r="S33" s="125"/>
      <c r="T33" s="126"/>
      <c r="U33" s="125"/>
      <c r="V33" s="127"/>
      <c r="W33" s="125"/>
      <c r="X33" s="125"/>
      <c r="Y33" s="126"/>
      <c r="Z33" s="125"/>
      <c r="AA33" s="127"/>
      <c r="AB33" s="125"/>
      <c r="AC33" s="125"/>
      <c r="AD33" s="126"/>
      <c r="AE33" s="125"/>
      <c r="AF33" s="127"/>
      <c r="AG33" s="125"/>
      <c r="AH33" s="125"/>
      <c r="AI33" s="126"/>
      <c r="AJ33" s="125"/>
      <c r="AK33" s="127"/>
      <c r="AL33" s="125"/>
      <c r="AM33" s="125"/>
      <c r="AN33" s="126"/>
      <c r="AO33" s="125"/>
      <c r="AP33" s="127"/>
      <c r="AQ33" s="125"/>
      <c r="AR33" s="125"/>
      <c r="AS33" s="126"/>
      <c r="AT33" s="125"/>
      <c r="AU33" s="127"/>
      <c r="AV33" s="125"/>
      <c r="AW33" s="125"/>
      <c r="AX33" s="126"/>
      <c r="AY33" s="125"/>
      <c r="AZ33" s="127"/>
      <c r="BA33" s="125"/>
      <c r="BB33" s="125"/>
      <c r="BC33" s="126"/>
      <c r="BD33" s="125"/>
      <c r="BE33" s="127"/>
      <c r="BF33" s="125"/>
      <c r="BG33" s="125"/>
      <c r="BH33" s="126"/>
      <c r="BI33" s="125"/>
      <c r="BJ33" s="127"/>
      <c r="BK33" s="125"/>
      <c r="BL33" s="125"/>
      <c r="BM33" s="126"/>
      <c r="BN33" s="125"/>
      <c r="BO33" s="127"/>
      <c r="BP33" s="125"/>
      <c r="BQ33" s="125"/>
      <c r="BR33" s="126"/>
      <c r="BS33" s="125"/>
      <c r="BT33" s="127"/>
      <c r="BU33" s="125"/>
      <c r="BV33" s="125"/>
      <c r="BW33" s="126"/>
      <c r="BX33" s="125"/>
      <c r="BY33" s="127"/>
      <c r="BZ33" s="125"/>
      <c r="CA33" s="125"/>
      <c r="CB33" s="126"/>
      <c r="CC33" s="125"/>
      <c r="CD33" s="127"/>
      <c r="CE33" s="125"/>
      <c r="CF33" s="125"/>
      <c r="CG33" s="126"/>
      <c r="CH33" s="125"/>
      <c r="CI33" s="127"/>
      <c r="CJ33" s="125"/>
      <c r="CK33" s="125"/>
      <c r="CL33" s="126"/>
      <c r="CM33" s="125"/>
      <c r="CN33" s="127"/>
      <c r="CO33" s="125"/>
      <c r="CP33" s="125"/>
      <c r="CQ33" s="126"/>
      <c r="CR33" s="125"/>
      <c r="CS33" s="127"/>
      <c r="CT33" s="125"/>
      <c r="CU33" s="125"/>
      <c r="CV33" s="126"/>
      <c r="CW33" s="125"/>
      <c r="CX33" s="127"/>
      <c r="CY33" s="8"/>
    </row>
    <row r="34" spans="1:103" ht="30" customHeight="1">
      <c r="A34" s="8"/>
      <c r="B34" s="129" t="s">
        <v>232</v>
      </c>
      <c r="C34" s="8"/>
      <c r="D34" s="143" t="s">
        <v>1189</v>
      </c>
      <c r="E34" s="130"/>
      <c r="F34" s="130"/>
      <c r="G34" s="130"/>
      <c r="H34" s="125"/>
      <c r="I34" s="143" t="s">
        <v>1455</v>
      </c>
      <c r="J34" s="130"/>
      <c r="K34" s="130"/>
      <c r="L34" s="130"/>
      <c r="M34" s="125"/>
      <c r="N34" s="143" t="s">
        <v>864</v>
      </c>
      <c r="O34" s="130"/>
      <c r="P34" s="130"/>
      <c r="Q34" s="130"/>
      <c r="R34" s="125"/>
      <c r="S34" s="143" t="s">
        <v>1456</v>
      </c>
      <c r="T34" s="130"/>
      <c r="U34" s="130"/>
      <c r="V34" s="130"/>
      <c r="W34" s="125"/>
      <c r="X34" s="143" t="s">
        <v>1457</v>
      </c>
      <c r="Y34" s="130"/>
      <c r="Z34" s="130"/>
      <c r="AA34" s="130"/>
      <c r="AB34" s="125"/>
      <c r="AC34" s="143" t="s">
        <v>171</v>
      </c>
      <c r="AD34" s="130"/>
      <c r="AE34" s="130"/>
      <c r="AF34" s="130"/>
      <c r="AG34" s="125"/>
      <c r="AH34" s="143" t="s">
        <v>1458</v>
      </c>
      <c r="AI34" s="130"/>
      <c r="AJ34" s="130"/>
      <c r="AK34" s="130"/>
      <c r="AL34" s="125"/>
      <c r="AM34" s="143" t="s">
        <v>1459</v>
      </c>
      <c r="AN34" s="130"/>
      <c r="AO34" s="130"/>
      <c r="AP34" s="130"/>
      <c r="AQ34" s="125"/>
      <c r="AR34" s="143" t="s">
        <v>1460</v>
      </c>
      <c r="AS34" s="130"/>
      <c r="AT34" s="130"/>
      <c r="AU34" s="130"/>
      <c r="AV34" s="125"/>
      <c r="AW34" s="143" t="s">
        <v>1359</v>
      </c>
      <c r="AX34" s="130"/>
      <c r="AY34" s="130"/>
      <c r="AZ34" s="130"/>
      <c r="BA34" s="125"/>
      <c r="BB34" s="143" t="s">
        <v>1461</v>
      </c>
      <c r="BC34" s="130"/>
      <c r="BD34" s="130"/>
      <c r="BE34" s="130"/>
      <c r="BF34" s="125"/>
      <c r="BG34" s="143" t="s">
        <v>1131</v>
      </c>
      <c r="BH34" s="130"/>
      <c r="BI34" s="130"/>
      <c r="BJ34" s="130"/>
      <c r="BK34" s="125"/>
      <c r="BL34" s="143" t="s">
        <v>1462</v>
      </c>
      <c r="BM34" s="130"/>
      <c r="BN34" s="130"/>
      <c r="BO34" s="130"/>
      <c r="BP34" s="125"/>
      <c r="BQ34" s="143" t="s">
        <v>142</v>
      </c>
      <c r="BR34" s="130"/>
      <c r="BS34" s="130"/>
      <c r="BT34" s="130"/>
      <c r="BU34" s="125"/>
      <c r="BV34" s="143" t="s">
        <v>1463</v>
      </c>
      <c r="BW34" s="130"/>
      <c r="BX34" s="130"/>
      <c r="BY34" s="130"/>
      <c r="BZ34" s="125"/>
      <c r="CA34" s="143" t="s">
        <v>47</v>
      </c>
      <c r="CB34" s="130"/>
      <c r="CC34" s="130"/>
      <c r="CD34" s="130"/>
      <c r="CE34" s="125"/>
      <c r="CF34" s="143" t="s">
        <v>1464</v>
      </c>
      <c r="CG34" s="130"/>
      <c r="CH34" s="130"/>
      <c r="CI34" s="130"/>
      <c r="CJ34" s="125"/>
      <c r="CK34" s="143" t="s">
        <v>1465</v>
      </c>
      <c r="CL34" s="130"/>
      <c r="CM34" s="130"/>
      <c r="CN34" s="130"/>
      <c r="CO34" s="125"/>
      <c r="CP34" s="143" t="s">
        <v>1466</v>
      </c>
      <c r="CQ34" s="130"/>
      <c r="CR34" s="130"/>
      <c r="CS34" s="130"/>
      <c r="CT34" s="125"/>
      <c r="CU34" s="143" t="s">
        <v>1467</v>
      </c>
      <c r="CV34" s="130"/>
      <c r="CW34" s="130"/>
      <c r="CX34" s="130"/>
      <c r="CY34" s="8"/>
    </row>
    <row r="35" spans="1:103" ht="30" customHeight="1">
      <c r="A35" s="8"/>
      <c r="B35" s="130"/>
      <c r="C35" s="8"/>
      <c r="D35" s="126" t="s">
        <v>392</v>
      </c>
      <c r="E35" s="126" t="s">
        <v>42</v>
      </c>
      <c r="F35" s="126" t="s">
        <v>341</v>
      </c>
      <c r="G35" s="127">
        <f>LEFT(B34,2)+0.01</f>
        <v>11.01</v>
      </c>
      <c r="H35" s="125"/>
      <c r="I35" s="126" t="s">
        <v>410</v>
      </c>
      <c r="J35" s="126" t="s">
        <v>42</v>
      </c>
      <c r="K35" s="126" t="s">
        <v>338</v>
      </c>
      <c r="L35" s="127">
        <f>G35+0.01</f>
        <v>11.02</v>
      </c>
      <c r="M35" s="125"/>
      <c r="N35" s="126" t="s">
        <v>406</v>
      </c>
      <c r="O35" s="126" t="s">
        <v>42</v>
      </c>
      <c r="P35" s="126" t="s">
        <v>337</v>
      </c>
      <c r="Q35" s="127">
        <f>L35+0.01</f>
        <v>11.03</v>
      </c>
      <c r="R35" s="125"/>
      <c r="S35" s="126" t="s">
        <v>388</v>
      </c>
      <c r="T35" s="126" t="s">
        <v>42</v>
      </c>
      <c r="U35" s="126" t="s">
        <v>339</v>
      </c>
      <c r="V35" s="127">
        <f>Q35+0.01</f>
        <v>11.04</v>
      </c>
      <c r="W35" s="125"/>
      <c r="X35" s="126" t="s">
        <v>398</v>
      </c>
      <c r="Y35" s="126" t="s">
        <v>42</v>
      </c>
      <c r="Z35" s="126" t="s">
        <v>337</v>
      </c>
      <c r="AA35" s="127">
        <f>V35+0.01</f>
        <v>11.049999999999999</v>
      </c>
      <c r="AB35" s="125"/>
      <c r="AC35" s="126" t="s">
        <v>410</v>
      </c>
      <c r="AD35" s="126" t="s">
        <v>42</v>
      </c>
      <c r="AE35" s="126" t="s">
        <v>340</v>
      </c>
      <c r="AF35" s="127">
        <f>AA35+0.01</f>
        <v>11.059999999999999</v>
      </c>
      <c r="AG35" s="125"/>
      <c r="AH35" s="126" t="s">
        <v>411</v>
      </c>
      <c r="AI35" s="126" t="s">
        <v>42</v>
      </c>
      <c r="AJ35" s="126" t="s">
        <v>340</v>
      </c>
      <c r="AK35" s="127">
        <f>AF35+0.01</f>
        <v>11.069999999999999</v>
      </c>
      <c r="AL35" s="125"/>
      <c r="AM35" s="126" t="s">
        <v>408</v>
      </c>
      <c r="AN35" s="126" t="s">
        <v>42</v>
      </c>
      <c r="AO35" s="126" t="s">
        <v>339</v>
      </c>
      <c r="AP35" s="127">
        <f>AK35+0.01</f>
        <v>11.079999999999998</v>
      </c>
      <c r="AQ35" s="125"/>
      <c r="AR35" s="126" t="s">
        <v>415</v>
      </c>
      <c r="AS35" s="126" t="s">
        <v>42</v>
      </c>
      <c r="AT35" s="126" t="s">
        <v>340</v>
      </c>
      <c r="AU35" s="127">
        <f>AP35+0.01</f>
        <v>11.089999999999998</v>
      </c>
      <c r="AV35" s="125"/>
      <c r="AW35" s="126" t="s">
        <v>386</v>
      </c>
      <c r="AX35" s="126" t="s">
        <v>42</v>
      </c>
      <c r="AY35" s="126" t="s">
        <v>340</v>
      </c>
      <c r="AZ35" s="127">
        <f>AU35+0.01</f>
        <v>11.099999999999998</v>
      </c>
      <c r="BA35" s="125"/>
      <c r="BB35" s="126" t="s">
        <v>408</v>
      </c>
      <c r="BC35" s="126" t="s">
        <v>42</v>
      </c>
      <c r="BD35" s="126" t="s">
        <v>338</v>
      </c>
      <c r="BE35" s="127">
        <f>AZ35+0.01</f>
        <v>11.109999999999998</v>
      </c>
      <c r="BF35" s="125"/>
      <c r="BG35" s="126" t="s">
        <v>401</v>
      </c>
      <c r="BH35" s="126" t="s">
        <v>42</v>
      </c>
      <c r="BI35" s="126" t="s">
        <v>341</v>
      </c>
      <c r="BJ35" s="127">
        <f>BE35+0.01</f>
        <v>11.119999999999997</v>
      </c>
      <c r="BK35" s="125"/>
      <c r="BL35" s="126" t="s">
        <v>410</v>
      </c>
      <c r="BM35" s="126" t="s">
        <v>42</v>
      </c>
      <c r="BN35" s="126" t="s">
        <v>339</v>
      </c>
      <c r="BO35" s="127">
        <f>BJ35+0.01</f>
        <v>11.129999999999997</v>
      </c>
      <c r="BP35" s="125"/>
      <c r="BQ35" s="126" t="s">
        <v>395</v>
      </c>
      <c r="BR35" s="126" t="s">
        <v>42</v>
      </c>
      <c r="BS35" s="126" t="s">
        <v>337</v>
      </c>
      <c r="BT35" s="127">
        <f>BO35+0.01</f>
        <v>11.139999999999997</v>
      </c>
      <c r="BU35" s="125"/>
      <c r="BV35" s="126" t="s">
        <v>397</v>
      </c>
      <c r="BW35" s="126" t="s">
        <v>42</v>
      </c>
      <c r="BX35" s="126" t="s">
        <v>340</v>
      </c>
      <c r="BY35" s="127">
        <f>BT35+0.01</f>
        <v>11.149999999999997</v>
      </c>
      <c r="BZ35" s="125"/>
      <c r="CA35" s="126" t="s">
        <v>389</v>
      </c>
      <c r="CB35" s="126" t="s">
        <v>42</v>
      </c>
      <c r="CC35" s="126" t="s">
        <v>338</v>
      </c>
      <c r="CD35" s="127">
        <f>BY35+0.01</f>
        <v>11.159999999999997</v>
      </c>
      <c r="CE35" s="125"/>
      <c r="CF35" s="126" t="s">
        <v>399</v>
      </c>
      <c r="CG35" s="126" t="s">
        <v>42</v>
      </c>
      <c r="CH35" s="126" t="s">
        <v>338</v>
      </c>
      <c r="CI35" s="127">
        <f>CD35+0.01</f>
        <v>11.169999999999996</v>
      </c>
      <c r="CJ35" s="125"/>
      <c r="CK35" s="126" t="s">
        <v>401</v>
      </c>
      <c r="CL35" s="126" t="s">
        <v>42</v>
      </c>
      <c r="CM35" s="126" t="s">
        <v>338</v>
      </c>
      <c r="CN35" s="127">
        <f>CI35+0.01</f>
        <v>11.179999999999996</v>
      </c>
      <c r="CO35" s="125"/>
      <c r="CP35" s="126" t="s">
        <v>396</v>
      </c>
      <c r="CQ35" s="126" t="s">
        <v>42</v>
      </c>
      <c r="CR35" s="126" t="s">
        <v>339</v>
      </c>
      <c r="CS35" s="127">
        <f>CN35+0.01</f>
        <v>11.189999999999996</v>
      </c>
      <c r="CT35" s="125"/>
      <c r="CU35" s="126" t="s">
        <v>410</v>
      </c>
      <c r="CV35" s="126" t="s">
        <v>42</v>
      </c>
      <c r="CW35" s="126" t="s">
        <v>339</v>
      </c>
      <c r="CX35" s="127">
        <f>CS35+0.01</f>
        <v>11.199999999999996</v>
      </c>
      <c r="CY35" s="8"/>
    </row>
    <row r="36" spans="1:103" ht="7.5" customHeight="1">
      <c r="A36" s="8"/>
      <c r="B36" s="11"/>
      <c r="C36" s="8"/>
      <c r="D36" s="126"/>
      <c r="E36" s="126"/>
      <c r="F36" s="126"/>
      <c r="G36" s="127"/>
      <c r="H36" s="125"/>
      <c r="I36" s="126"/>
      <c r="J36" s="126"/>
      <c r="K36" s="126"/>
      <c r="L36" s="127"/>
      <c r="M36" s="125"/>
      <c r="N36" s="126"/>
      <c r="O36" s="126"/>
      <c r="P36" s="126"/>
      <c r="Q36" s="127"/>
      <c r="R36" s="125"/>
      <c r="S36" s="126"/>
      <c r="T36" s="126"/>
      <c r="U36" s="126"/>
      <c r="V36" s="127"/>
      <c r="W36" s="125"/>
      <c r="X36" s="126"/>
      <c r="Y36" s="126"/>
      <c r="Z36" s="126"/>
      <c r="AA36" s="127"/>
      <c r="AB36" s="125"/>
      <c r="AC36" s="126"/>
      <c r="AD36" s="126"/>
      <c r="AE36" s="126"/>
      <c r="AF36" s="127"/>
      <c r="AG36" s="125"/>
      <c r="AH36" s="126"/>
      <c r="AI36" s="126"/>
      <c r="AJ36" s="126"/>
      <c r="AK36" s="127"/>
      <c r="AL36" s="125"/>
      <c r="AM36" s="126"/>
      <c r="AN36" s="126"/>
      <c r="AO36" s="126"/>
      <c r="AP36" s="127"/>
      <c r="AQ36" s="125"/>
      <c r="AR36" s="126"/>
      <c r="AS36" s="126"/>
      <c r="AT36" s="126"/>
      <c r="AU36" s="127"/>
      <c r="AV36" s="125"/>
      <c r="AW36" s="126"/>
      <c r="AX36" s="126"/>
      <c r="AY36" s="126"/>
      <c r="AZ36" s="127"/>
      <c r="BA36" s="125"/>
      <c r="BB36" s="126"/>
      <c r="BC36" s="126"/>
      <c r="BD36" s="126"/>
      <c r="BE36" s="127"/>
      <c r="BF36" s="125"/>
      <c r="BG36" s="126"/>
      <c r="BH36" s="126"/>
      <c r="BI36" s="126"/>
      <c r="BJ36" s="127"/>
      <c r="BK36" s="125"/>
      <c r="BL36" s="126"/>
      <c r="BM36" s="126"/>
      <c r="BN36" s="126"/>
      <c r="BO36" s="127"/>
      <c r="BP36" s="125"/>
      <c r="BQ36" s="126"/>
      <c r="BR36" s="126"/>
      <c r="BS36" s="126"/>
      <c r="BT36" s="127"/>
      <c r="BU36" s="125"/>
      <c r="BV36" s="126"/>
      <c r="BW36" s="126"/>
      <c r="BX36" s="126"/>
      <c r="BY36" s="127"/>
      <c r="BZ36" s="125"/>
      <c r="CA36" s="126"/>
      <c r="CB36" s="126"/>
      <c r="CC36" s="126"/>
      <c r="CD36" s="127"/>
      <c r="CE36" s="125"/>
      <c r="CF36" s="126"/>
      <c r="CG36" s="126"/>
      <c r="CH36" s="126"/>
      <c r="CI36" s="127"/>
      <c r="CJ36" s="125"/>
      <c r="CK36" s="126"/>
      <c r="CL36" s="126"/>
      <c r="CM36" s="126"/>
      <c r="CN36" s="127"/>
      <c r="CO36" s="125"/>
      <c r="CP36" s="126"/>
      <c r="CQ36" s="126"/>
      <c r="CR36" s="126"/>
      <c r="CS36" s="127"/>
      <c r="CT36" s="125"/>
      <c r="CU36" s="126"/>
      <c r="CV36" s="126"/>
      <c r="CW36" s="126"/>
      <c r="CX36" s="127"/>
      <c r="CY36" s="8"/>
    </row>
    <row r="37" spans="1:103" ht="30" customHeight="1">
      <c r="A37" s="8"/>
      <c r="B37" s="129" t="s">
        <v>253</v>
      </c>
      <c r="C37" s="8"/>
      <c r="D37" s="143" t="s">
        <v>1468</v>
      </c>
      <c r="E37" s="130"/>
      <c r="F37" s="130"/>
      <c r="G37" s="130"/>
      <c r="H37" s="125"/>
      <c r="I37" s="143" t="s">
        <v>141</v>
      </c>
      <c r="J37" s="130"/>
      <c r="K37" s="130"/>
      <c r="L37" s="130"/>
      <c r="M37" s="125"/>
      <c r="N37" s="143" t="s">
        <v>1469</v>
      </c>
      <c r="O37" s="130"/>
      <c r="P37" s="130"/>
      <c r="Q37" s="130"/>
      <c r="R37" s="125"/>
      <c r="S37" s="143" t="s">
        <v>1470</v>
      </c>
      <c r="T37" s="130"/>
      <c r="U37" s="130"/>
      <c r="V37" s="130"/>
      <c r="W37" s="125"/>
      <c r="X37" s="143" t="s">
        <v>1471</v>
      </c>
      <c r="Y37" s="130"/>
      <c r="Z37" s="130"/>
      <c r="AA37" s="130"/>
      <c r="AB37" s="125"/>
      <c r="AC37" s="143" t="s">
        <v>157</v>
      </c>
      <c r="AD37" s="130"/>
      <c r="AE37" s="130"/>
      <c r="AF37" s="130"/>
      <c r="AG37" s="125"/>
      <c r="AH37" s="143" t="s">
        <v>1472</v>
      </c>
      <c r="AI37" s="130"/>
      <c r="AJ37" s="130"/>
      <c r="AK37" s="130"/>
      <c r="AL37" s="125"/>
      <c r="AM37" s="143" t="s">
        <v>1000</v>
      </c>
      <c r="AN37" s="130"/>
      <c r="AO37" s="130"/>
      <c r="AP37" s="130"/>
      <c r="AQ37" s="125"/>
      <c r="AR37" s="143" t="s">
        <v>1181</v>
      </c>
      <c r="AS37" s="130"/>
      <c r="AT37" s="130"/>
      <c r="AU37" s="130"/>
      <c r="AV37" s="125"/>
      <c r="AW37" s="143" t="s">
        <v>637</v>
      </c>
      <c r="AX37" s="130"/>
      <c r="AY37" s="130"/>
      <c r="AZ37" s="130"/>
      <c r="BA37" s="125"/>
      <c r="BB37" s="143" t="s">
        <v>1063</v>
      </c>
      <c r="BC37" s="130"/>
      <c r="BD37" s="130"/>
      <c r="BE37" s="130"/>
      <c r="BF37" s="125"/>
      <c r="BG37" s="143" t="s">
        <v>1473</v>
      </c>
      <c r="BH37" s="130"/>
      <c r="BI37" s="130"/>
      <c r="BJ37" s="130"/>
      <c r="BK37" s="125"/>
      <c r="BL37" s="143" t="s">
        <v>1474</v>
      </c>
      <c r="BM37" s="130"/>
      <c r="BN37" s="130"/>
      <c r="BO37" s="130"/>
      <c r="BP37" s="125"/>
      <c r="BQ37" s="143" t="s">
        <v>1475</v>
      </c>
      <c r="BR37" s="130"/>
      <c r="BS37" s="130"/>
      <c r="BT37" s="130"/>
      <c r="BU37" s="125"/>
      <c r="BV37" s="143" t="s">
        <v>1476</v>
      </c>
      <c r="BW37" s="130"/>
      <c r="BX37" s="130"/>
      <c r="BY37" s="130"/>
      <c r="BZ37" s="125"/>
      <c r="CA37" s="143" t="s">
        <v>579</v>
      </c>
      <c r="CB37" s="130"/>
      <c r="CC37" s="130"/>
      <c r="CD37" s="130"/>
      <c r="CE37" s="125"/>
      <c r="CF37" s="143" t="s">
        <v>236</v>
      </c>
      <c r="CG37" s="130"/>
      <c r="CH37" s="130"/>
      <c r="CI37" s="130"/>
      <c r="CJ37" s="125"/>
      <c r="CK37" s="143" t="s">
        <v>569</v>
      </c>
      <c r="CL37" s="130"/>
      <c r="CM37" s="130"/>
      <c r="CN37" s="130"/>
      <c r="CO37" s="125"/>
      <c r="CP37" s="143" t="s">
        <v>1477</v>
      </c>
      <c r="CQ37" s="130"/>
      <c r="CR37" s="130"/>
      <c r="CS37" s="130"/>
      <c r="CT37" s="125"/>
      <c r="CU37" s="143" t="s">
        <v>1478</v>
      </c>
      <c r="CV37" s="130"/>
      <c r="CW37" s="130"/>
      <c r="CX37" s="130"/>
      <c r="CY37" s="8"/>
    </row>
    <row r="38" spans="1:103" ht="30" customHeight="1">
      <c r="A38" s="8"/>
      <c r="B38" s="130"/>
      <c r="C38" s="8"/>
      <c r="D38" s="126" t="s">
        <v>401</v>
      </c>
      <c r="E38" s="126" t="s">
        <v>42</v>
      </c>
      <c r="F38" s="126" t="s">
        <v>338</v>
      </c>
      <c r="G38" s="127">
        <f>LEFT(B37,2)+0.2</f>
        <v>12.2</v>
      </c>
      <c r="H38" s="125"/>
      <c r="I38" s="126" t="s">
        <v>385</v>
      </c>
      <c r="J38" s="126" t="s">
        <v>42</v>
      </c>
      <c r="K38" s="126" t="s">
        <v>339</v>
      </c>
      <c r="L38" s="127">
        <f>G38-0.01</f>
        <v>12.19</v>
      </c>
      <c r="M38" s="125"/>
      <c r="N38" s="126" t="s">
        <v>412</v>
      </c>
      <c r="O38" s="126" t="s">
        <v>42</v>
      </c>
      <c r="P38" s="126" t="s">
        <v>338</v>
      </c>
      <c r="Q38" s="127">
        <f>L38-0.01</f>
        <v>12.18</v>
      </c>
      <c r="R38" s="125"/>
      <c r="S38" s="126" t="s">
        <v>390</v>
      </c>
      <c r="T38" s="126" t="s">
        <v>42</v>
      </c>
      <c r="U38" s="126" t="s">
        <v>340</v>
      </c>
      <c r="V38" s="127">
        <f>Q38-0.01</f>
        <v>12.17</v>
      </c>
      <c r="W38" s="125"/>
      <c r="X38" s="126" t="s">
        <v>389</v>
      </c>
      <c r="Y38" s="126" t="s">
        <v>42</v>
      </c>
      <c r="Z38" s="126" t="s">
        <v>340</v>
      </c>
      <c r="AA38" s="127">
        <f>V38-0.01</f>
        <v>12.16</v>
      </c>
      <c r="AB38" s="125"/>
      <c r="AC38" s="126" t="s">
        <v>387</v>
      </c>
      <c r="AD38" s="126" t="s">
        <v>42</v>
      </c>
      <c r="AE38" s="126" t="s">
        <v>339</v>
      </c>
      <c r="AF38" s="127">
        <f>AA38-0.01</f>
        <v>12.15</v>
      </c>
      <c r="AG38" s="125"/>
      <c r="AH38" s="126" t="s">
        <v>406</v>
      </c>
      <c r="AI38" s="126" t="s">
        <v>42</v>
      </c>
      <c r="AJ38" s="126" t="s">
        <v>338</v>
      </c>
      <c r="AK38" s="127">
        <f>AF38-0.01</f>
        <v>12.14</v>
      </c>
      <c r="AL38" s="125"/>
      <c r="AM38" s="126" t="s">
        <v>407</v>
      </c>
      <c r="AN38" s="126" t="s">
        <v>42</v>
      </c>
      <c r="AO38" s="126" t="s">
        <v>337</v>
      </c>
      <c r="AP38" s="127">
        <f>AK38-0.01</f>
        <v>12.13</v>
      </c>
      <c r="AQ38" s="125"/>
      <c r="AR38" s="126" t="s">
        <v>390</v>
      </c>
      <c r="AS38" s="126" t="s">
        <v>42</v>
      </c>
      <c r="AT38" s="126" t="s">
        <v>341</v>
      </c>
      <c r="AU38" s="127">
        <f>AP38-0.01</f>
        <v>12.120000000000001</v>
      </c>
      <c r="AV38" s="125"/>
      <c r="AW38" s="126" t="s">
        <v>408</v>
      </c>
      <c r="AX38" s="126" t="s">
        <v>42</v>
      </c>
      <c r="AY38" s="126" t="s">
        <v>342</v>
      </c>
      <c r="AZ38" s="127">
        <f>AU38-0.01</f>
        <v>12.110000000000001</v>
      </c>
      <c r="BA38" s="125"/>
      <c r="BB38" s="126" t="s">
        <v>397</v>
      </c>
      <c r="BC38" s="126" t="s">
        <v>42</v>
      </c>
      <c r="BD38" s="126" t="s">
        <v>337</v>
      </c>
      <c r="BE38" s="127">
        <f>AZ38-0.01</f>
        <v>12.100000000000001</v>
      </c>
      <c r="BF38" s="125"/>
      <c r="BG38" s="126" t="s">
        <v>394</v>
      </c>
      <c r="BH38" s="126" t="s">
        <v>42</v>
      </c>
      <c r="BI38" s="126" t="s">
        <v>337</v>
      </c>
      <c r="BJ38" s="127">
        <f>BE38-0.01</f>
        <v>12.090000000000002</v>
      </c>
      <c r="BK38" s="125"/>
      <c r="BL38" s="126" t="s">
        <v>414</v>
      </c>
      <c r="BM38" s="126" t="s">
        <v>42</v>
      </c>
      <c r="BN38" s="126" t="s">
        <v>340</v>
      </c>
      <c r="BO38" s="127">
        <f>BJ38-0.01</f>
        <v>12.080000000000002</v>
      </c>
      <c r="BP38" s="125"/>
      <c r="BQ38" s="126" t="s">
        <v>386</v>
      </c>
      <c r="BR38" s="126" t="s">
        <v>42</v>
      </c>
      <c r="BS38" s="126" t="s">
        <v>338</v>
      </c>
      <c r="BT38" s="127">
        <f>BO38-0.01</f>
        <v>12.070000000000002</v>
      </c>
      <c r="BU38" s="125"/>
      <c r="BV38" s="126" t="s">
        <v>385</v>
      </c>
      <c r="BW38" s="126" t="s">
        <v>42</v>
      </c>
      <c r="BX38" s="126" t="s">
        <v>339</v>
      </c>
      <c r="BY38" s="127">
        <f>BT38-0.01</f>
        <v>12.060000000000002</v>
      </c>
      <c r="BZ38" s="125"/>
      <c r="CA38" s="126" t="s">
        <v>397</v>
      </c>
      <c r="CB38" s="126" t="s">
        <v>42</v>
      </c>
      <c r="CC38" s="126" t="s">
        <v>337</v>
      </c>
      <c r="CD38" s="127">
        <f>BY38-0.01</f>
        <v>12.050000000000002</v>
      </c>
      <c r="CE38" s="125"/>
      <c r="CF38" s="126" t="s">
        <v>411</v>
      </c>
      <c r="CG38" s="126" t="s">
        <v>42</v>
      </c>
      <c r="CH38" s="126" t="s">
        <v>340</v>
      </c>
      <c r="CI38" s="127">
        <f>CD38-0.01</f>
        <v>12.040000000000003</v>
      </c>
      <c r="CJ38" s="125"/>
      <c r="CK38" s="126" t="s">
        <v>388</v>
      </c>
      <c r="CL38" s="126" t="s">
        <v>42</v>
      </c>
      <c r="CM38" s="126" t="s">
        <v>340</v>
      </c>
      <c r="CN38" s="127">
        <f>CI38-0.01</f>
        <v>12.030000000000003</v>
      </c>
      <c r="CO38" s="125"/>
      <c r="CP38" s="126" t="s">
        <v>395</v>
      </c>
      <c r="CQ38" s="126" t="s">
        <v>42</v>
      </c>
      <c r="CR38" s="126" t="s">
        <v>339</v>
      </c>
      <c r="CS38" s="127">
        <f>CN38-0.01</f>
        <v>12.020000000000003</v>
      </c>
      <c r="CT38" s="125"/>
      <c r="CU38" s="126" t="s">
        <v>406</v>
      </c>
      <c r="CV38" s="126" t="s">
        <v>42</v>
      </c>
      <c r="CW38" s="126" t="s">
        <v>337</v>
      </c>
      <c r="CX38" s="127">
        <f>CS38-0.01</f>
        <v>12.010000000000003</v>
      </c>
      <c r="CY38" s="8"/>
    </row>
    <row r="39" spans="1:103" ht="7.5" customHeight="1">
      <c r="A39" s="8"/>
      <c r="B39" s="11"/>
      <c r="C39" s="8"/>
      <c r="D39" s="125"/>
      <c r="E39" s="126"/>
      <c r="F39" s="125"/>
      <c r="G39" s="127"/>
      <c r="H39" s="125"/>
      <c r="I39" s="125"/>
      <c r="J39" s="126"/>
      <c r="K39" s="125"/>
      <c r="L39" s="127"/>
      <c r="M39" s="125"/>
      <c r="N39" s="125"/>
      <c r="O39" s="126"/>
      <c r="P39" s="125"/>
      <c r="Q39" s="127"/>
      <c r="R39" s="125"/>
      <c r="S39" s="125"/>
      <c r="T39" s="126"/>
      <c r="U39" s="125"/>
      <c r="V39" s="127"/>
      <c r="W39" s="125"/>
      <c r="X39" s="125"/>
      <c r="Y39" s="126"/>
      <c r="Z39" s="125"/>
      <c r="AA39" s="127"/>
      <c r="AB39" s="125"/>
      <c r="AC39" s="125"/>
      <c r="AD39" s="126"/>
      <c r="AE39" s="125"/>
      <c r="AF39" s="127"/>
      <c r="AG39" s="125"/>
      <c r="AH39" s="125"/>
      <c r="AI39" s="126"/>
      <c r="AJ39" s="125"/>
      <c r="AK39" s="127"/>
      <c r="AL39" s="125"/>
      <c r="AM39" s="125"/>
      <c r="AN39" s="126"/>
      <c r="AO39" s="125"/>
      <c r="AP39" s="127"/>
      <c r="AQ39" s="125"/>
      <c r="AR39" s="125"/>
      <c r="AS39" s="126"/>
      <c r="AT39" s="125"/>
      <c r="AU39" s="127"/>
      <c r="AV39" s="125"/>
      <c r="AW39" s="125"/>
      <c r="AX39" s="126"/>
      <c r="AY39" s="125"/>
      <c r="AZ39" s="127"/>
      <c r="BA39" s="125"/>
      <c r="BB39" s="125"/>
      <c r="BC39" s="126"/>
      <c r="BD39" s="125"/>
      <c r="BE39" s="127"/>
      <c r="BF39" s="125"/>
      <c r="BG39" s="125"/>
      <c r="BH39" s="126"/>
      <c r="BI39" s="125"/>
      <c r="BJ39" s="127"/>
      <c r="BK39" s="125"/>
      <c r="BL39" s="125"/>
      <c r="BM39" s="126"/>
      <c r="BN39" s="125"/>
      <c r="BO39" s="127"/>
      <c r="BP39" s="125"/>
      <c r="BQ39" s="125"/>
      <c r="BR39" s="126"/>
      <c r="BS39" s="125"/>
      <c r="BT39" s="127"/>
      <c r="BU39" s="125"/>
      <c r="BV39" s="125"/>
      <c r="BW39" s="126"/>
      <c r="BX39" s="125"/>
      <c r="BY39" s="127"/>
      <c r="BZ39" s="125"/>
      <c r="CA39" s="125"/>
      <c r="CB39" s="126"/>
      <c r="CC39" s="125"/>
      <c r="CD39" s="127"/>
      <c r="CE39" s="125"/>
      <c r="CF39" s="125"/>
      <c r="CG39" s="126"/>
      <c r="CH39" s="125"/>
      <c r="CI39" s="127"/>
      <c r="CJ39" s="125"/>
      <c r="CK39" s="125"/>
      <c r="CL39" s="126"/>
      <c r="CM39" s="125"/>
      <c r="CN39" s="127"/>
      <c r="CO39" s="125"/>
      <c r="CP39" s="125"/>
      <c r="CQ39" s="126"/>
      <c r="CR39" s="125"/>
      <c r="CS39" s="127"/>
      <c r="CT39" s="125"/>
      <c r="CU39" s="125"/>
      <c r="CV39" s="126"/>
      <c r="CW39" s="125"/>
      <c r="CX39" s="127"/>
      <c r="CY39" s="8"/>
    </row>
    <row r="40" spans="1:103" ht="30" customHeight="1">
      <c r="A40" s="8"/>
      <c r="B40" s="129" t="s">
        <v>274</v>
      </c>
      <c r="C40" s="8"/>
      <c r="D40" s="143" t="s">
        <v>1104</v>
      </c>
      <c r="E40" s="130"/>
      <c r="F40" s="130"/>
      <c r="G40" s="130"/>
      <c r="H40" s="125"/>
      <c r="I40" s="143" t="s">
        <v>446</v>
      </c>
      <c r="J40" s="130"/>
      <c r="K40" s="130"/>
      <c r="L40" s="130"/>
      <c r="M40" s="125"/>
      <c r="N40" s="143" t="s">
        <v>1168</v>
      </c>
      <c r="O40" s="130"/>
      <c r="P40" s="130"/>
      <c r="Q40" s="130"/>
      <c r="R40" s="125"/>
      <c r="S40" s="143" t="s">
        <v>1479</v>
      </c>
      <c r="T40" s="130"/>
      <c r="U40" s="130"/>
      <c r="V40" s="130"/>
      <c r="W40" s="125"/>
      <c r="X40" s="143" t="s">
        <v>332</v>
      </c>
      <c r="Y40" s="130"/>
      <c r="Z40" s="130"/>
      <c r="AA40" s="130"/>
      <c r="AB40" s="125"/>
      <c r="AC40" s="143" t="s">
        <v>1480</v>
      </c>
      <c r="AD40" s="130"/>
      <c r="AE40" s="130"/>
      <c r="AF40" s="130"/>
      <c r="AG40" s="125"/>
      <c r="AH40" s="143" t="s">
        <v>300</v>
      </c>
      <c r="AI40" s="130"/>
      <c r="AJ40" s="130"/>
      <c r="AK40" s="130"/>
      <c r="AL40" s="125"/>
      <c r="AM40" s="143" t="s">
        <v>1481</v>
      </c>
      <c r="AN40" s="130"/>
      <c r="AO40" s="130"/>
      <c r="AP40" s="130"/>
      <c r="AQ40" s="125"/>
      <c r="AR40" s="143" t="s">
        <v>1482</v>
      </c>
      <c r="AS40" s="130"/>
      <c r="AT40" s="130"/>
      <c r="AU40" s="130"/>
      <c r="AV40" s="125"/>
      <c r="AW40" s="143" t="s">
        <v>1483</v>
      </c>
      <c r="AX40" s="130"/>
      <c r="AY40" s="130"/>
      <c r="AZ40" s="130"/>
      <c r="BA40" s="125"/>
      <c r="BB40" s="143" t="s">
        <v>1303</v>
      </c>
      <c r="BC40" s="130"/>
      <c r="BD40" s="130"/>
      <c r="BE40" s="130"/>
      <c r="BF40" s="125"/>
      <c r="BG40" s="143" t="s">
        <v>1484</v>
      </c>
      <c r="BH40" s="130"/>
      <c r="BI40" s="130"/>
      <c r="BJ40" s="130"/>
      <c r="BK40" s="125"/>
      <c r="BL40" s="143" t="s">
        <v>1485</v>
      </c>
      <c r="BM40" s="130"/>
      <c r="BN40" s="130"/>
      <c r="BO40" s="130"/>
      <c r="BP40" s="125"/>
      <c r="BQ40" s="143" t="s">
        <v>1129</v>
      </c>
      <c r="BR40" s="130"/>
      <c r="BS40" s="130"/>
      <c r="BT40" s="130"/>
      <c r="BU40" s="125"/>
      <c r="BV40" s="143" t="s">
        <v>1115</v>
      </c>
      <c r="BW40" s="130"/>
      <c r="BX40" s="130"/>
      <c r="BY40" s="130"/>
      <c r="BZ40" s="125"/>
      <c r="CA40" s="143" t="s">
        <v>1138</v>
      </c>
      <c r="CB40" s="130"/>
      <c r="CC40" s="130"/>
      <c r="CD40" s="130"/>
      <c r="CE40" s="125"/>
      <c r="CF40" s="143" t="s">
        <v>1141</v>
      </c>
      <c r="CG40" s="130"/>
      <c r="CH40" s="130"/>
      <c r="CI40" s="130"/>
      <c r="CJ40" s="125"/>
      <c r="CK40" s="143" t="s">
        <v>1486</v>
      </c>
      <c r="CL40" s="130"/>
      <c r="CM40" s="130"/>
      <c r="CN40" s="130"/>
      <c r="CO40" s="125"/>
      <c r="CP40" s="143" t="s">
        <v>1487</v>
      </c>
      <c r="CQ40" s="130"/>
      <c r="CR40" s="130"/>
      <c r="CS40" s="130"/>
      <c r="CT40" s="125"/>
      <c r="CU40" s="143" t="s">
        <v>1488</v>
      </c>
      <c r="CV40" s="130"/>
      <c r="CW40" s="130"/>
      <c r="CX40" s="130"/>
      <c r="CY40" s="8"/>
    </row>
    <row r="41" spans="1:103" ht="30" customHeight="1">
      <c r="A41" s="8"/>
      <c r="B41" s="130"/>
      <c r="C41" s="8"/>
      <c r="D41" s="126" t="s">
        <v>407</v>
      </c>
      <c r="E41" s="126" t="s">
        <v>42</v>
      </c>
      <c r="F41" s="126" t="s">
        <v>342</v>
      </c>
      <c r="G41" s="127">
        <f>LEFT(B40,2)+0.01</f>
        <v>13.01</v>
      </c>
      <c r="H41" s="125"/>
      <c r="I41" s="126" t="s">
        <v>390</v>
      </c>
      <c r="J41" s="126" t="s">
        <v>42</v>
      </c>
      <c r="K41" s="126" t="s">
        <v>337</v>
      </c>
      <c r="L41" s="127">
        <f>G41+0.01</f>
        <v>13.02</v>
      </c>
      <c r="M41" s="125"/>
      <c r="N41" s="126" t="s">
        <v>405</v>
      </c>
      <c r="O41" s="126" t="s">
        <v>42</v>
      </c>
      <c r="P41" s="126" t="s">
        <v>341</v>
      </c>
      <c r="Q41" s="127">
        <f>L41+0.01</f>
        <v>13.03</v>
      </c>
      <c r="R41" s="125"/>
      <c r="S41" s="126"/>
      <c r="T41" s="126" t="s">
        <v>42</v>
      </c>
      <c r="U41" s="126" t="s">
        <v>338</v>
      </c>
      <c r="V41" s="127">
        <f>Q41+0.01</f>
        <v>13.04</v>
      </c>
      <c r="W41" s="125"/>
      <c r="X41" s="126" t="s">
        <v>409</v>
      </c>
      <c r="Y41" s="126" t="s">
        <v>42</v>
      </c>
      <c r="Z41" s="126" t="s">
        <v>338</v>
      </c>
      <c r="AA41" s="127">
        <f>V41+0.01</f>
        <v>13.049999999999999</v>
      </c>
      <c r="AB41" s="125"/>
      <c r="AC41" s="126" t="s">
        <v>400</v>
      </c>
      <c r="AD41" s="126" t="s">
        <v>42</v>
      </c>
      <c r="AE41" s="126" t="s">
        <v>338</v>
      </c>
      <c r="AF41" s="127">
        <f>AA41+0.01</f>
        <v>13.059999999999999</v>
      </c>
      <c r="AG41" s="125"/>
      <c r="AH41" s="126" t="s">
        <v>388</v>
      </c>
      <c r="AI41" s="126" t="s">
        <v>42</v>
      </c>
      <c r="AJ41" s="126" t="s">
        <v>342</v>
      </c>
      <c r="AK41" s="127">
        <f>AF41+0.01</f>
        <v>13.069999999999999</v>
      </c>
      <c r="AL41" s="125"/>
      <c r="AM41" s="126" t="s">
        <v>411</v>
      </c>
      <c r="AN41" s="126" t="s">
        <v>42</v>
      </c>
      <c r="AO41" s="126" t="s">
        <v>338</v>
      </c>
      <c r="AP41" s="127">
        <f>AK41+0.01</f>
        <v>13.079999999999998</v>
      </c>
      <c r="AQ41" s="125"/>
      <c r="AR41" s="126" t="s">
        <v>410</v>
      </c>
      <c r="AS41" s="126" t="s">
        <v>42</v>
      </c>
      <c r="AT41" s="126" t="s">
        <v>337</v>
      </c>
      <c r="AU41" s="127">
        <f>AP41+0.01</f>
        <v>13.089999999999998</v>
      </c>
      <c r="AV41" s="125"/>
      <c r="AW41" s="126" t="s">
        <v>403</v>
      </c>
      <c r="AX41" s="126" t="s">
        <v>42</v>
      </c>
      <c r="AY41" s="126" t="s">
        <v>339</v>
      </c>
      <c r="AZ41" s="127">
        <f>AU41+0.01</f>
        <v>13.099999999999998</v>
      </c>
      <c r="BA41" s="125"/>
      <c r="BB41" s="126" t="s">
        <v>398</v>
      </c>
      <c r="BC41" s="126" t="s">
        <v>42</v>
      </c>
      <c r="BD41" s="126" t="s">
        <v>342</v>
      </c>
      <c r="BE41" s="127">
        <f>AZ41+0.01</f>
        <v>13.109999999999998</v>
      </c>
      <c r="BF41" s="125"/>
      <c r="BG41" s="126" t="s">
        <v>396</v>
      </c>
      <c r="BH41" s="126" t="s">
        <v>42</v>
      </c>
      <c r="BI41" s="126" t="s">
        <v>339</v>
      </c>
      <c r="BJ41" s="127">
        <f>BE41+0.01</f>
        <v>13.119999999999997</v>
      </c>
      <c r="BK41" s="125"/>
      <c r="BL41" s="126" t="s">
        <v>413</v>
      </c>
      <c r="BM41" s="126" t="s">
        <v>42</v>
      </c>
      <c r="BN41" s="126" t="s">
        <v>338</v>
      </c>
      <c r="BO41" s="127">
        <f>BJ41+0.01</f>
        <v>13.129999999999997</v>
      </c>
      <c r="BP41" s="125"/>
      <c r="BQ41" s="126" t="s">
        <v>385</v>
      </c>
      <c r="BR41" s="126" t="s">
        <v>42</v>
      </c>
      <c r="BS41" s="126" t="s">
        <v>341</v>
      </c>
      <c r="BT41" s="127">
        <f>BO41+0.01</f>
        <v>13.139999999999997</v>
      </c>
      <c r="BU41" s="125"/>
      <c r="BV41" s="126" t="s">
        <v>410</v>
      </c>
      <c r="BW41" s="126" t="s">
        <v>42</v>
      </c>
      <c r="BX41" s="126" t="s">
        <v>341</v>
      </c>
      <c r="BY41" s="127">
        <f>BT41+0.01</f>
        <v>13.149999999999997</v>
      </c>
      <c r="BZ41" s="125"/>
      <c r="CA41" s="126" t="s">
        <v>412</v>
      </c>
      <c r="CB41" s="126" t="s">
        <v>42</v>
      </c>
      <c r="CC41" s="126" t="s">
        <v>341</v>
      </c>
      <c r="CD41" s="127">
        <f>BY41+0.01</f>
        <v>13.159999999999997</v>
      </c>
      <c r="CE41" s="125"/>
      <c r="CF41" s="126" t="s">
        <v>396</v>
      </c>
      <c r="CG41" s="126" t="s">
        <v>42</v>
      </c>
      <c r="CH41" s="126" t="s">
        <v>341</v>
      </c>
      <c r="CI41" s="127">
        <f>CD41+0.01</f>
        <v>13.169999999999996</v>
      </c>
      <c r="CJ41" s="125"/>
      <c r="CK41" s="126" t="s">
        <v>398</v>
      </c>
      <c r="CL41" s="126" t="s">
        <v>42</v>
      </c>
      <c r="CM41" s="126" t="s">
        <v>339</v>
      </c>
      <c r="CN41" s="127">
        <f>CI41+0.01</f>
        <v>13.179999999999996</v>
      </c>
      <c r="CO41" s="125"/>
      <c r="CP41" s="126" t="s">
        <v>398</v>
      </c>
      <c r="CQ41" s="126" t="s">
        <v>42</v>
      </c>
      <c r="CR41" s="126" t="s">
        <v>340</v>
      </c>
      <c r="CS41" s="127">
        <f>CN41+0.01</f>
        <v>13.189999999999996</v>
      </c>
      <c r="CT41" s="125"/>
      <c r="CU41" s="126" t="s">
        <v>409</v>
      </c>
      <c r="CV41" s="126" t="s">
        <v>42</v>
      </c>
      <c r="CW41" s="126" t="s">
        <v>340</v>
      </c>
      <c r="CX41" s="127">
        <f>CS41+0.01</f>
        <v>13.199999999999996</v>
      </c>
      <c r="CY41" s="8"/>
    </row>
    <row r="42" spans="1:103" ht="7.5" customHeight="1">
      <c r="A42" s="8"/>
      <c r="B42" s="11"/>
      <c r="C42" s="8"/>
      <c r="D42" s="126"/>
      <c r="E42" s="126"/>
      <c r="F42" s="126"/>
      <c r="G42" s="127"/>
      <c r="H42" s="125"/>
      <c r="I42" s="126"/>
      <c r="J42" s="126"/>
      <c r="K42" s="126"/>
      <c r="L42" s="127"/>
      <c r="M42" s="125"/>
      <c r="N42" s="126"/>
      <c r="O42" s="126"/>
      <c r="P42" s="126"/>
      <c r="Q42" s="127"/>
      <c r="R42" s="125"/>
      <c r="S42" s="126"/>
      <c r="T42" s="126"/>
      <c r="U42" s="126"/>
      <c r="V42" s="127"/>
      <c r="W42" s="125"/>
      <c r="X42" s="126"/>
      <c r="Y42" s="126"/>
      <c r="Z42" s="126"/>
      <c r="AA42" s="127"/>
      <c r="AB42" s="125"/>
      <c r="AC42" s="126"/>
      <c r="AD42" s="126"/>
      <c r="AE42" s="126"/>
      <c r="AF42" s="127"/>
      <c r="AG42" s="125"/>
      <c r="AH42" s="126"/>
      <c r="AI42" s="126"/>
      <c r="AJ42" s="126"/>
      <c r="AK42" s="127"/>
      <c r="AL42" s="125"/>
      <c r="AM42" s="126"/>
      <c r="AN42" s="126"/>
      <c r="AO42" s="126"/>
      <c r="AP42" s="127"/>
      <c r="AQ42" s="125"/>
      <c r="AR42" s="126"/>
      <c r="AS42" s="126"/>
      <c r="AT42" s="126"/>
      <c r="AU42" s="127"/>
      <c r="AV42" s="125"/>
      <c r="AW42" s="126"/>
      <c r="AX42" s="126"/>
      <c r="AY42" s="126"/>
      <c r="AZ42" s="127"/>
      <c r="BA42" s="125"/>
      <c r="BB42" s="126"/>
      <c r="BC42" s="126"/>
      <c r="BD42" s="126"/>
      <c r="BE42" s="127"/>
      <c r="BF42" s="125"/>
      <c r="BG42" s="126"/>
      <c r="BH42" s="126"/>
      <c r="BI42" s="126"/>
      <c r="BJ42" s="127"/>
      <c r="BK42" s="125"/>
      <c r="BL42" s="126"/>
      <c r="BM42" s="126"/>
      <c r="BN42" s="126"/>
      <c r="BO42" s="127"/>
      <c r="BP42" s="125"/>
      <c r="BQ42" s="126"/>
      <c r="BR42" s="126"/>
      <c r="BS42" s="126"/>
      <c r="BT42" s="127"/>
      <c r="BU42" s="125"/>
      <c r="BV42" s="126"/>
      <c r="BW42" s="126"/>
      <c r="BX42" s="126"/>
      <c r="BY42" s="127"/>
      <c r="BZ42" s="125"/>
      <c r="CA42" s="126"/>
      <c r="CB42" s="126"/>
      <c r="CC42" s="126"/>
      <c r="CD42" s="127"/>
      <c r="CE42" s="125"/>
      <c r="CF42" s="126"/>
      <c r="CG42" s="126"/>
      <c r="CH42" s="126"/>
      <c r="CI42" s="127"/>
      <c r="CJ42" s="125"/>
      <c r="CK42" s="126"/>
      <c r="CL42" s="126"/>
      <c r="CM42" s="126"/>
      <c r="CN42" s="127"/>
      <c r="CO42" s="125"/>
      <c r="CP42" s="126"/>
      <c r="CQ42" s="126"/>
      <c r="CR42" s="126"/>
      <c r="CS42" s="127"/>
      <c r="CT42" s="125"/>
      <c r="CU42" s="126"/>
      <c r="CV42" s="126"/>
      <c r="CW42" s="126"/>
      <c r="CX42" s="127"/>
      <c r="CY42" s="8"/>
    </row>
    <row r="43" spans="1:103" ht="30" customHeight="1">
      <c r="A43" s="8"/>
      <c r="B43" s="129" t="s">
        <v>295</v>
      </c>
      <c r="C43" s="12"/>
      <c r="D43" s="143" t="s">
        <v>1489</v>
      </c>
      <c r="E43" s="130"/>
      <c r="F43" s="130"/>
      <c r="G43" s="130"/>
      <c r="H43" s="125"/>
      <c r="I43" s="143" t="s">
        <v>1490</v>
      </c>
      <c r="J43" s="130"/>
      <c r="K43" s="130"/>
      <c r="L43" s="130"/>
      <c r="M43" s="125"/>
      <c r="N43" s="143" t="s">
        <v>310</v>
      </c>
      <c r="O43" s="130"/>
      <c r="P43" s="130"/>
      <c r="Q43" s="130"/>
      <c r="R43" s="125"/>
      <c r="S43" s="143" t="s">
        <v>1491</v>
      </c>
      <c r="T43" s="130"/>
      <c r="U43" s="130"/>
      <c r="V43" s="130"/>
      <c r="W43" s="125"/>
      <c r="X43" s="143" t="s">
        <v>1492</v>
      </c>
      <c r="Y43" s="130"/>
      <c r="Z43" s="130"/>
      <c r="AA43" s="130"/>
      <c r="AB43" s="125"/>
      <c r="AC43" s="143" t="s">
        <v>440</v>
      </c>
      <c r="AD43" s="130"/>
      <c r="AE43" s="130"/>
      <c r="AF43" s="130"/>
      <c r="AG43" s="125"/>
      <c r="AH43" s="143" t="s">
        <v>278</v>
      </c>
      <c r="AI43" s="130"/>
      <c r="AJ43" s="130"/>
      <c r="AK43" s="130"/>
      <c r="AL43" s="125"/>
      <c r="AM43" s="143" t="s">
        <v>1493</v>
      </c>
      <c r="AN43" s="130"/>
      <c r="AO43" s="130"/>
      <c r="AP43" s="130"/>
      <c r="AQ43" s="125"/>
      <c r="AR43" s="143" t="s">
        <v>1187</v>
      </c>
      <c r="AS43" s="130"/>
      <c r="AT43" s="130"/>
      <c r="AU43" s="130"/>
      <c r="AV43" s="125"/>
      <c r="AW43" s="143" t="s">
        <v>326</v>
      </c>
      <c r="AX43" s="130"/>
      <c r="AY43" s="130"/>
      <c r="AZ43" s="130"/>
      <c r="BA43" s="125"/>
      <c r="BB43" s="143" t="s">
        <v>1215</v>
      </c>
      <c r="BC43" s="130"/>
      <c r="BD43" s="130"/>
      <c r="BE43" s="130"/>
      <c r="BF43" s="125"/>
      <c r="BG43" s="143" t="s">
        <v>785</v>
      </c>
      <c r="BH43" s="130"/>
      <c r="BI43" s="130"/>
      <c r="BJ43" s="130"/>
      <c r="BK43" s="125"/>
      <c r="BL43" s="143" t="s">
        <v>1494</v>
      </c>
      <c r="BM43" s="130"/>
      <c r="BN43" s="130"/>
      <c r="BO43" s="130"/>
      <c r="BP43" s="125"/>
      <c r="BQ43" s="143" t="s">
        <v>1495</v>
      </c>
      <c r="BR43" s="130"/>
      <c r="BS43" s="130"/>
      <c r="BT43" s="130"/>
      <c r="BU43" s="125"/>
      <c r="BV43" s="143" t="s">
        <v>1496</v>
      </c>
      <c r="BW43" s="130"/>
      <c r="BX43" s="130"/>
      <c r="BY43" s="130"/>
      <c r="BZ43" s="125"/>
      <c r="CA43" s="143" t="s">
        <v>721</v>
      </c>
      <c r="CB43" s="130"/>
      <c r="CC43" s="130"/>
      <c r="CD43" s="130"/>
      <c r="CE43" s="125"/>
      <c r="CF43" s="143" t="s">
        <v>1497</v>
      </c>
      <c r="CG43" s="130"/>
      <c r="CH43" s="130"/>
      <c r="CI43" s="130"/>
      <c r="CJ43" s="125"/>
      <c r="CK43" s="143" t="s">
        <v>750</v>
      </c>
      <c r="CL43" s="130"/>
      <c r="CM43" s="130"/>
      <c r="CN43" s="130"/>
      <c r="CO43" s="125"/>
      <c r="CP43" s="143" t="s">
        <v>1498</v>
      </c>
      <c r="CQ43" s="130"/>
      <c r="CR43" s="130"/>
      <c r="CS43" s="130"/>
      <c r="CT43" s="125"/>
      <c r="CU43" s="143" t="s">
        <v>1499</v>
      </c>
      <c r="CV43" s="130"/>
      <c r="CW43" s="130"/>
      <c r="CX43" s="130"/>
      <c r="CY43" s="13"/>
    </row>
    <row r="44" spans="1:103" ht="30" customHeight="1">
      <c r="A44" s="8"/>
      <c r="B44" s="130"/>
      <c r="C44" s="8"/>
      <c r="D44" s="126" t="s">
        <v>413</v>
      </c>
      <c r="E44" s="126" t="s">
        <v>42</v>
      </c>
      <c r="F44" s="126" t="s">
        <v>342</v>
      </c>
      <c r="G44" s="127">
        <f>LEFT(B43,2)+0.2</f>
        <v>14.2</v>
      </c>
      <c r="H44" s="125"/>
      <c r="I44" s="126"/>
      <c r="J44" s="126" t="s">
        <v>42</v>
      </c>
      <c r="K44" s="126" t="s">
        <v>340</v>
      </c>
      <c r="L44" s="127">
        <f>G44-0.01</f>
        <v>14.19</v>
      </c>
      <c r="M44" s="125"/>
      <c r="N44" s="126" t="s">
        <v>391</v>
      </c>
      <c r="O44" s="126" t="s">
        <v>42</v>
      </c>
      <c r="P44" s="126" t="s">
        <v>342</v>
      </c>
      <c r="Q44" s="127">
        <f>L44-0.01</f>
        <v>14.18</v>
      </c>
      <c r="R44" s="125"/>
      <c r="S44" s="126" t="s">
        <v>394</v>
      </c>
      <c r="T44" s="126" t="s">
        <v>42</v>
      </c>
      <c r="U44" s="126" t="s">
        <v>337</v>
      </c>
      <c r="V44" s="127">
        <f>Q44-0.01</f>
        <v>14.17</v>
      </c>
      <c r="W44" s="125"/>
      <c r="X44" s="126" t="s">
        <v>387</v>
      </c>
      <c r="Y44" s="126" t="s">
        <v>42</v>
      </c>
      <c r="Z44" s="126" t="s">
        <v>339</v>
      </c>
      <c r="AA44" s="127">
        <f>V44-0.01</f>
        <v>14.16</v>
      </c>
      <c r="AB44" s="125"/>
      <c r="AC44" s="126" t="s">
        <v>396</v>
      </c>
      <c r="AD44" s="126" t="s">
        <v>42</v>
      </c>
      <c r="AE44" s="126" t="s">
        <v>339</v>
      </c>
      <c r="AF44" s="127">
        <f>AA44-0.01</f>
        <v>14.15</v>
      </c>
      <c r="AG44" s="125"/>
      <c r="AH44" s="126" t="s">
        <v>408</v>
      </c>
      <c r="AI44" s="126" t="s">
        <v>42</v>
      </c>
      <c r="AJ44" s="126" t="s">
        <v>339</v>
      </c>
      <c r="AK44" s="127">
        <f>AF44-0.01</f>
        <v>14.14</v>
      </c>
      <c r="AL44" s="125"/>
      <c r="AM44" s="126" t="s">
        <v>395</v>
      </c>
      <c r="AN44" s="126" t="s">
        <v>42</v>
      </c>
      <c r="AO44" s="126" t="s">
        <v>339</v>
      </c>
      <c r="AP44" s="127">
        <f>AK44-0.01</f>
        <v>14.13</v>
      </c>
      <c r="AQ44" s="125"/>
      <c r="AR44" s="126" t="s">
        <v>408</v>
      </c>
      <c r="AS44" s="126" t="s">
        <v>42</v>
      </c>
      <c r="AT44" s="126" t="s">
        <v>341</v>
      </c>
      <c r="AU44" s="127">
        <f>AP44-0.01</f>
        <v>14.120000000000001</v>
      </c>
      <c r="AV44" s="125"/>
      <c r="AW44" s="126" t="s">
        <v>394</v>
      </c>
      <c r="AX44" s="126" t="s">
        <v>42</v>
      </c>
      <c r="AY44" s="126" t="s">
        <v>342</v>
      </c>
      <c r="AZ44" s="127">
        <f>AU44-0.01</f>
        <v>14.110000000000001</v>
      </c>
      <c r="BA44" s="125"/>
      <c r="BB44" s="126" t="s">
        <v>415</v>
      </c>
      <c r="BC44" s="126" t="s">
        <v>42</v>
      </c>
      <c r="BD44" s="126" t="s">
        <v>341</v>
      </c>
      <c r="BE44" s="127">
        <f>AZ44-0.01</f>
        <v>14.100000000000001</v>
      </c>
      <c r="BF44" s="125"/>
      <c r="BG44" s="126" t="s">
        <v>415</v>
      </c>
      <c r="BH44" s="126" t="s">
        <v>42</v>
      </c>
      <c r="BI44" s="126" t="s">
        <v>339</v>
      </c>
      <c r="BJ44" s="127">
        <f>BE44-0.01</f>
        <v>14.090000000000002</v>
      </c>
      <c r="BK44" s="125"/>
      <c r="BL44" s="126" t="s">
        <v>403</v>
      </c>
      <c r="BM44" s="126" t="s">
        <v>42</v>
      </c>
      <c r="BN44" s="126" t="s">
        <v>339</v>
      </c>
      <c r="BO44" s="127">
        <f>BJ44-0.01</f>
        <v>14.080000000000002</v>
      </c>
      <c r="BP44" s="125"/>
      <c r="BQ44" s="126" t="s">
        <v>391</v>
      </c>
      <c r="BR44" s="126" t="s">
        <v>42</v>
      </c>
      <c r="BS44" s="126" t="s">
        <v>340</v>
      </c>
      <c r="BT44" s="127">
        <f>BO44-0.01</f>
        <v>14.070000000000002</v>
      </c>
      <c r="BU44" s="125"/>
      <c r="BV44" s="126" t="s">
        <v>396</v>
      </c>
      <c r="BW44" s="126" t="s">
        <v>42</v>
      </c>
      <c r="BX44" s="126" t="s">
        <v>342</v>
      </c>
      <c r="BY44" s="127">
        <f>BT44-0.01</f>
        <v>14.060000000000002</v>
      </c>
      <c r="BZ44" s="125"/>
      <c r="CA44" s="126" t="s">
        <v>412</v>
      </c>
      <c r="CB44" s="126" t="s">
        <v>42</v>
      </c>
      <c r="CC44" s="126" t="s">
        <v>342</v>
      </c>
      <c r="CD44" s="127">
        <f>BY44-0.01</f>
        <v>14.050000000000002</v>
      </c>
      <c r="CE44" s="125"/>
      <c r="CF44" s="126" t="s">
        <v>414</v>
      </c>
      <c r="CG44" s="126" t="s">
        <v>42</v>
      </c>
      <c r="CH44" s="126" t="s">
        <v>342</v>
      </c>
      <c r="CI44" s="127">
        <f>CD44-0.01</f>
        <v>14.040000000000003</v>
      </c>
      <c r="CJ44" s="125"/>
      <c r="CK44" s="126" t="s">
        <v>413</v>
      </c>
      <c r="CL44" s="126" t="s">
        <v>42</v>
      </c>
      <c r="CM44" s="126" t="s">
        <v>337</v>
      </c>
      <c r="CN44" s="127">
        <f>CI44-0.01</f>
        <v>14.030000000000003</v>
      </c>
      <c r="CO44" s="125"/>
      <c r="CP44" s="126" t="s">
        <v>402</v>
      </c>
      <c r="CQ44" s="126" t="s">
        <v>42</v>
      </c>
      <c r="CR44" s="126" t="s">
        <v>339</v>
      </c>
      <c r="CS44" s="127">
        <f>CN44-0.01</f>
        <v>14.020000000000003</v>
      </c>
      <c r="CT44" s="125"/>
      <c r="CU44" s="126" t="s">
        <v>389</v>
      </c>
      <c r="CV44" s="126" t="s">
        <v>42</v>
      </c>
      <c r="CW44" s="126" t="s">
        <v>339</v>
      </c>
      <c r="CX44" s="127">
        <f>CS44-0.01</f>
        <v>14.010000000000003</v>
      </c>
      <c r="CY44" s="8"/>
    </row>
    <row r="45" spans="1:103" ht="7.5" customHeight="1">
      <c r="A45" s="8"/>
      <c r="B45" s="11"/>
      <c r="C45" s="8"/>
      <c r="D45" s="125"/>
      <c r="E45" s="126"/>
      <c r="F45" s="125"/>
      <c r="G45" s="127"/>
      <c r="H45" s="125"/>
      <c r="I45" s="125"/>
      <c r="J45" s="126"/>
      <c r="K45" s="125"/>
      <c r="L45" s="127"/>
      <c r="M45" s="125"/>
      <c r="N45" s="125"/>
      <c r="O45" s="126"/>
      <c r="P45" s="125"/>
      <c r="Q45" s="127"/>
      <c r="R45" s="125"/>
      <c r="S45" s="125"/>
      <c r="T45" s="126"/>
      <c r="U45" s="125"/>
      <c r="V45" s="127"/>
      <c r="W45" s="125"/>
      <c r="X45" s="125"/>
      <c r="Y45" s="126"/>
      <c r="Z45" s="125"/>
      <c r="AA45" s="127"/>
      <c r="AB45" s="125"/>
      <c r="AC45" s="125"/>
      <c r="AD45" s="126"/>
      <c r="AE45" s="125"/>
      <c r="AF45" s="127"/>
      <c r="AG45" s="125"/>
      <c r="AH45" s="125"/>
      <c r="AI45" s="126"/>
      <c r="AJ45" s="125"/>
      <c r="AK45" s="127"/>
      <c r="AL45" s="125"/>
      <c r="AM45" s="125"/>
      <c r="AN45" s="126"/>
      <c r="AO45" s="125"/>
      <c r="AP45" s="127"/>
      <c r="AQ45" s="125"/>
      <c r="AR45" s="125"/>
      <c r="AS45" s="126"/>
      <c r="AT45" s="125"/>
      <c r="AU45" s="127"/>
      <c r="AV45" s="125"/>
      <c r="AW45" s="125"/>
      <c r="AX45" s="126"/>
      <c r="AY45" s="125"/>
      <c r="AZ45" s="127"/>
      <c r="BA45" s="125"/>
      <c r="BB45" s="125"/>
      <c r="BC45" s="126"/>
      <c r="BD45" s="125"/>
      <c r="BE45" s="127"/>
      <c r="BF45" s="125"/>
      <c r="BG45" s="125"/>
      <c r="BH45" s="126"/>
      <c r="BI45" s="125"/>
      <c r="BJ45" s="127"/>
      <c r="BK45" s="125"/>
      <c r="BL45" s="125"/>
      <c r="BM45" s="126"/>
      <c r="BN45" s="125"/>
      <c r="BO45" s="127"/>
      <c r="BP45" s="125"/>
      <c r="BQ45" s="125"/>
      <c r="BR45" s="126"/>
      <c r="BS45" s="125"/>
      <c r="BT45" s="127"/>
      <c r="BU45" s="125"/>
      <c r="BV45" s="125"/>
      <c r="BW45" s="126"/>
      <c r="BX45" s="125"/>
      <c r="BY45" s="127"/>
      <c r="BZ45" s="125"/>
      <c r="CA45" s="125"/>
      <c r="CB45" s="126"/>
      <c r="CC45" s="125"/>
      <c r="CD45" s="127"/>
      <c r="CE45" s="125"/>
      <c r="CF45" s="125"/>
      <c r="CG45" s="126"/>
      <c r="CH45" s="125"/>
      <c r="CI45" s="127"/>
      <c r="CJ45" s="125"/>
      <c r="CK45" s="125"/>
      <c r="CL45" s="126"/>
      <c r="CM45" s="125"/>
      <c r="CN45" s="127"/>
      <c r="CO45" s="125"/>
      <c r="CP45" s="125"/>
      <c r="CQ45" s="126"/>
      <c r="CR45" s="125"/>
      <c r="CS45" s="127"/>
      <c r="CT45" s="125"/>
      <c r="CU45" s="125"/>
      <c r="CV45" s="126"/>
      <c r="CW45" s="125"/>
      <c r="CX45" s="127"/>
      <c r="CY45" s="8"/>
    </row>
    <row r="46" spans="1:103" ht="30" customHeight="1">
      <c r="A46" s="8"/>
      <c r="B46" s="129" t="s">
        <v>316</v>
      </c>
      <c r="C46" s="12"/>
      <c r="D46" s="143" t="s">
        <v>1147</v>
      </c>
      <c r="E46" s="130"/>
      <c r="F46" s="130"/>
      <c r="G46" s="130"/>
      <c r="H46" s="125"/>
      <c r="I46" s="143" t="s">
        <v>1500</v>
      </c>
      <c r="J46" s="130"/>
      <c r="K46" s="130"/>
      <c r="L46" s="130"/>
      <c r="M46" s="125"/>
      <c r="N46" s="143" t="s">
        <v>1501</v>
      </c>
      <c r="O46" s="130"/>
      <c r="P46" s="130"/>
      <c r="Q46" s="130"/>
      <c r="R46" s="125"/>
      <c r="S46" s="143" t="s">
        <v>1184</v>
      </c>
      <c r="T46" s="130"/>
      <c r="U46" s="130"/>
      <c r="V46" s="130"/>
      <c r="W46" s="125"/>
      <c r="X46" s="143" t="s">
        <v>309</v>
      </c>
      <c r="Y46" s="130"/>
      <c r="Z46" s="130"/>
      <c r="AA46" s="130"/>
      <c r="AB46" s="125"/>
      <c r="AC46" s="143" t="s">
        <v>1502</v>
      </c>
      <c r="AD46" s="130"/>
      <c r="AE46" s="130"/>
      <c r="AF46" s="130"/>
      <c r="AG46" s="125"/>
      <c r="AH46" s="143" t="s">
        <v>1191</v>
      </c>
      <c r="AI46" s="130"/>
      <c r="AJ46" s="130"/>
      <c r="AK46" s="130"/>
      <c r="AL46" s="125"/>
      <c r="AM46" s="143" t="s">
        <v>1136</v>
      </c>
      <c r="AN46" s="130"/>
      <c r="AO46" s="130"/>
      <c r="AP46" s="130"/>
      <c r="AQ46" s="125"/>
      <c r="AR46" s="143" t="s">
        <v>1503</v>
      </c>
      <c r="AS46" s="130"/>
      <c r="AT46" s="130"/>
      <c r="AU46" s="130"/>
      <c r="AV46" s="125"/>
      <c r="AW46" s="143" t="s">
        <v>1504</v>
      </c>
      <c r="AX46" s="130"/>
      <c r="AY46" s="130"/>
      <c r="AZ46" s="130"/>
      <c r="BA46" s="125"/>
      <c r="BB46" s="143" t="s">
        <v>1505</v>
      </c>
      <c r="BC46" s="130"/>
      <c r="BD46" s="130"/>
      <c r="BE46" s="130"/>
      <c r="BF46" s="125"/>
      <c r="BG46" s="143" t="s">
        <v>1506</v>
      </c>
      <c r="BH46" s="130"/>
      <c r="BI46" s="130"/>
      <c r="BJ46" s="130"/>
      <c r="BK46" s="125"/>
      <c r="BL46" s="143" t="s">
        <v>1507</v>
      </c>
      <c r="BM46" s="130"/>
      <c r="BN46" s="130"/>
      <c r="BO46" s="130"/>
      <c r="BP46" s="125"/>
      <c r="BQ46" s="143" t="s">
        <v>1508</v>
      </c>
      <c r="BR46" s="130"/>
      <c r="BS46" s="130"/>
      <c r="BT46" s="130"/>
      <c r="BU46" s="125"/>
      <c r="BV46" s="143" t="s">
        <v>1509</v>
      </c>
      <c r="BW46" s="130"/>
      <c r="BX46" s="130"/>
      <c r="BY46" s="130"/>
      <c r="BZ46" s="125"/>
      <c r="CA46" s="143" t="s">
        <v>1510</v>
      </c>
      <c r="CB46" s="130"/>
      <c r="CC46" s="130"/>
      <c r="CD46" s="130"/>
      <c r="CE46" s="125"/>
      <c r="CF46" s="143" t="s">
        <v>1511</v>
      </c>
      <c r="CG46" s="130"/>
      <c r="CH46" s="130"/>
      <c r="CI46" s="130"/>
      <c r="CJ46" s="125"/>
      <c r="CK46" s="143" t="s">
        <v>1512</v>
      </c>
      <c r="CL46" s="130"/>
      <c r="CM46" s="130"/>
      <c r="CN46" s="130"/>
      <c r="CO46" s="125"/>
      <c r="CP46" s="143" t="s">
        <v>921</v>
      </c>
      <c r="CQ46" s="130"/>
      <c r="CR46" s="130"/>
      <c r="CS46" s="130"/>
      <c r="CT46" s="125"/>
      <c r="CU46" s="143" t="s">
        <v>1513</v>
      </c>
      <c r="CV46" s="130"/>
      <c r="CW46" s="130"/>
      <c r="CX46" s="130"/>
      <c r="CY46" s="13"/>
    </row>
    <row r="47" spans="1:103" ht="30" customHeight="1">
      <c r="A47" s="1"/>
      <c r="B47" s="130"/>
      <c r="C47" s="1"/>
      <c r="D47" s="126" t="s">
        <v>409</v>
      </c>
      <c r="E47" s="126" t="s">
        <v>42</v>
      </c>
      <c r="F47" s="126" t="s">
        <v>341</v>
      </c>
      <c r="G47" s="127">
        <f>LEFT(B46,2)+0.01</f>
        <v>15.01</v>
      </c>
      <c r="H47" s="128"/>
      <c r="I47" s="126" t="s">
        <v>401</v>
      </c>
      <c r="J47" s="126" t="s">
        <v>42</v>
      </c>
      <c r="K47" s="126" t="s">
        <v>342</v>
      </c>
      <c r="L47" s="127">
        <f>G47+0.01</f>
        <v>15.02</v>
      </c>
      <c r="M47" s="125"/>
      <c r="N47" s="126"/>
      <c r="O47" s="126" t="s">
        <v>42</v>
      </c>
      <c r="P47" s="126" t="s">
        <v>338</v>
      </c>
      <c r="Q47" s="127">
        <f>L47+0.01</f>
        <v>15.03</v>
      </c>
      <c r="R47" s="125"/>
      <c r="S47" s="126" t="s">
        <v>397</v>
      </c>
      <c r="T47" s="126" t="s">
        <v>42</v>
      </c>
      <c r="U47" s="126" t="s">
        <v>341</v>
      </c>
      <c r="V47" s="127">
        <f>Q47+0.01</f>
        <v>15.04</v>
      </c>
      <c r="W47" s="125"/>
      <c r="X47" s="126" t="s">
        <v>402</v>
      </c>
      <c r="Y47" s="126" t="s">
        <v>42</v>
      </c>
      <c r="Z47" s="126" t="s">
        <v>342</v>
      </c>
      <c r="AA47" s="127">
        <f>V47+0.01</f>
        <v>15.049999999999999</v>
      </c>
      <c r="AB47" s="125"/>
      <c r="AC47" s="126" t="s">
        <v>388</v>
      </c>
      <c r="AD47" s="126" t="s">
        <v>42</v>
      </c>
      <c r="AE47" s="126" t="s">
        <v>338</v>
      </c>
      <c r="AF47" s="127">
        <f>AA47+0.01</f>
        <v>15.059999999999999</v>
      </c>
      <c r="AG47" s="125"/>
      <c r="AH47" s="126" t="s">
        <v>386</v>
      </c>
      <c r="AI47" s="126" t="s">
        <v>42</v>
      </c>
      <c r="AJ47" s="126" t="s">
        <v>341</v>
      </c>
      <c r="AK47" s="127">
        <f>AF47+0.01</f>
        <v>15.069999999999999</v>
      </c>
      <c r="AL47" s="125"/>
      <c r="AM47" s="126" t="s">
        <v>389</v>
      </c>
      <c r="AN47" s="126" t="s">
        <v>42</v>
      </c>
      <c r="AO47" s="126" t="s">
        <v>341</v>
      </c>
      <c r="AP47" s="127">
        <f>AK47+0.01</f>
        <v>15.079999999999998</v>
      </c>
      <c r="AQ47" s="125"/>
      <c r="AR47" s="126" t="s">
        <v>415</v>
      </c>
      <c r="AS47" s="126" t="s">
        <v>42</v>
      </c>
      <c r="AT47" s="126" t="s">
        <v>342</v>
      </c>
      <c r="AU47" s="127">
        <f>AP47+0.01</f>
        <v>15.089999999999998</v>
      </c>
      <c r="AV47" s="125"/>
      <c r="AW47" s="126" t="s">
        <v>394</v>
      </c>
      <c r="AX47" s="126" t="s">
        <v>42</v>
      </c>
      <c r="AY47" s="126" t="s">
        <v>339</v>
      </c>
      <c r="AZ47" s="127">
        <f>AU47+0.01</f>
        <v>15.099999999999998</v>
      </c>
      <c r="BA47" s="125"/>
      <c r="BB47" s="126" t="s">
        <v>393</v>
      </c>
      <c r="BC47" s="126" t="s">
        <v>42</v>
      </c>
      <c r="BD47" s="126" t="s">
        <v>340</v>
      </c>
      <c r="BE47" s="127">
        <f>AZ47+0.01</f>
        <v>15.109999999999998</v>
      </c>
      <c r="BF47" s="125"/>
      <c r="BG47" s="126" t="s">
        <v>399</v>
      </c>
      <c r="BH47" s="126" t="s">
        <v>42</v>
      </c>
      <c r="BI47" s="126" t="s">
        <v>342</v>
      </c>
      <c r="BJ47" s="127">
        <f>BE47+0.01</f>
        <v>15.119999999999997</v>
      </c>
      <c r="BK47" s="125"/>
      <c r="BL47" s="126" t="s">
        <v>389</v>
      </c>
      <c r="BM47" s="126" t="s">
        <v>42</v>
      </c>
      <c r="BN47" s="126" t="s">
        <v>342</v>
      </c>
      <c r="BO47" s="127">
        <f>BJ47+0.01</f>
        <v>15.129999999999997</v>
      </c>
      <c r="BP47" s="125"/>
      <c r="BQ47" s="126" t="s">
        <v>410</v>
      </c>
      <c r="BR47" s="126" t="s">
        <v>42</v>
      </c>
      <c r="BS47" s="126" t="s">
        <v>342</v>
      </c>
      <c r="BT47" s="127">
        <f>BO47+0.01</f>
        <v>15.139999999999997</v>
      </c>
      <c r="BU47" s="125"/>
      <c r="BV47" s="126" t="s">
        <v>397</v>
      </c>
      <c r="BW47" s="126" t="s">
        <v>42</v>
      </c>
      <c r="BX47" s="126" t="s">
        <v>339</v>
      </c>
      <c r="BY47" s="127">
        <f>BT47+0.01</f>
        <v>15.149999999999997</v>
      </c>
      <c r="BZ47" s="125"/>
      <c r="CA47" s="126" t="s">
        <v>409</v>
      </c>
      <c r="CB47" s="126" t="s">
        <v>42</v>
      </c>
      <c r="CC47" s="126" t="s">
        <v>339</v>
      </c>
      <c r="CD47" s="127">
        <f>BY47+0.01</f>
        <v>15.159999999999997</v>
      </c>
      <c r="CE47" s="125"/>
      <c r="CF47" s="126" t="s">
        <v>406</v>
      </c>
      <c r="CG47" s="126" t="s">
        <v>42</v>
      </c>
      <c r="CH47" s="126" t="s">
        <v>339</v>
      </c>
      <c r="CI47" s="127">
        <f>CD47+0.01</f>
        <v>15.169999999999996</v>
      </c>
      <c r="CJ47" s="125"/>
      <c r="CK47" s="126" t="s">
        <v>413</v>
      </c>
      <c r="CL47" s="126" t="s">
        <v>42</v>
      </c>
      <c r="CM47" s="126" t="s">
        <v>338</v>
      </c>
      <c r="CN47" s="127">
        <f>CI47+0.01</f>
        <v>15.179999999999996</v>
      </c>
      <c r="CO47" s="125"/>
      <c r="CP47" s="126" t="s">
        <v>406</v>
      </c>
      <c r="CQ47" s="126" t="s">
        <v>42</v>
      </c>
      <c r="CR47" s="126" t="s">
        <v>342</v>
      </c>
      <c r="CS47" s="127">
        <f>CN47+0.01</f>
        <v>15.189999999999996</v>
      </c>
      <c r="CT47" s="125"/>
      <c r="CU47" s="126" t="s">
        <v>409</v>
      </c>
      <c r="CV47" s="126" t="s">
        <v>42</v>
      </c>
      <c r="CW47" s="126" t="s">
        <v>338</v>
      </c>
      <c r="CX47" s="127">
        <f>CS47+0.01</f>
        <v>15.199999999999996</v>
      </c>
      <c r="CY47" s="1"/>
    </row>
    <row r="48" spans="1:103" ht="7.5" customHeight="1">
      <c r="A48" s="1"/>
      <c r="B48" s="1"/>
      <c r="C48" s="1"/>
      <c r="D48" s="1"/>
      <c r="E48" s="2"/>
      <c r="F48" s="1"/>
      <c r="G48" s="3"/>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row>
    <row r="49" spans="1:103" ht="15.75" customHeight="1">
      <c r="A49" s="14"/>
      <c r="B49" s="14"/>
      <c r="C49" s="14"/>
      <c r="D49" s="14"/>
      <c r="E49" s="15"/>
      <c r="F49" s="14"/>
      <c r="G49" s="16"/>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c r="BY49" s="14"/>
      <c r="BZ49" s="14"/>
      <c r="CA49" s="14"/>
      <c r="CB49" s="14"/>
      <c r="CC49" s="14"/>
      <c r="CD49" s="14"/>
      <c r="CE49" s="14"/>
      <c r="CF49" s="14"/>
      <c r="CG49" s="14"/>
      <c r="CH49" s="14"/>
      <c r="CI49" s="14"/>
      <c r="CJ49" s="14"/>
      <c r="CK49" s="14"/>
      <c r="CL49" s="14"/>
      <c r="CM49" s="14"/>
      <c r="CN49" s="14"/>
      <c r="CO49" s="14"/>
      <c r="CP49" s="14"/>
      <c r="CQ49" s="14"/>
      <c r="CR49" s="14"/>
      <c r="CS49" s="14"/>
      <c r="CT49" s="14"/>
      <c r="CU49" s="14"/>
      <c r="CV49" s="14"/>
      <c r="CW49" s="14"/>
      <c r="CX49" s="14"/>
      <c r="CY49" s="14"/>
    </row>
    <row r="50" spans="1:103" ht="15.75" customHeight="1">
      <c r="A50" s="14"/>
      <c r="B50" s="14"/>
      <c r="C50" s="14"/>
      <c r="D50" s="17"/>
      <c r="E50" s="15"/>
      <c r="F50" s="14" t="s">
        <v>337</v>
      </c>
      <c r="G50" s="16"/>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row>
    <row r="51" spans="1:103" ht="4.5" customHeight="1">
      <c r="A51" s="14"/>
      <c r="B51" s="14"/>
      <c r="C51" s="14"/>
      <c r="D51" s="14"/>
      <c r="E51" s="15"/>
      <c r="F51" s="14"/>
      <c r="G51" s="16"/>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c r="BY51" s="14"/>
      <c r="BZ51" s="14"/>
      <c r="CA51" s="14"/>
      <c r="CB51" s="14"/>
      <c r="CC51" s="14"/>
      <c r="CD51" s="14"/>
      <c r="CE51" s="14"/>
      <c r="CF51" s="14"/>
      <c r="CG51" s="14"/>
      <c r="CH51" s="14"/>
      <c r="CI51" s="14"/>
      <c r="CJ51" s="14"/>
      <c r="CK51" s="14"/>
      <c r="CL51" s="14"/>
      <c r="CM51" s="14"/>
      <c r="CN51" s="14"/>
      <c r="CO51" s="14"/>
      <c r="CP51" s="14"/>
      <c r="CQ51" s="14"/>
      <c r="CR51" s="14"/>
      <c r="CS51" s="14"/>
      <c r="CT51" s="14"/>
      <c r="CU51" s="14"/>
      <c r="CV51" s="14"/>
      <c r="CW51" s="14"/>
      <c r="CX51" s="14"/>
      <c r="CY51" s="14"/>
    </row>
    <row r="52" spans="1:103" ht="15.75" customHeight="1">
      <c r="A52" s="14"/>
      <c r="B52" s="14"/>
      <c r="C52" s="14"/>
      <c r="D52" s="18"/>
      <c r="E52" s="15"/>
      <c r="F52" s="14" t="s">
        <v>338</v>
      </c>
      <c r="G52" s="16"/>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c r="CM52" s="14"/>
      <c r="CN52" s="14"/>
      <c r="CO52" s="14"/>
      <c r="CP52" s="14"/>
      <c r="CQ52" s="14"/>
      <c r="CR52" s="14"/>
      <c r="CS52" s="14"/>
      <c r="CT52" s="14"/>
      <c r="CU52" s="14"/>
      <c r="CV52" s="14"/>
      <c r="CW52" s="14"/>
      <c r="CX52" s="14"/>
      <c r="CY52" s="14"/>
    </row>
    <row r="53" spans="1:103" ht="4.5" customHeight="1">
      <c r="A53" s="14"/>
      <c r="B53" s="14"/>
      <c r="C53" s="14"/>
      <c r="D53" s="14"/>
      <c r="E53" s="15"/>
      <c r="F53" s="14"/>
      <c r="G53" s="16"/>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c r="BY53" s="14"/>
      <c r="BZ53" s="14"/>
      <c r="CA53" s="14"/>
      <c r="CB53" s="14"/>
      <c r="CC53" s="14"/>
      <c r="CD53" s="14"/>
      <c r="CE53" s="14"/>
      <c r="CF53" s="14"/>
      <c r="CG53" s="14"/>
      <c r="CH53" s="14"/>
      <c r="CI53" s="14"/>
      <c r="CJ53" s="14"/>
      <c r="CK53" s="14"/>
      <c r="CL53" s="14"/>
      <c r="CM53" s="14"/>
      <c r="CN53" s="14"/>
      <c r="CO53" s="14"/>
      <c r="CP53" s="14"/>
      <c r="CQ53" s="14"/>
      <c r="CR53" s="14"/>
      <c r="CS53" s="14"/>
      <c r="CT53" s="14"/>
      <c r="CU53" s="14"/>
      <c r="CV53" s="14"/>
      <c r="CW53" s="14"/>
      <c r="CX53" s="14"/>
      <c r="CY53" s="14"/>
    </row>
    <row r="54" spans="1:103" ht="15.75" customHeight="1">
      <c r="A54" s="14"/>
      <c r="B54" s="14"/>
      <c r="C54" s="14"/>
      <c r="D54" s="19"/>
      <c r="E54" s="15"/>
      <c r="F54" s="14" t="s">
        <v>339</v>
      </c>
      <c r="G54" s="16"/>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c r="AY54" s="14"/>
      <c r="AZ54" s="14"/>
      <c r="BA54" s="14"/>
      <c r="BB54" s="14"/>
      <c r="BC54" s="14"/>
      <c r="BD54" s="14"/>
      <c r="BE54" s="14"/>
      <c r="BF54" s="14"/>
      <c r="BG54" s="14"/>
      <c r="BH54" s="14"/>
      <c r="BI54" s="14"/>
      <c r="BJ54" s="14"/>
      <c r="BK54" s="14"/>
      <c r="BL54" s="14"/>
      <c r="BM54" s="14"/>
      <c r="BN54" s="14"/>
      <c r="BO54" s="14"/>
      <c r="BP54" s="14"/>
      <c r="BQ54" s="14"/>
      <c r="BR54" s="14"/>
      <c r="BS54" s="14"/>
      <c r="BT54" s="14"/>
      <c r="BU54" s="14"/>
      <c r="BV54" s="14"/>
      <c r="BW54" s="14"/>
      <c r="BX54" s="14"/>
      <c r="BY54" s="14"/>
      <c r="BZ54" s="14"/>
      <c r="CA54" s="14"/>
      <c r="CB54" s="14"/>
      <c r="CC54" s="14"/>
      <c r="CD54" s="14"/>
      <c r="CE54" s="14"/>
      <c r="CF54" s="14"/>
      <c r="CG54" s="14"/>
      <c r="CH54" s="14"/>
      <c r="CI54" s="14"/>
      <c r="CJ54" s="14"/>
      <c r="CK54" s="14"/>
      <c r="CL54" s="14"/>
      <c r="CM54" s="14"/>
      <c r="CN54" s="14"/>
      <c r="CO54" s="14"/>
      <c r="CP54" s="14"/>
      <c r="CQ54" s="14"/>
      <c r="CR54" s="14"/>
      <c r="CS54" s="14"/>
      <c r="CT54" s="14"/>
      <c r="CU54" s="14"/>
      <c r="CV54" s="14"/>
      <c r="CW54" s="14"/>
      <c r="CX54" s="14"/>
      <c r="CY54" s="14"/>
    </row>
    <row r="55" spans="1:103" ht="4.5" customHeight="1">
      <c r="A55" s="14"/>
      <c r="B55" s="14"/>
      <c r="C55" s="14"/>
      <c r="D55" s="14"/>
      <c r="E55" s="15"/>
      <c r="F55" s="14"/>
      <c r="G55" s="16"/>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4"/>
      <c r="BL55" s="14"/>
      <c r="BM55" s="14"/>
      <c r="BN55" s="14"/>
      <c r="BO55" s="14"/>
      <c r="BP55" s="14"/>
      <c r="BQ55" s="14"/>
      <c r="BR55" s="14"/>
      <c r="BS55" s="14"/>
      <c r="BT55" s="14"/>
      <c r="BU55" s="14"/>
      <c r="BV55" s="14"/>
      <c r="BW55" s="14"/>
      <c r="BX55" s="14"/>
      <c r="BY55" s="14"/>
      <c r="BZ55" s="14"/>
      <c r="CA55" s="14"/>
      <c r="CB55" s="14"/>
      <c r="CC55" s="14"/>
      <c r="CD55" s="14"/>
      <c r="CE55" s="14"/>
      <c r="CF55" s="14"/>
      <c r="CG55" s="14"/>
      <c r="CH55" s="14"/>
      <c r="CI55" s="14"/>
      <c r="CJ55" s="14"/>
      <c r="CK55" s="14"/>
      <c r="CL55" s="14"/>
      <c r="CM55" s="14"/>
      <c r="CN55" s="14"/>
      <c r="CO55" s="14"/>
      <c r="CP55" s="14"/>
      <c r="CQ55" s="14"/>
      <c r="CR55" s="14"/>
      <c r="CS55" s="14"/>
      <c r="CT55" s="14"/>
      <c r="CU55" s="14"/>
      <c r="CV55" s="14"/>
      <c r="CW55" s="14"/>
      <c r="CX55" s="14"/>
      <c r="CY55" s="14"/>
    </row>
    <row r="56" spans="1:103" ht="15.75" customHeight="1">
      <c r="A56" s="14"/>
      <c r="B56" s="14"/>
      <c r="C56" s="14"/>
      <c r="D56" s="20"/>
      <c r="E56" s="15"/>
      <c r="F56" s="14" t="s">
        <v>340</v>
      </c>
      <c r="G56" s="16"/>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c r="AY56" s="14"/>
      <c r="AZ56" s="14"/>
      <c r="BA56" s="14"/>
      <c r="BB56" s="14"/>
      <c r="BC56" s="14"/>
      <c r="BD56" s="14"/>
      <c r="BE56" s="14"/>
      <c r="BF56" s="14"/>
      <c r="BG56" s="14"/>
      <c r="BH56" s="14"/>
      <c r="BI56" s="14"/>
      <c r="BJ56" s="14"/>
      <c r="BK56" s="14"/>
      <c r="BL56" s="14"/>
      <c r="BM56" s="14"/>
      <c r="BN56" s="14"/>
      <c r="BO56" s="14"/>
      <c r="BP56" s="14"/>
      <c r="BQ56" s="14"/>
      <c r="BR56" s="14"/>
      <c r="BS56" s="14"/>
      <c r="BT56" s="14"/>
      <c r="BU56" s="14"/>
      <c r="BV56" s="14"/>
      <c r="BW56" s="14"/>
      <c r="BX56" s="14"/>
      <c r="BY56" s="14"/>
      <c r="BZ56" s="14"/>
      <c r="CA56" s="14"/>
      <c r="CB56" s="14"/>
      <c r="CC56" s="14"/>
      <c r="CD56" s="14"/>
      <c r="CE56" s="14"/>
      <c r="CF56" s="14"/>
      <c r="CG56" s="14"/>
      <c r="CH56" s="14"/>
      <c r="CI56" s="14"/>
      <c r="CJ56" s="14"/>
      <c r="CK56" s="14"/>
      <c r="CL56" s="14"/>
      <c r="CM56" s="14"/>
      <c r="CN56" s="14"/>
      <c r="CO56" s="14"/>
      <c r="CP56" s="14"/>
      <c r="CQ56" s="14"/>
      <c r="CR56" s="14"/>
      <c r="CS56" s="14"/>
      <c r="CT56" s="14"/>
      <c r="CU56" s="14"/>
      <c r="CV56" s="14"/>
      <c r="CW56" s="14"/>
      <c r="CX56" s="14"/>
      <c r="CY56" s="14"/>
    </row>
    <row r="57" spans="1:103" ht="4.5" customHeight="1">
      <c r="A57" s="14"/>
      <c r="B57" s="14"/>
      <c r="C57" s="14"/>
      <c r="D57" s="14"/>
      <c r="E57" s="15"/>
      <c r="F57" s="14"/>
      <c r="G57" s="16"/>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c r="AY57" s="14"/>
      <c r="AZ57" s="14"/>
      <c r="BA57" s="14"/>
      <c r="BB57" s="14"/>
      <c r="BC57" s="14"/>
      <c r="BD57" s="14"/>
      <c r="BE57" s="14"/>
      <c r="BF57" s="14"/>
      <c r="BG57" s="14"/>
      <c r="BH57" s="14"/>
      <c r="BI57" s="14"/>
      <c r="BJ57" s="14"/>
      <c r="BK57" s="14"/>
      <c r="BL57" s="14"/>
      <c r="BM57" s="14"/>
      <c r="BN57" s="14"/>
      <c r="BO57" s="14"/>
      <c r="BP57" s="14"/>
      <c r="BQ57" s="14"/>
      <c r="BR57" s="14"/>
      <c r="BS57" s="14"/>
      <c r="BT57" s="14"/>
      <c r="BU57" s="14"/>
      <c r="BV57" s="14"/>
      <c r="BW57" s="14"/>
      <c r="BX57" s="14"/>
      <c r="BY57" s="14"/>
      <c r="BZ57" s="14"/>
      <c r="CA57" s="14"/>
      <c r="CB57" s="14"/>
      <c r="CC57" s="14"/>
      <c r="CD57" s="14"/>
      <c r="CE57" s="14"/>
      <c r="CF57" s="14"/>
      <c r="CG57" s="14"/>
      <c r="CH57" s="14"/>
      <c r="CI57" s="14"/>
      <c r="CJ57" s="14"/>
      <c r="CK57" s="14"/>
      <c r="CL57" s="14"/>
      <c r="CM57" s="14"/>
      <c r="CN57" s="14"/>
      <c r="CO57" s="14"/>
      <c r="CP57" s="14"/>
      <c r="CQ57" s="14"/>
      <c r="CR57" s="14"/>
      <c r="CS57" s="14"/>
      <c r="CT57" s="14"/>
      <c r="CU57" s="14"/>
      <c r="CV57" s="14"/>
      <c r="CW57" s="14"/>
      <c r="CX57" s="14"/>
      <c r="CY57" s="14"/>
    </row>
    <row r="58" spans="1:103" ht="15.75" customHeight="1">
      <c r="A58" s="14"/>
      <c r="B58" s="14"/>
      <c r="C58" s="14"/>
      <c r="D58" s="21"/>
      <c r="E58" s="15"/>
      <c r="F58" s="14" t="s">
        <v>341</v>
      </c>
      <c r="G58" s="16"/>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14"/>
      <c r="BP58" s="14"/>
      <c r="BQ58" s="14"/>
      <c r="BR58" s="14"/>
      <c r="BS58" s="14"/>
      <c r="BT58" s="14"/>
      <c r="BU58" s="14"/>
      <c r="BV58" s="14"/>
      <c r="BW58" s="14"/>
      <c r="BX58" s="14"/>
      <c r="BY58" s="14"/>
      <c r="BZ58" s="14"/>
      <c r="CA58" s="14"/>
      <c r="CB58" s="14"/>
      <c r="CC58" s="14"/>
      <c r="CD58" s="14"/>
      <c r="CE58" s="14"/>
      <c r="CF58" s="14"/>
      <c r="CG58" s="14"/>
      <c r="CH58" s="14"/>
      <c r="CI58" s="14"/>
      <c r="CJ58" s="14"/>
      <c r="CK58" s="14"/>
      <c r="CL58" s="14"/>
      <c r="CM58" s="14"/>
      <c r="CN58" s="14"/>
      <c r="CO58" s="14"/>
      <c r="CP58" s="14"/>
      <c r="CQ58" s="14"/>
      <c r="CR58" s="14"/>
      <c r="CS58" s="14"/>
      <c r="CT58" s="14"/>
      <c r="CU58" s="14"/>
      <c r="CV58" s="14"/>
      <c r="CW58" s="14"/>
      <c r="CX58" s="14"/>
      <c r="CY58" s="14"/>
    </row>
    <row r="59" spans="1:103" ht="4.5" customHeight="1">
      <c r="A59" s="14"/>
      <c r="B59" s="14"/>
      <c r="C59" s="14"/>
      <c r="D59" s="14"/>
      <c r="E59" s="15"/>
      <c r="F59" s="14"/>
      <c r="G59" s="16"/>
      <c r="H59" s="14"/>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c r="AY59" s="14"/>
      <c r="AZ59" s="14"/>
      <c r="BA59" s="14"/>
      <c r="BB59" s="14"/>
      <c r="BC59" s="14"/>
      <c r="BD59" s="14"/>
      <c r="BE59" s="14"/>
      <c r="BF59" s="14"/>
      <c r="BG59" s="14"/>
      <c r="BH59" s="14"/>
      <c r="BI59" s="14"/>
      <c r="BJ59" s="14"/>
      <c r="BK59" s="14"/>
      <c r="BL59" s="14"/>
      <c r="BM59" s="14"/>
      <c r="BN59" s="14"/>
      <c r="BO59" s="14"/>
      <c r="BP59" s="14"/>
      <c r="BQ59" s="14"/>
      <c r="BR59" s="14"/>
      <c r="BS59" s="14"/>
      <c r="BT59" s="14"/>
      <c r="BU59" s="14"/>
      <c r="BV59" s="14"/>
      <c r="BW59" s="14"/>
      <c r="BX59" s="14"/>
      <c r="BY59" s="14"/>
      <c r="BZ59" s="14"/>
      <c r="CA59" s="14"/>
      <c r="CB59" s="14"/>
      <c r="CC59" s="14"/>
      <c r="CD59" s="14"/>
      <c r="CE59" s="14"/>
      <c r="CF59" s="14"/>
      <c r="CG59" s="14"/>
      <c r="CH59" s="14"/>
      <c r="CI59" s="14"/>
      <c r="CJ59" s="14"/>
      <c r="CK59" s="14"/>
      <c r="CL59" s="14"/>
      <c r="CM59" s="14"/>
      <c r="CN59" s="14"/>
      <c r="CO59" s="14"/>
      <c r="CP59" s="14"/>
      <c r="CQ59" s="14"/>
      <c r="CR59" s="14"/>
      <c r="CS59" s="14"/>
      <c r="CT59" s="14"/>
      <c r="CU59" s="14"/>
      <c r="CV59" s="14"/>
      <c r="CW59" s="14"/>
      <c r="CX59" s="14"/>
      <c r="CY59" s="14"/>
    </row>
    <row r="60" spans="1:103" ht="15.75" customHeight="1">
      <c r="A60" s="14"/>
      <c r="B60" s="14"/>
      <c r="C60" s="14"/>
      <c r="D60" s="22"/>
      <c r="E60" s="15"/>
      <c r="F60" s="14" t="s">
        <v>342</v>
      </c>
      <c r="G60" s="16"/>
      <c r="H60" s="14"/>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c r="AY60" s="14"/>
      <c r="AZ60" s="14"/>
      <c r="BA60" s="14"/>
      <c r="BB60" s="14"/>
      <c r="BC60" s="14"/>
      <c r="BD60" s="14"/>
      <c r="BE60" s="14"/>
      <c r="BF60" s="14"/>
      <c r="BG60" s="14"/>
      <c r="BH60" s="14"/>
      <c r="BI60" s="14"/>
      <c r="BJ60" s="14"/>
      <c r="BK60" s="14"/>
      <c r="BL60" s="14"/>
      <c r="BM60" s="14"/>
      <c r="BN60" s="14"/>
      <c r="BO60" s="14"/>
      <c r="BP60" s="14"/>
      <c r="BQ60" s="14"/>
      <c r="BR60" s="14"/>
      <c r="BS60" s="14"/>
      <c r="BT60" s="14"/>
      <c r="BU60" s="14"/>
      <c r="BV60" s="14"/>
      <c r="BW60" s="14"/>
      <c r="BX60" s="14"/>
      <c r="BY60" s="14"/>
      <c r="BZ60" s="14"/>
      <c r="CA60" s="14"/>
      <c r="CB60" s="14"/>
      <c r="CC60" s="14"/>
      <c r="CD60" s="14"/>
      <c r="CE60" s="14"/>
      <c r="CF60" s="14"/>
      <c r="CG60" s="14"/>
      <c r="CH60" s="14"/>
      <c r="CI60" s="14"/>
      <c r="CJ60" s="14"/>
      <c r="CK60" s="14"/>
      <c r="CL60" s="14"/>
      <c r="CM60" s="14"/>
      <c r="CN60" s="14"/>
      <c r="CO60" s="14"/>
      <c r="CP60" s="14"/>
      <c r="CQ60" s="14"/>
      <c r="CR60" s="14"/>
      <c r="CS60" s="14"/>
      <c r="CT60" s="14"/>
      <c r="CU60" s="14"/>
      <c r="CV60" s="14"/>
      <c r="CW60" s="14"/>
      <c r="CX60" s="14"/>
      <c r="CY60" s="14"/>
    </row>
    <row r="61" spans="1:103" ht="15.75" customHeight="1">
      <c r="A61" s="14"/>
      <c r="B61" s="14"/>
      <c r="C61" s="14"/>
      <c r="D61" s="14"/>
      <c r="E61" s="15"/>
      <c r="F61" s="14"/>
      <c r="G61" s="16"/>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c r="AY61" s="14"/>
      <c r="AZ61" s="14"/>
      <c r="BA61" s="14"/>
      <c r="BB61" s="14"/>
      <c r="BC61" s="14"/>
      <c r="BD61" s="14"/>
      <c r="BE61" s="14"/>
      <c r="BF61" s="14"/>
      <c r="BG61" s="14"/>
      <c r="BH61" s="14"/>
      <c r="BI61" s="14"/>
      <c r="BJ61" s="14"/>
      <c r="BK61" s="14"/>
      <c r="BL61" s="14"/>
      <c r="BM61" s="14"/>
      <c r="BN61" s="14"/>
      <c r="BO61" s="14"/>
      <c r="BP61" s="14"/>
      <c r="BQ61" s="14"/>
      <c r="BR61" s="14"/>
      <c r="BS61" s="14"/>
      <c r="BT61" s="14"/>
      <c r="BU61" s="14"/>
      <c r="BV61" s="14"/>
      <c r="BW61" s="14"/>
      <c r="BX61" s="14"/>
      <c r="BY61" s="14"/>
      <c r="BZ61" s="14"/>
      <c r="CA61" s="14"/>
      <c r="CB61" s="14"/>
      <c r="CC61" s="14"/>
      <c r="CD61" s="14"/>
      <c r="CE61" s="14"/>
      <c r="CF61" s="14"/>
      <c r="CG61" s="14"/>
      <c r="CH61" s="14"/>
      <c r="CI61" s="14"/>
      <c r="CJ61" s="14"/>
      <c r="CK61" s="14"/>
      <c r="CL61" s="14"/>
      <c r="CM61" s="14"/>
      <c r="CN61" s="14"/>
      <c r="CO61" s="14"/>
      <c r="CP61" s="14"/>
      <c r="CQ61" s="14"/>
      <c r="CR61" s="14"/>
      <c r="CS61" s="14"/>
      <c r="CT61" s="14"/>
      <c r="CU61" s="14"/>
      <c r="CV61" s="14"/>
      <c r="CW61" s="14"/>
      <c r="CX61" s="14"/>
      <c r="CY61" s="14"/>
    </row>
    <row r="62" spans="1:103" ht="15.75" customHeight="1">
      <c r="A62" s="14"/>
      <c r="B62" s="14"/>
      <c r="C62" s="14"/>
      <c r="D62" s="14"/>
      <c r="E62" s="15"/>
      <c r="F62" s="14"/>
      <c r="G62" s="16"/>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c r="AY62" s="14"/>
      <c r="AZ62" s="14"/>
      <c r="BA62" s="14"/>
      <c r="BB62" s="14"/>
      <c r="BC62" s="14"/>
      <c r="BD62" s="14"/>
      <c r="BE62" s="14"/>
      <c r="BF62" s="14"/>
      <c r="BG62" s="14"/>
      <c r="BH62" s="14"/>
      <c r="BI62" s="14"/>
      <c r="BJ62" s="14"/>
      <c r="BK62" s="14"/>
      <c r="BL62" s="14"/>
      <c r="BM62" s="14"/>
      <c r="BN62" s="14"/>
      <c r="BO62" s="14"/>
      <c r="BP62" s="14"/>
      <c r="BQ62" s="14"/>
      <c r="BR62" s="14"/>
      <c r="BS62" s="14"/>
      <c r="BT62" s="14"/>
      <c r="BU62" s="14"/>
      <c r="BV62" s="14"/>
      <c r="BW62" s="14"/>
      <c r="BX62" s="14"/>
      <c r="BY62" s="14"/>
      <c r="BZ62" s="14"/>
      <c r="CA62" s="14"/>
      <c r="CB62" s="14"/>
      <c r="CC62" s="14"/>
      <c r="CD62" s="14"/>
      <c r="CE62" s="14"/>
      <c r="CF62" s="14"/>
      <c r="CG62" s="14"/>
      <c r="CH62" s="14"/>
      <c r="CI62" s="14"/>
      <c r="CJ62" s="14"/>
      <c r="CK62" s="14"/>
      <c r="CL62" s="14"/>
      <c r="CM62" s="14"/>
      <c r="CN62" s="14"/>
      <c r="CO62" s="14"/>
      <c r="CP62" s="14"/>
      <c r="CQ62" s="14"/>
      <c r="CR62" s="14"/>
      <c r="CS62" s="14"/>
      <c r="CT62" s="14"/>
      <c r="CU62" s="14"/>
      <c r="CV62" s="14"/>
      <c r="CW62" s="14"/>
      <c r="CX62" s="14"/>
      <c r="CY62" s="14"/>
    </row>
    <row r="63" spans="1:103" ht="15.75" customHeight="1">
      <c r="A63" s="14"/>
      <c r="B63" s="14"/>
      <c r="C63" s="14"/>
      <c r="D63" s="14"/>
      <c r="E63" s="15"/>
      <c r="F63" s="14"/>
      <c r="G63" s="16"/>
      <c r="H63" s="14"/>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c r="CJ63" s="14"/>
      <c r="CK63" s="14"/>
      <c r="CL63" s="14"/>
      <c r="CM63" s="14"/>
      <c r="CN63" s="14"/>
      <c r="CO63" s="14"/>
      <c r="CP63" s="14"/>
      <c r="CQ63" s="14"/>
      <c r="CR63" s="14"/>
      <c r="CS63" s="14"/>
      <c r="CT63" s="14"/>
      <c r="CU63" s="14"/>
      <c r="CV63" s="14"/>
      <c r="CW63" s="14"/>
      <c r="CX63" s="14"/>
      <c r="CY63" s="14"/>
    </row>
    <row r="64" spans="1:103" ht="15.75" customHeight="1">
      <c r="A64" s="14"/>
      <c r="B64" s="14"/>
      <c r="C64" s="14"/>
      <c r="D64" s="14"/>
      <c r="E64" s="15"/>
      <c r="F64" s="14"/>
      <c r="G64" s="16"/>
      <c r="H64" s="1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c r="AY64" s="14"/>
      <c r="AZ64" s="14"/>
      <c r="BA64" s="14"/>
      <c r="BB64" s="14"/>
      <c r="BC64" s="14"/>
      <c r="BD64" s="14"/>
      <c r="BE64" s="14"/>
      <c r="BF64" s="14"/>
      <c r="BG64" s="14"/>
      <c r="BH64" s="14"/>
      <c r="BI64" s="14"/>
      <c r="BJ64" s="14"/>
      <c r="BK64" s="14"/>
      <c r="BL64" s="14"/>
      <c r="BM64" s="14"/>
      <c r="BN64" s="14"/>
      <c r="BO64" s="14"/>
      <c r="BP64" s="14"/>
      <c r="BQ64" s="14"/>
      <c r="BR64" s="14"/>
      <c r="BS64" s="14"/>
      <c r="BT64" s="14"/>
      <c r="BU64" s="14"/>
      <c r="BV64" s="14"/>
      <c r="BW64" s="14"/>
      <c r="BX64" s="14"/>
      <c r="BY64" s="14"/>
      <c r="BZ64" s="14"/>
      <c r="CA64" s="14"/>
      <c r="CB64" s="14"/>
      <c r="CC64" s="14"/>
      <c r="CD64" s="14"/>
      <c r="CE64" s="14"/>
      <c r="CF64" s="14"/>
      <c r="CG64" s="14"/>
      <c r="CH64" s="14"/>
      <c r="CI64" s="14"/>
      <c r="CJ64" s="14"/>
      <c r="CK64" s="14"/>
      <c r="CL64" s="14"/>
      <c r="CM64" s="14"/>
      <c r="CN64" s="14"/>
      <c r="CO64" s="14"/>
      <c r="CP64" s="14"/>
      <c r="CQ64" s="14"/>
      <c r="CR64" s="14"/>
      <c r="CS64" s="14"/>
      <c r="CT64" s="14"/>
      <c r="CU64" s="14"/>
      <c r="CV64" s="14"/>
      <c r="CW64" s="14"/>
      <c r="CX64" s="14"/>
      <c r="CY64" s="14"/>
    </row>
    <row r="65" spans="1:103" ht="15.75" customHeight="1">
      <c r="A65" s="14"/>
      <c r="B65" s="14"/>
      <c r="C65" s="14"/>
      <c r="D65" s="14"/>
      <c r="E65" s="15"/>
      <c r="F65" s="14"/>
      <c r="G65" s="16"/>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c r="AY65" s="14"/>
      <c r="AZ65" s="14"/>
      <c r="BA65" s="14"/>
      <c r="BB65" s="14"/>
      <c r="BC65" s="14"/>
      <c r="BD65" s="14"/>
      <c r="BE65" s="14"/>
      <c r="BF65" s="14"/>
      <c r="BG65" s="14"/>
      <c r="BH65" s="14"/>
      <c r="BI65" s="14"/>
      <c r="BJ65" s="14"/>
      <c r="BK65" s="14"/>
      <c r="BL65" s="14"/>
      <c r="BM65" s="14"/>
      <c r="BN65" s="14"/>
      <c r="BO65" s="14"/>
      <c r="BP65" s="14"/>
      <c r="BQ65" s="14"/>
      <c r="BR65" s="14"/>
      <c r="BS65" s="14"/>
      <c r="BT65" s="14"/>
      <c r="BU65" s="14"/>
      <c r="BV65" s="14"/>
      <c r="BW65" s="14"/>
      <c r="BX65" s="14"/>
      <c r="BY65" s="14"/>
      <c r="BZ65" s="14"/>
      <c r="CA65" s="14"/>
      <c r="CB65" s="14"/>
      <c r="CC65" s="14"/>
      <c r="CD65" s="14"/>
      <c r="CE65" s="14"/>
      <c r="CF65" s="14"/>
      <c r="CG65" s="14"/>
      <c r="CH65" s="14"/>
      <c r="CI65" s="14"/>
      <c r="CJ65" s="14"/>
      <c r="CK65" s="14"/>
      <c r="CL65" s="14"/>
      <c r="CM65" s="14"/>
      <c r="CN65" s="14"/>
      <c r="CO65" s="14"/>
      <c r="CP65" s="14"/>
      <c r="CQ65" s="14"/>
      <c r="CR65" s="14"/>
      <c r="CS65" s="14"/>
      <c r="CT65" s="14"/>
      <c r="CU65" s="14"/>
      <c r="CV65" s="14"/>
      <c r="CW65" s="14"/>
      <c r="CX65" s="14"/>
      <c r="CY65" s="14"/>
    </row>
    <row r="66" spans="1:103" ht="15.75" customHeight="1">
      <c r="A66" s="14"/>
      <c r="B66" s="14"/>
      <c r="C66" s="14"/>
      <c r="D66" s="14"/>
      <c r="E66" s="15"/>
      <c r="F66" s="14"/>
      <c r="G66" s="16"/>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4"/>
      <c r="BK66" s="14"/>
      <c r="BL66" s="14"/>
      <c r="BM66" s="14"/>
      <c r="BN66" s="14"/>
      <c r="BO66" s="14"/>
      <c r="BP66" s="14"/>
      <c r="BQ66" s="14"/>
      <c r="BR66" s="14"/>
      <c r="BS66" s="14"/>
      <c r="BT66" s="14"/>
      <c r="BU66" s="14"/>
      <c r="BV66" s="14"/>
      <c r="BW66" s="14"/>
      <c r="BX66" s="14"/>
      <c r="BY66" s="14"/>
      <c r="BZ66" s="14"/>
      <c r="CA66" s="14"/>
      <c r="CB66" s="14"/>
      <c r="CC66" s="14"/>
      <c r="CD66" s="14"/>
      <c r="CE66" s="14"/>
      <c r="CF66" s="14"/>
      <c r="CG66" s="14"/>
      <c r="CH66" s="14"/>
      <c r="CI66" s="14"/>
      <c r="CJ66" s="14"/>
      <c r="CK66" s="14"/>
      <c r="CL66" s="14"/>
      <c r="CM66" s="14"/>
      <c r="CN66" s="14"/>
      <c r="CO66" s="14"/>
      <c r="CP66" s="14"/>
      <c r="CQ66" s="14"/>
      <c r="CR66" s="14"/>
      <c r="CS66" s="14"/>
      <c r="CT66" s="14"/>
      <c r="CU66" s="14"/>
      <c r="CV66" s="14"/>
      <c r="CW66" s="14"/>
      <c r="CX66" s="14"/>
      <c r="CY66" s="14"/>
    </row>
    <row r="67" spans="1:103" ht="15.75" customHeight="1">
      <c r="A67" s="14"/>
      <c r="B67" s="14"/>
      <c r="C67" s="14"/>
      <c r="D67" s="14"/>
      <c r="E67" s="15"/>
      <c r="F67" s="14"/>
      <c r="G67" s="16"/>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c r="AY67" s="14"/>
      <c r="AZ67" s="14"/>
      <c r="BA67" s="14"/>
      <c r="BB67" s="14"/>
      <c r="BC67" s="14"/>
      <c r="BD67" s="14"/>
      <c r="BE67" s="14"/>
      <c r="BF67" s="14"/>
      <c r="BG67" s="14"/>
      <c r="BH67" s="14"/>
      <c r="BI67" s="14"/>
      <c r="BJ67" s="14"/>
      <c r="BK67" s="14"/>
      <c r="BL67" s="14"/>
      <c r="BM67" s="14"/>
      <c r="BN67" s="14"/>
      <c r="BO67" s="14"/>
      <c r="BP67" s="14"/>
      <c r="BQ67" s="14"/>
      <c r="BR67" s="14"/>
      <c r="BS67" s="14"/>
      <c r="BT67" s="14"/>
      <c r="BU67" s="14"/>
      <c r="BV67" s="14"/>
      <c r="BW67" s="14"/>
      <c r="BX67" s="14"/>
      <c r="BY67" s="14"/>
      <c r="BZ67" s="14"/>
      <c r="CA67" s="14"/>
      <c r="CB67" s="14"/>
      <c r="CC67" s="14"/>
      <c r="CD67" s="14"/>
      <c r="CE67" s="14"/>
      <c r="CF67" s="14"/>
      <c r="CG67" s="14"/>
      <c r="CH67" s="14"/>
      <c r="CI67" s="14"/>
      <c r="CJ67" s="14"/>
      <c r="CK67" s="14"/>
      <c r="CL67" s="14"/>
      <c r="CM67" s="14"/>
      <c r="CN67" s="14"/>
      <c r="CO67" s="14"/>
      <c r="CP67" s="14"/>
      <c r="CQ67" s="14"/>
      <c r="CR67" s="14"/>
      <c r="CS67" s="14"/>
      <c r="CT67" s="14"/>
      <c r="CU67" s="14"/>
      <c r="CV67" s="14"/>
      <c r="CW67" s="14"/>
      <c r="CX67" s="14"/>
      <c r="CY67" s="14"/>
    </row>
    <row r="68" spans="1:103" ht="15.75" customHeight="1">
      <c r="A68" s="14"/>
      <c r="B68" s="14"/>
      <c r="C68" s="14"/>
      <c r="D68" s="14"/>
      <c r="E68" s="15"/>
      <c r="F68" s="14"/>
      <c r="G68" s="16"/>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c r="AY68" s="14"/>
      <c r="AZ68" s="14"/>
      <c r="BA68" s="14"/>
      <c r="BB68" s="14"/>
      <c r="BC68" s="14"/>
      <c r="BD68" s="14"/>
      <c r="BE68" s="14"/>
      <c r="BF68" s="14"/>
      <c r="BG68" s="14"/>
      <c r="BH68" s="14"/>
      <c r="BI68" s="14"/>
      <c r="BJ68" s="14"/>
      <c r="BK68" s="14"/>
      <c r="BL68" s="14"/>
      <c r="BM68" s="14"/>
      <c r="BN68" s="14"/>
      <c r="BO68" s="14"/>
      <c r="BP68" s="14"/>
      <c r="BQ68" s="14"/>
      <c r="BR68" s="14"/>
      <c r="BS68" s="14"/>
      <c r="BT68" s="14"/>
      <c r="BU68" s="14"/>
      <c r="BV68" s="14"/>
      <c r="BW68" s="14"/>
      <c r="BX68" s="14"/>
      <c r="BY68" s="14"/>
      <c r="BZ68" s="14"/>
      <c r="CA68" s="14"/>
      <c r="CB68" s="14"/>
      <c r="CC68" s="14"/>
      <c r="CD68" s="14"/>
      <c r="CE68" s="14"/>
      <c r="CF68" s="14"/>
      <c r="CG68" s="14"/>
      <c r="CH68" s="14"/>
      <c r="CI68" s="14"/>
      <c r="CJ68" s="14"/>
      <c r="CK68" s="14"/>
      <c r="CL68" s="14"/>
      <c r="CM68" s="14"/>
      <c r="CN68" s="14"/>
      <c r="CO68" s="14"/>
      <c r="CP68" s="14"/>
      <c r="CQ68" s="14"/>
      <c r="CR68" s="14"/>
      <c r="CS68" s="14"/>
      <c r="CT68" s="14"/>
      <c r="CU68" s="14"/>
      <c r="CV68" s="14"/>
      <c r="CW68" s="14"/>
      <c r="CX68" s="14"/>
      <c r="CY68" s="14"/>
    </row>
    <row r="69" spans="1:103" ht="15.75" customHeight="1">
      <c r="A69" s="14"/>
      <c r="B69" s="14"/>
      <c r="C69" s="14"/>
      <c r="D69" s="14"/>
      <c r="E69" s="15"/>
      <c r="F69" s="14"/>
      <c r="G69" s="16"/>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c r="AY69" s="14"/>
      <c r="AZ69" s="14"/>
      <c r="BA69" s="14"/>
      <c r="BB69" s="14"/>
      <c r="BC69" s="14"/>
      <c r="BD69" s="14"/>
      <c r="BE69" s="14"/>
      <c r="BF69" s="14"/>
      <c r="BG69" s="14"/>
      <c r="BH69" s="14"/>
      <c r="BI69" s="14"/>
      <c r="BJ69" s="14"/>
      <c r="BK69" s="14"/>
      <c r="BL69" s="14"/>
      <c r="BM69" s="14"/>
      <c r="BN69" s="14"/>
      <c r="BO69" s="14"/>
      <c r="BP69" s="14"/>
      <c r="BQ69" s="14"/>
      <c r="BR69" s="14"/>
      <c r="BS69" s="14"/>
      <c r="BT69" s="14"/>
      <c r="BU69" s="14"/>
      <c r="BV69" s="14"/>
      <c r="BW69" s="14"/>
      <c r="BX69" s="14"/>
      <c r="BY69" s="14"/>
      <c r="BZ69" s="14"/>
      <c r="CA69" s="14"/>
      <c r="CB69" s="14"/>
      <c r="CC69" s="14"/>
      <c r="CD69" s="14"/>
      <c r="CE69" s="14"/>
      <c r="CF69" s="14"/>
      <c r="CG69" s="14"/>
      <c r="CH69" s="14"/>
      <c r="CI69" s="14"/>
      <c r="CJ69" s="14"/>
      <c r="CK69" s="14"/>
      <c r="CL69" s="14"/>
      <c r="CM69" s="14"/>
      <c r="CN69" s="14"/>
      <c r="CO69" s="14"/>
      <c r="CP69" s="14"/>
      <c r="CQ69" s="14"/>
      <c r="CR69" s="14"/>
      <c r="CS69" s="14"/>
      <c r="CT69" s="14"/>
      <c r="CU69" s="14"/>
      <c r="CV69" s="14"/>
      <c r="CW69" s="14"/>
      <c r="CX69" s="14"/>
      <c r="CY69" s="14"/>
    </row>
    <row r="70" spans="1:103" ht="15.75" customHeight="1">
      <c r="A70" s="14"/>
      <c r="B70" s="14"/>
      <c r="C70" s="14"/>
      <c r="D70" s="14"/>
      <c r="E70" s="15"/>
      <c r="F70" s="14"/>
      <c r="G70" s="16"/>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c r="AY70" s="14"/>
      <c r="AZ70" s="14"/>
      <c r="BA70" s="14"/>
      <c r="BB70" s="14"/>
      <c r="BC70" s="14"/>
      <c r="BD70" s="14"/>
      <c r="BE70" s="14"/>
      <c r="BF70" s="14"/>
      <c r="BG70" s="14"/>
      <c r="BH70" s="14"/>
      <c r="BI70" s="14"/>
      <c r="BJ70" s="14"/>
      <c r="BK70" s="14"/>
      <c r="BL70" s="14"/>
      <c r="BM70" s="14"/>
      <c r="BN70" s="14"/>
      <c r="BO70" s="14"/>
      <c r="BP70" s="14"/>
      <c r="BQ70" s="14"/>
      <c r="BR70" s="14"/>
      <c r="BS70" s="14"/>
      <c r="BT70" s="14"/>
      <c r="BU70" s="14"/>
      <c r="BV70" s="14"/>
      <c r="BW70" s="14"/>
      <c r="BX70" s="14"/>
      <c r="BY70" s="14"/>
      <c r="BZ70" s="14"/>
      <c r="CA70" s="14"/>
      <c r="CB70" s="14"/>
      <c r="CC70" s="14"/>
      <c r="CD70" s="14"/>
      <c r="CE70" s="14"/>
      <c r="CF70" s="14"/>
      <c r="CG70" s="14"/>
      <c r="CH70" s="14"/>
      <c r="CI70" s="14"/>
      <c r="CJ70" s="14"/>
      <c r="CK70" s="14"/>
      <c r="CL70" s="14"/>
      <c r="CM70" s="14"/>
      <c r="CN70" s="14"/>
      <c r="CO70" s="14"/>
      <c r="CP70" s="14"/>
      <c r="CQ70" s="14"/>
      <c r="CR70" s="14"/>
      <c r="CS70" s="14"/>
      <c r="CT70" s="14"/>
      <c r="CU70" s="14"/>
      <c r="CV70" s="14"/>
      <c r="CW70" s="14"/>
      <c r="CX70" s="14"/>
      <c r="CY70" s="14"/>
    </row>
    <row r="71" spans="1:103" ht="15.75" customHeight="1">
      <c r="A71" s="14"/>
      <c r="B71" s="14"/>
      <c r="C71" s="14"/>
      <c r="D71" s="14"/>
      <c r="E71" s="15"/>
      <c r="F71" s="14"/>
      <c r="G71" s="16"/>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c r="AY71" s="14"/>
      <c r="AZ71" s="14"/>
      <c r="BA71" s="14"/>
      <c r="BB71" s="14"/>
      <c r="BC71" s="14"/>
      <c r="BD71" s="14"/>
      <c r="BE71" s="14"/>
      <c r="BF71" s="14"/>
      <c r="BG71" s="14"/>
      <c r="BH71" s="14"/>
      <c r="BI71" s="14"/>
      <c r="BJ71" s="14"/>
      <c r="BK71" s="14"/>
      <c r="BL71" s="14"/>
      <c r="BM71" s="14"/>
      <c r="BN71" s="14"/>
      <c r="BO71" s="14"/>
      <c r="BP71" s="14"/>
      <c r="BQ71" s="14"/>
      <c r="BR71" s="14"/>
      <c r="BS71" s="14"/>
      <c r="BT71" s="14"/>
      <c r="BU71" s="14"/>
      <c r="BV71" s="14"/>
      <c r="BW71" s="14"/>
      <c r="BX71" s="14"/>
      <c r="BY71" s="14"/>
      <c r="BZ71" s="14"/>
      <c r="CA71" s="14"/>
      <c r="CB71" s="14"/>
      <c r="CC71" s="14"/>
      <c r="CD71" s="14"/>
      <c r="CE71" s="14"/>
      <c r="CF71" s="14"/>
      <c r="CG71" s="14"/>
      <c r="CH71" s="14"/>
      <c r="CI71" s="14"/>
      <c r="CJ71" s="14"/>
      <c r="CK71" s="14"/>
      <c r="CL71" s="14"/>
      <c r="CM71" s="14"/>
      <c r="CN71" s="14"/>
      <c r="CO71" s="14"/>
      <c r="CP71" s="14"/>
      <c r="CQ71" s="14"/>
      <c r="CR71" s="14"/>
      <c r="CS71" s="14"/>
      <c r="CT71" s="14"/>
      <c r="CU71" s="14"/>
      <c r="CV71" s="14"/>
      <c r="CW71" s="14"/>
      <c r="CX71" s="14"/>
      <c r="CY71" s="14"/>
    </row>
    <row r="72" spans="1:103" ht="15.75" customHeight="1">
      <c r="A72" s="14"/>
      <c r="B72" s="14"/>
      <c r="C72" s="14"/>
      <c r="D72" s="14"/>
      <c r="E72" s="15"/>
      <c r="F72" s="14"/>
      <c r="G72" s="16"/>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c r="AY72" s="14"/>
      <c r="AZ72" s="14"/>
      <c r="BA72" s="14"/>
      <c r="BB72" s="14"/>
      <c r="BC72" s="14"/>
      <c r="BD72" s="14"/>
      <c r="BE72" s="14"/>
      <c r="BF72" s="14"/>
      <c r="BG72" s="14"/>
      <c r="BH72" s="14"/>
      <c r="BI72" s="14"/>
      <c r="BJ72" s="14"/>
      <c r="BK72" s="14"/>
      <c r="BL72" s="14"/>
      <c r="BM72" s="14"/>
      <c r="BN72" s="14"/>
      <c r="BO72" s="14"/>
      <c r="BP72" s="14"/>
      <c r="BQ72" s="14"/>
      <c r="BR72" s="14"/>
      <c r="BS72" s="14"/>
      <c r="BT72" s="14"/>
      <c r="BU72" s="14"/>
      <c r="BV72" s="14"/>
      <c r="BW72" s="14"/>
      <c r="BX72" s="14"/>
      <c r="BY72" s="14"/>
      <c r="BZ72" s="14"/>
      <c r="CA72" s="14"/>
      <c r="CB72" s="14"/>
      <c r="CC72" s="14"/>
      <c r="CD72" s="14"/>
      <c r="CE72" s="14"/>
      <c r="CF72" s="14"/>
      <c r="CG72" s="14"/>
      <c r="CH72" s="14"/>
      <c r="CI72" s="14"/>
      <c r="CJ72" s="14"/>
      <c r="CK72" s="14"/>
      <c r="CL72" s="14"/>
      <c r="CM72" s="14"/>
      <c r="CN72" s="14"/>
      <c r="CO72" s="14"/>
      <c r="CP72" s="14"/>
      <c r="CQ72" s="14"/>
      <c r="CR72" s="14"/>
      <c r="CS72" s="14"/>
      <c r="CT72" s="14"/>
      <c r="CU72" s="14"/>
      <c r="CV72" s="14"/>
      <c r="CW72" s="14"/>
      <c r="CX72" s="14"/>
      <c r="CY72" s="14"/>
    </row>
    <row r="73" spans="1:103" ht="15.75" customHeight="1">
      <c r="A73" s="14"/>
      <c r="B73" s="14"/>
      <c r="C73" s="14"/>
      <c r="D73" s="14"/>
      <c r="E73" s="15"/>
      <c r="F73" s="14"/>
      <c r="G73" s="16"/>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c r="AY73" s="14"/>
      <c r="AZ73" s="14"/>
      <c r="BA73" s="14"/>
      <c r="BB73" s="14"/>
      <c r="BC73" s="14"/>
      <c r="BD73" s="14"/>
      <c r="BE73" s="14"/>
      <c r="BF73" s="14"/>
      <c r="BG73" s="14"/>
      <c r="BH73" s="14"/>
      <c r="BI73" s="14"/>
      <c r="BJ73" s="14"/>
      <c r="BK73" s="14"/>
      <c r="BL73" s="14"/>
      <c r="BM73" s="14"/>
      <c r="BN73" s="14"/>
      <c r="BO73" s="14"/>
      <c r="BP73" s="14"/>
      <c r="BQ73" s="14"/>
      <c r="BR73" s="14"/>
      <c r="BS73" s="14"/>
      <c r="BT73" s="14"/>
      <c r="BU73" s="14"/>
      <c r="BV73" s="14"/>
      <c r="BW73" s="14"/>
      <c r="BX73" s="14"/>
      <c r="BY73" s="14"/>
      <c r="BZ73" s="14"/>
      <c r="CA73" s="14"/>
      <c r="CB73" s="14"/>
      <c r="CC73" s="14"/>
      <c r="CD73" s="14"/>
      <c r="CE73" s="14"/>
      <c r="CF73" s="14"/>
      <c r="CG73" s="14"/>
      <c r="CH73" s="14"/>
      <c r="CI73" s="14"/>
      <c r="CJ73" s="14"/>
      <c r="CK73" s="14"/>
      <c r="CL73" s="14"/>
      <c r="CM73" s="14"/>
      <c r="CN73" s="14"/>
      <c r="CO73" s="14"/>
      <c r="CP73" s="14"/>
      <c r="CQ73" s="14"/>
      <c r="CR73" s="14"/>
      <c r="CS73" s="14"/>
      <c r="CT73" s="14"/>
      <c r="CU73" s="14"/>
      <c r="CV73" s="14"/>
      <c r="CW73" s="14"/>
      <c r="CX73" s="14"/>
      <c r="CY73" s="14"/>
    </row>
    <row r="74" spans="1:103" ht="15.75" customHeight="1">
      <c r="A74" s="14"/>
      <c r="B74" s="14"/>
      <c r="C74" s="14"/>
      <c r="D74" s="14"/>
      <c r="E74" s="15"/>
      <c r="F74" s="14"/>
      <c r="G74" s="16"/>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c r="BY74" s="14"/>
      <c r="BZ74" s="14"/>
      <c r="CA74" s="14"/>
      <c r="CB74" s="14"/>
      <c r="CC74" s="14"/>
      <c r="CD74" s="14"/>
      <c r="CE74" s="14"/>
      <c r="CF74" s="14"/>
      <c r="CG74" s="14"/>
      <c r="CH74" s="14"/>
      <c r="CI74" s="14"/>
      <c r="CJ74" s="14"/>
      <c r="CK74" s="14"/>
      <c r="CL74" s="14"/>
      <c r="CM74" s="14"/>
      <c r="CN74" s="14"/>
      <c r="CO74" s="14"/>
      <c r="CP74" s="14"/>
      <c r="CQ74" s="14"/>
      <c r="CR74" s="14"/>
      <c r="CS74" s="14"/>
      <c r="CT74" s="14"/>
      <c r="CU74" s="14"/>
      <c r="CV74" s="14"/>
      <c r="CW74" s="14"/>
      <c r="CX74" s="14"/>
      <c r="CY74" s="14"/>
    </row>
    <row r="75" spans="1:103" ht="15.75" customHeight="1">
      <c r="A75" s="14"/>
      <c r="B75" s="14"/>
      <c r="C75" s="14"/>
      <c r="D75" s="14"/>
      <c r="E75" s="15"/>
      <c r="F75" s="14"/>
      <c r="G75" s="16"/>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c r="AY75" s="14"/>
      <c r="AZ75" s="14"/>
      <c r="BA75" s="14"/>
      <c r="BB75" s="14"/>
      <c r="BC75" s="14"/>
      <c r="BD75" s="14"/>
      <c r="BE75" s="14"/>
      <c r="BF75" s="14"/>
      <c r="BG75" s="14"/>
      <c r="BH75" s="14"/>
      <c r="BI75" s="14"/>
      <c r="BJ75" s="14"/>
      <c r="BK75" s="14"/>
      <c r="BL75" s="14"/>
      <c r="BM75" s="14"/>
      <c r="BN75" s="14"/>
      <c r="BO75" s="14"/>
      <c r="BP75" s="14"/>
      <c r="BQ75" s="14"/>
      <c r="BR75" s="14"/>
      <c r="BS75" s="14"/>
      <c r="BT75" s="14"/>
      <c r="BU75" s="14"/>
      <c r="BV75" s="14"/>
      <c r="BW75" s="14"/>
      <c r="BX75" s="14"/>
      <c r="BY75" s="14"/>
      <c r="BZ75" s="14"/>
      <c r="CA75" s="14"/>
      <c r="CB75" s="14"/>
      <c r="CC75" s="14"/>
      <c r="CD75" s="14"/>
      <c r="CE75" s="14"/>
      <c r="CF75" s="14"/>
      <c r="CG75" s="14"/>
      <c r="CH75" s="14"/>
      <c r="CI75" s="14"/>
      <c r="CJ75" s="14"/>
      <c r="CK75" s="14"/>
      <c r="CL75" s="14"/>
      <c r="CM75" s="14"/>
      <c r="CN75" s="14"/>
      <c r="CO75" s="14"/>
      <c r="CP75" s="14"/>
      <c r="CQ75" s="14"/>
      <c r="CR75" s="14"/>
      <c r="CS75" s="14"/>
      <c r="CT75" s="14"/>
      <c r="CU75" s="14"/>
      <c r="CV75" s="14"/>
      <c r="CW75" s="14"/>
      <c r="CX75" s="14"/>
      <c r="CY75" s="14"/>
    </row>
    <row r="76" spans="1:103" ht="15.75" customHeight="1">
      <c r="A76" s="14"/>
      <c r="B76" s="14"/>
      <c r="C76" s="14"/>
      <c r="D76" s="14"/>
      <c r="E76" s="15"/>
      <c r="F76" s="14"/>
      <c r="G76" s="16"/>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c r="AY76" s="14"/>
      <c r="AZ76" s="14"/>
      <c r="BA76" s="14"/>
      <c r="BB76" s="14"/>
      <c r="BC76" s="14"/>
      <c r="BD76" s="14"/>
      <c r="BE76" s="14"/>
      <c r="BF76" s="14"/>
      <c r="BG76" s="14"/>
      <c r="BH76" s="14"/>
      <c r="BI76" s="14"/>
      <c r="BJ76" s="14"/>
      <c r="BK76" s="14"/>
      <c r="BL76" s="14"/>
      <c r="BM76" s="14"/>
      <c r="BN76" s="14"/>
      <c r="BO76" s="14"/>
      <c r="BP76" s="14"/>
      <c r="BQ76" s="14"/>
      <c r="BR76" s="14"/>
      <c r="BS76" s="14"/>
      <c r="BT76" s="14"/>
      <c r="BU76" s="14"/>
      <c r="BV76" s="14"/>
      <c r="BW76" s="14"/>
      <c r="BX76" s="14"/>
      <c r="BY76" s="14"/>
      <c r="BZ76" s="14"/>
      <c r="CA76" s="14"/>
      <c r="CB76" s="14"/>
      <c r="CC76" s="14"/>
      <c r="CD76" s="14"/>
      <c r="CE76" s="14"/>
      <c r="CF76" s="14"/>
      <c r="CG76" s="14"/>
      <c r="CH76" s="14"/>
      <c r="CI76" s="14"/>
      <c r="CJ76" s="14"/>
      <c r="CK76" s="14"/>
      <c r="CL76" s="14"/>
      <c r="CM76" s="14"/>
      <c r="CN76" s="14"/>
      <c r="CO76" s="14"/>
      <c r="CP76" s="14"/>
      <c r="CQ76" s="14"/>
      <c r="CR76" s="14"/>
      <c r="CS76" s="14"/>
      <c r="CT76" s="14"/>
      <c r="CU76" s="14"/>
      <c r="CV76" s="14"/>
      <c r="CW76" s="14"/>
      <c r="CX76" s="14"/>
      <c r="CY76" s="14"/>
    </row>
    <row r="77" spans="1:103" ht="15.75" customHeight="1">
      <c r="A77" s="14"/>
      <c r="B77" s="14"/>
      <c r="C77" s="14"/>
      <c r="D77" s="14"/>
      <c r="E77" s="15"/>
      <c r="F77" s="14"/>
      <c r="G77" s="16"/>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c r="AY77" s="14"/>
      <c r="AZ77" s="14"/>
      <c r="BA77" s="14"/>
      <c r="BB77" s="14"/>
      <c r="BC77" s="14"/>
      <c r="BD77" s="14"/>
      <c r="BE77" s="14"/>
      <c r="BF77" s="14"/>
      <c r="BG77" s="14"/>
      <c r="BH77" s="14"/>
      <c r="BI77" s="14"/>
      <c r="BJ77" s="14"/>
      <c r="BK77" s="14"/>
      <c r="BL77" s="14"/>
      <c r="BM77" s="14"/>
      <c r="BN77" s="14"/>
      <c r="BO77" s="14"/>
      <c r="BP77" s="14"/>
      <c r="BQ77" s="14"/>
      <c r="BR77" s="14"/>
      <c r="BS77" s="14"/>
      <c r="BT77" s="14"/>
      <c r="BU77" s="14"/>
      <c r="BV77" s="14"/>
      <c r="BW77" s="14"/>
      <c r="BX77" s="14"/>
      <c r="BY77" s="14"/>
      <c r="BZ77" s="14"/>
      <c r="CA77" s="14"/>
      <c r="CB77" s="14"/>
      <c r="CC77" s="14"/>
      <c r="CD77" s="14"/>
      <c r="CE77" s="14"/>
      <c r="CF77" s="14"/>
      <c r="CG77" s="14"/>
      <c r="CH77" s="14"/>
      <c r="CI77" s="14"/>
      <c r="CJ77" s="14"/>
      <c r="CK77" s="14"/>
      <c r="CL77" s="14"/>
      <c r="CM77" s="14"/>
      <c r="CN77" s="14"/>
      <c r="CO77" s="14"/>
      <c r="CP77" s="14"/>
      <c r="CQ77" s="14"/>
      <c r="CR77" s="14"/>
      <c r="CS77" s="14"/>
      <c r="CT77" s="14"/>
      <c r="CU77" s="14"/>
      <c r="CV77" s="14"/>
      <c r="CW77" s="14"/>
      <c r="CX77" s="14"/>
      <c r="CY77" s="14"/>
    </row>
    <row r="78" spans="1:103" ht="15.75" customHeight="1">
      <c r="A78" s="14"/>
      <c r="B78" s="14"/>
      <c r="C78" s="14"/>
      <c r="D78" s="14"/>
      <c r="E78" s="15"/>
      <c r="F78" s="14"/>
      <c r="G78" s="16"/>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c r="AY78" s="14"/>
      <c r="AZ78" s="14"/>
      <c r="BA78" s="14"/>
      <c r="BB78" s="14"/>
      <c r="BC78" s="14"/>
      <c r="BD78" s="14"/>
      <c r="BE78" s="14"/>
      <c r="BF78" s="14"/>
      <c r="BG78" s="14"/>
      <c r="BH78" s="14"/>
      <c r="BI78" s="14"/>
      <c r="BJ78" s="14"/>
      <c r="BK78" s="14"/>
      <c r="BL78" s="14"/>
      <c r="BM78" s="14"/>
      <c r="BN78" s="14"/>
      <c r="BO78" s="14"/>
      <c r="BP78" s="14"/>
      <c r="BQ78" s="14"/>
      <c r="BR78" s="14"/>
      <c r="BS78" s="14"/>
      <c r="BT78" s="14"/>
      <c r="BU78" s="14"/>
      <c r="BV78" s="14"/>
      <c r="BW78" s="14"/>
      <c r="BX78" s="14"/>
      <c r="BY78" s="14"/>
      <c r="BZ78" s="14"/>
      <c r="CA78" s="14"/>
      <c r="CB78" s="14"/>
      <c r="CC78" s="14"/>
      <c r="CD78" s="14"/>
      <c r="CE78" s="14"/>
      <c r="CF78" s="14"/>
      <c r="CG78" s="14"/>
      <c r="CH78" s="14"/>
      <c r="CI78" s="14"/>
      <c r="CJ78" s="14"/>
      <c r="CK78" s="14"/>
      <c r="CL78" s="14"/>
      <c r="CM78" s="14"/>
      <c r="CN78" s="14"/>
      <c r="CO78" s="14"/>
      <c r="CP78" s="14"/>
      <c r="CQ78" s="14"/>
      <c r="CR78" s="14"/>
      <c r="CS78" s="14"/>
      <c r="CT78" s="14"/>
      <c r="CU78" s="14"/>
      <c r="CV78" s="14"/>
      <c r="CW78" s="14"/>
      <c r="CX78" s="14"/>
      <c r="CY78" s="14"/>
    </row>
    <row r="79" spans="1:103" ht="15.75" customHeight="1">
      <c r="A79" s="14"/>
      <c r="B79" s="14"/>
      <c r="C79" s="14"/>
      <c r="D79" s="14"/>
      <c r="E79" s="15"/>
      <c r="F79" s="14"/>
      <c r="G79" s="16"/>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14"/>
      <c r="BP79" s="14"/>
      <c r="BQ79" s="14"/>
      <c r="BR79" s="14"/>
      <c r="BS79" s="14"/>
      <c r="BT79" s="14"/>
      <c r="BU79" s="14"/>
      <c r="BV79" s="14"/>
      <c r="BW79" s="14"/>
      <c r="BX79" s="14"/>
      <c r="BY79" s="14"/>
      <c r="BZ79" s="14"/>
      <c r="CA79" s="14"/>
      <c r="CB79" s="14"/>
      <c r="CC79" s="14"/>
      <c r="CD79" s="14"/>
      <c r="CE79" s="14"/>
      <c r="CF79" s="14"/>
      <c r="CG79" s="14"/>
      <c r="CH79" s="14"/>
      <c r="CI79" s="14"/>
      <c r="CJ79" s="14"/>
      <c r="CK79" s="14"/>
      <c r="CL79" s="14"/>
      <c r="CM79" s="14"/>
      <c r="CN79" s="14"/>
      <c r="CO79" s="14"/>
      <c r="CP79" s="14"/>
      <c r="CQ79" s="14"/>
      <c r="CR79" s="14"/>
      <c r="CS79" s="14"/>
      <c r="CT79" s="14"/>
      <c r="CU79" s="14"/>
      <c r="CV79" s="14"/>
      <c r="CW79" s="14"/>
      <c r="CX79" s="14"/>
      <c r="CY79" s="14"/>
    </row>
    <row r="80" spans="1:103" ht="15.75" customHeight="1">
      <c r="A80" s="14"/>
      <c r="B80" s="14"/>
      <c r="C80" s="14"/>
      <c r="D80" s="14"/>
      <c r="E80" s="15"/>
      <c r="F80" s="14"/>
      <c r="G80" s="16"/>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c r="AY80" s="14"/>
      <c r="AZ80" s="14"/>
      <c r="BA80" s="14"/>
      <c r="BB80" s="14"/>
      <c r="BC80" s="14"/>
      <c r="BD80" s="14"/>
      <c r="BE80" s="14"/>
      <c r="BF80" s="14"/>
      <c r="BG80" s="14"/>
      <c r="BH80" s="14"/>
      <c r="BI80" s="14"/>
      <c r="BJ80" s="14"/>
      <c r="BK80" s="14"/>
      <c r="BL80" s="14"/>
      <c r="BM80" s="14"/>
      <c r="BN80" s="14"/>
      <c r="BO80" s="14"/>
      <c r="BP80" s="14"/>
      <c r="BQ80" s="14"/>
      <c r="BR80" s="14"/>
      <c r="BS80" s="14"/>
      <c r="BT80" s="14"/>
      <c r="BU80" s="14"/>
      <c r="BV80" s="14"/>
      <c r="BW80" s="14"/>
      <c r="BX80" s="14"/>
      <c r="BY80" s="14"/>
      <c r="BZ80" s="14"/>
      <c r="CA80" s="14"/>
      <c r="CB80" s="14"/>
      <c r="CC80" s="14"/>
      <c r="CD80" s="14"/>
      <c r="CE80" s="14"/>
      <c r="CF80" s="14"/>
      <c r="CG80" s="14"/>
      <c r="CH80" s="14"/>
      <c r="CI80" s="14"/>
      <c r="CJ80" s="14"/>
      <c r="CK80" s="14"/>
      <c r="CL80" s="14"/>
      <c r="CM80" s="14"/>
      <c r="CN80" s="14"/>
      <c r="CO80" s="14"/>
      <c r="CP80" s="14"/>
      <c r="CQ80" s="14"/>
      <c r="CR80" s="14"/>
      <c r="CS80" s="14"/>
      <c r="CT80" s="14"/>
      <c r="CU80" s="14"/>
      <c r="CV80" s="14"/>
      <c r="CW80" s="14"/>
      <c r="CX80" s="14"/>
      <c r="CY80" s="14"/>
    </row>
    <row r="81" spans="1:103" ht="15.75" customHeight="1">
      <c r="A81" s="14"/>
      <c r="B81" s="14"/>
      <c r="C81" s="14"/>
      <c r="D81" s="14"/>
      <c r="E81" s="15"/>
      <c r="F81" s="14"/>
      <c r="G81" s="16"/>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c r="AY81" s="14"/>
      <c r="AZ81" s="14"/>
      <c r="BA81" s="14"/>
      <c r="BB81" s="14"/>
      <c r="BC81" s="14"/>
      <c r="BD81" s="14"/>
      <c r="BE81" s="14"/>
      <c r="BF81" s="14"/>
      <c r="BG81" s="14"/>
      <c r="BH81" s="14"/>
      <c r="BI81" s="14"/>
      <c r="BJ81" s="14"/>
      <c r="BK81" s="14"/>
      <c r="BL81" s="14"/>
      <c r="BM81" s="14"/>
      <c r="BN81" s="14"/>
      <c r="BO81" s="14"/>
      <c r="BP81" s="14"/>
      <c r="BQ81" s="14"/>
      <c r="BR81" s="14"/>
      <c r="BS81" s="14"/>
      <c r="BT81" s="14"/>
      <c r="BU81" s="14"/>
      <c r="BV81" s="14"/>
      <c r="BW81" s="14"/>
      <c r="BX81" s="14"/>
      <c r="BY81" s="14"/>
      <c r="BZ81" s="14"/>
      <c r="CA81" s="14"/>
      <c r="CB81" s="14"/>
      <c r="CC81" s="14"/>
      <c r="CD81" s="14"/>
      <c r="CE81" s="14"/>
      <c r="CF81" s="14"/>
      <c r="CG81" s="14"/>
      <c r="CH81" s="14"/>
      <c r="CI81" s="14"/>
      <c r="CJ81" s="14"/>
      <c r="CK81" s="14"/>
      <c r="CL81" s="14"/>
      <c r="CM81" s="14"/>
      <c r="CN81" s="14"/>
      <c r="CO81" s="14"/>
      <c r="CP81" s="14"/>
      <c r="CQ81" s="14"/>
      <c r="CR81" s="14"/>
      <c r="CS81" s="14"/>
      <c r="CT81" s="14"/>
      <c r="CU81" s="14"/>
      <c r="CV81" s="14"/>
      <c r="CW81" s="14"/>
      <c r="CX81" s="14"/>
      <c r="CY81" s="14"/>
    </row>
    <row r="82" spans="1:103" ht="15.75" customHeight="1">
      <c r="A82" s="14"/>
      <c r="B82" s="14"/>
      <c r="C82" s="14"/>
      <c r="D82" s="14"/>
      <c r="E82" s="15"/>
      <c r="F82" s="14"/>
      <c r="G82" s="16"/>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c r="AY82" s="14"/>
      <c r="AZ82" s="14"/>
      <c r="BA82" s="14"/>
      <c r="BB82" s="14"/>
      <c r="BC82" s="14"/>
      <c r="BD82" s="14"/>
      <c r="BE82" s="14"/>
      <c r="BF82" s="14"/>
      <c r="BG82" s="14"/>
      <c r="BH82" s="14"/>
      <c r="BI82" s="14"/>
      <c r="BJ82" s="14"/>
      <c r="BK82" s="14"/>
      <c r="BL82" s="14"/>
      <c r="BM82" s="14"/>
      <c r="BN82" s="14"/>
      <c r="BO82" s="14"/>
      <c r="BP82" s="14"/>
      <c r="BQ82" s="14"/>
      <c r="BR82" s="14"/>
      <c r="BS82" s="14"/>
      <c r="BT82" s="14"/>
      <c r="BU82" s="14"/>
      <c r="BV82" s="14"/>
      <c r="BW82" s="14"/>
      <c r="BX82" s="14"/>
      <c r="BY82" s="14"/>
      <c r="BZ82" s="14"/>
      <c r="CA82" s="14"/>
      <c r="CB82" s="14"/>
      <c r="CC82" s="14"/>
      <c r="CD82" s="14"/>
      <c r="CE82" s="14"/>
      <c r="CF82" s="14"/>
      <c r="CG82" s="14"/>
      <c r="CH82" s="14"/>
      <c r="CI82" s="14"/>
      <c r="CJ82" s="14"/>
      <c r="CK82" s="14"/>
      <c r="CL82" s="14"/>
      <c r="CM82" s="14"/>
      <c r="CN82" s="14"/>
      <c r="CO82" s="14"/>
      <c r="CP82" s="14"/>
      <c r="CQ82" s="14"/>
      <c r="CR82" s="14"/>
      <c r="CS82" s="14"/>
      <c r="CT82" s="14"/>
      <c r="CU82" s="14"/>
      <c r="CV82" s="14"/>
      <c r="CW82" s="14"/>
      <c r="CX82" s="14"/>
      <c r="CY82" s="14"/>
    </row>
    <row r="83" spans="1:103" ht="15.75" customHeight="1">
      <c r="A83" s="14"/>
      <c r="B83" s="14"/>
      <c r="C83" s="14"/>
      <c r="D83" s="14"/>
      <c r="E83" s="15"/>
      <c r="F83" s="14"/>
      <c r="G83" s="16"/>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c r="AY83" s="14"/>
      <c r="AZ83" s="14"/>
      <c r="BA83" s="14"/>
      <c r="BB83" s="14"/>
      <c r="BC83" s="14"/>
      <c r="BD83" s="14"/>
      <c r="BE83" s="14"/>
      <c r="BF83" s="14"/>
      <c r="BG83" s="14"/>
      <c r="BH83" s="14"/>
      <c r="BI83" s="14"/>
      <c r="BJ83" s="14"/>
      <c r="BK83" s="14"/>
      <c r="BL83" s="14"/>
      <c r="BM83" s="14"/>
      <c r="BN83" s="14"/>
      <c r="BO83" s="14"/>
      <c r="BP83" s="14"/>
      <c r="BQ83" s="14"/>
      <c r="BR83" s="14"/>
      <c r="BS83" s="14"/>
      <c r="BT83" s="14"/>
      <c r="BU83" s="14"/>
      <c r="BV83" s="14"/>
      <c r="BW83" s="14"/>
      <c r="BX83" s="14"/>
      <c r="BY83" s="14"/>
      <c r="BZ83" s="14"/>
      <c r="CA83" s="14"/>
      <c r="CB83" s="14"/>
      <c r="CC83" s="14"/>
      <c r="CD83" s="14"/>
      <c r="CE83" s="14"/>
      <c r="CF83" s="14"/>
      <c r="CG83" s="14"/>
      <c r="CH83" s="14"/>
      <c r="CI83" s="14"/>
      <c r="CJ83" s="14"/>
      <c r="CK83" s="14"/>
      <c r="CL83" s="14"/>
      <c r="CM83" s="14"/>
      <c r="CN83" s="14"/>
      <c r="CO83" s="14"/>
      <c r="CP83" s="14"/>
      <c r="CQ83" s="14"/>
      <c r="CR83" s="14"/>
      <c r="CS83" s="14"/>
      <c r="CT83" s="14"/>
      <c r="CU83" s="14"/>
      <c r="CV83" s="14"/>
      <c r="CW83" s="14"/>
      <c r="CX83" s="14"/>
      <c r="CY83" s="14"/>
    </row>
    <row r="84" spans="1:103" ht="15.75" customHeight="1">
      <c r="A84" s="14"/>
      <c r="B84" s="14"/>
      <c r="C84" s="14"/>
      <c r="D84" s="14"/>
      <c r="E84" s="15"/>
      <c r="F84" s="14"/>
      <c r="G84" s="16"/>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c r="AY84" s="14"/>
      <c r="AZ84" s="14"/>
      <c r="BA84" s="14"/>
      <c r="BB84" s="14"/>
      <c r="BC84" s="14"/>
      <c r="BD84" s="14"/>
      <c r="BE84" s="14"/>
      <c r="BF84" s="14"/>
      <c r="BG84" s="14"/>
      <c r="BH84" s="14"/>
      <c r="BI84" s="14"/>
      <c r="BJ84" s="14"/>
      <c r="BK84" s="14"/>
      <c r="BL84" s="14"/>
      <c r="BM84" s="14"/>
      <c r="BN84" s="14"/>
      <c r="BO84" s="14"/>
      <c r="BP84" s="14"/>
      <c r="BQ84" s="14"/>
      <c r="BR84" s="14"/>
      <c r="BS84" s="14"/>
      <c r="BT84" s="14"/>
      <c r="BU84" s="14"/>
      <c r="BV84" s="14"/>
      <c r="BW84" s="14"/>
      <c r="BX84" s="14"/>
      <c r="BY84" s="14"/>
      <c r="BZ84" s="14"/>
      <c r="CA84" s="14"/>
      <c r="CB84" s="14"/>
      <c r="CC84" s="14"/>
      <c r="CD84" s="14"/>
      <c r="CE84" s="14"/>
      <c r="CF84" s="14"/>
      <c r="CG84" s="14"/>
      <c r="CH84" s="14"/>
      <c r="CI84" s="14"/>
      <c r="CJ84" s="14"/>
      <c r="CK84" s="14"/>
      <c r="CL84" s="14"/>
      <c r="CM84" s="14"/>
      <c r="CN84" s="14"/>
      <c r="CO84" s="14"/>
      <c r="CP84" s="14"/>
      <c r="CQ84" s="14"/>
      <c r="CR84" s="14"/>
      <c r="CS84" s="14"/>
      <c r="CT84" s="14"/>
      <c r="CU84" s="14"/>
      <c r="CV84" s="14"/>
      <c r="CW84" s="14"/>
      <c r="CX84" s="14"/>
      <c r="CY84" s="14"/>
    </row>
    <row r="85" spans="1:103" ht="15.75" customHeight="1">
      <c r="A85" s="14"/>
      <c r="B85" s="14"/>
      <c r="C85" s="14"/>
      <c r="D85" s="14"/>
      <c r="E85" s="15"/>
      <c r="F85" s="14"/>
      <c r="G85" s="16"/>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4"/>
      <c r="AZ85" s="14"/>
      <c r="BA85" s="14"/>
      <c r="BB85" s="14"/>
      <c r="BC85" s="14"/>
      <c r="BD85" s="14"/>
      <c r="BE85" s="14"/>
      <c r="BF85" s="14"/>
      <c r="BG85" s="14"/>
      <c r="BH85" s="14"/>
      <c r="BI85" s="14"/>
      <c r="BJ85" s="14"/>
      <c r="BK85" s="14"/>
      <c r="BL85" s="14"/>
      <c r="BM85" s="14"/>
      <c r="BN85" s="14"/>
      <c r="BO85" s="14"/>
      <c r="BP85" s="14"/>
      <c r="BQ85" s="14"/>
      <c r="BR85" s="14"/>
      <c r="BS85" s="14"/>
      <c r="BT85" s="14"/>
      <c r="BU85" s="14"/>
      <c r="BV85" s="14"/>
      <c r="BW85" s="14"/>
      <c r="BX85" s="14"/>
      <c r="BY85" s="14"/>
      <c r="BZ85" s="14"/>
      <c r="CA85" s="14"/>
      <c r="CB85" s="14"/>
      <c r="CC85" s="14"/>
      <c r="CD85" s="14"/>
      <c r="CE85" s="14"/>
      <c r="CF85" s="14"/>
      <c r="CG85" s="14"/>
      <c r="CH85" s="14"/>
      <c r="CI85" s="14"/>
      <c r="CJ85" s="14"/>
      <c r="CK85" s="14"/>
      <c r="CL85" s="14"/>
      <c r="CM85" s="14"/>
      <c r="CN85" s="14"/>
      <c r="CO85" s="14"/>
      <c r="CP85" s="14"/>
      <c r="CQ85" s="14"/>
      <c r="CR85" s="14"/>
      <c r="CS85" s="14"/>
      <c r="CT85" s="14"/>
      <c r="CU85" s="14"/>
      <c r="CV85" s="14"/>
      <c r="CW85" s="14"/>
      <c r="CX85" s="14"/>
      <c r="CY85" s="14"/>
    </row>
    <row r="86" spans="1:103" ht="15.75" customHeight="1">
      <c r="A86" s="14"/>
      <c r="B86" s="14"/>
      <c r="C86" s="14"/>
      <c r="D86" s="14"/>
      <c r="E86" s="15"/>
      <c r="F86" s="14"/>
      <c r="G86" s="16"/>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c r="AY86" s="14"/>
      <c r="AZ86" s="14"/>
      <c r="BA86" s="14"/>
      <c r="BB86" s="14"/>
      <c r="BC86" s="14"/>
      <c r="BD86" s="14"/>
      <c r="BE86" s="14"/>
      <c r="BF86" s="14"/>
      <c r="BG86" s="14"/>
      <c r="BH86" s="14"/>
      <c r="BI86" s="14"/>
      <c r="BJ86" s="14"/>
      <c r="BK86" s="14"/>
      <c r="BL86" s="14"/>
      <c r="BM86" s="14"/>
      <c r="BN86" s="14"/>
      <c r="BO86" s="14"/>
      <c r="BP86" s="14"/>
      <c r="BQ86" s="14"/>
      <c r="BR86" s="14"/>
      <c r="BS86" s="14"/>
      <c r="BT86" s="14"/>
      <c r="BU86" s="14"/>
      <c r="BV86" s="14"/>
      <c r="BW86" s="14"/>
      <c r="BX86" s="14"/>
      <c r="BY86" s="14"/>
      <c r="BZ86" s="14"/>
      <c r="CA86" s="14"/>
      <c r="CB86" s="14"/>
      <c r="CC86" s="14"/>
      <c r="CD86" s="14"/>
      <c r="CE86" s="14"/>
      <c r="CF86" s="14"/>
      <c r="CG86" s="14"/>
      <c r="CH86" s="14"/>
      <c r="CI86" s="14"/>
      <c r="CJ86" s="14"/>
      <c r="CK86" s="14"/>
      <c r="CL86" s="14"/>
      <c r="CM86" s="14"/>
      <c r="CN86" s="14"/>
      <c r="CO86" s="14"/>
      <c r="CP86" s="14"/>
      <c r="CQ86" s="14"/>
      <c r="CR86" s="14"/>
      <c r="CS86" s="14"/>
      <c r="CT86" s="14"/>
      <c r="CU86" s="14"/>
      <c r="CV86" s="14"/>
      <c r="CW86" s="14"/>
      <c r="CX86" s="14"/>
      <c r="CY86" s="14"/>
    </row>
    <row r="87" spans="1:103" ht="15.75" customHeight="1">
      <c r="A87" s="14"/>
      <c r="B87" s="14"/>
      <c r="C87" s="14"/>
      <c r="D87" s="14"/>
      <c r="E87" s="15"/>
      <c r="F87" s="14"/>
      <c r="G87" s="16"/>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c r="AY87" s="14"/>
      <c r="AZ87" s="14"/>
      <c r="BA87" s="14"/>
      <c r="BB87" s="14"/>
      <c r="BC87" s="14"/>
      <c r="BD87" s="14"/>
      <c r="BE87" s="14"/>
      <c r="BF87" s="14"/>
      <c r="BG87" s="14"/>
      <c r="BH87" s="14"/>
      <c r="BI87" s="14"/>
      <c r="BJ87" s="14"/>
      <c r="BK87" s="14"/>
      <c r="BL87" s="14"/>
      <c r="BM87" s="14"/>
      <c r="BN87" s="14"/>
      <c r="BO87" s="14"/>
      <c r="BP87" s="14"/>
      <c r="BQ87" s="14"/>
      <c r="BR87" s="14"/>
      <c r="BS87" s="14"/>
      <c r="BT87" s="14"/>
      <c r="BU87" s="14"/>
      <c r="BV87" s="14"/>
      <c r="BW87" s="14"/>
      <c r="BX87" s="14"/>
      <c r="BY87" s="14"/>
      <c r="BZ87" s="14"/>
      <c r="CA87" s="14"/>
      <c r="CB87" s="14"/>
      <c r="CC87" s="14"/>
      <c r="CD87" s="14"/>
      <c r="CE87" s="14"/>
      <c r="CF87" s="14"/>
      <c r="CG87" s="14"/>
      <c r="CH87" s="14"/>
      <c r="CI87" s="14"/>
      <c r="CJ87" s="14"/>
      <c r="CK87" s="14"/>
      <c r="CL87" s="14"/>
      <c r="CM87" s="14"/>
      <c r="CN87" s="14"/>
      <c r="CO87" s="14"/>
      <c r="CP87" s="14"/>
      <c r="CQ87" s="14"/>
      <c r="CR87" s="14"/>
      <c r="CS87" s="14"/>
      <c r="CT87" s="14"/>
      <c r="CU87" s="14"/>
      <c r="CV87" s="14"/>
      <c r="CW87" s="14"/>
      <c r="CX87" s="14"/>
      <c r="CY87" s="14"/>
    </row>
    <row r="88" spans="1:103" ht="15.75" customHeight="1">
      <c r="A88" s="14"/>
      <c r="B88" s="14"/>
      <c r="C88" s="14"/>
      <c r="D88" s="14"/>
      <c r="E88" s="15"/>
      <c r="F88" s="14"/>
      <c r="G88" s="16"/>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c r="AY88" s="14"/>
      <c r="AZ88" s="14"/>
      <c r="BA88" s="14"/>
      <c r="BB88" s="14"/>
      <c r="BC88" s="14"/>
      <c r="BD88" s="14"/>
      <c r="BE88" s="14"/>
      <c r="BF88" s="14"/>
      <c r="BG88" s="14"/>
      <c r="BH88" s="14"/>
      <c r="BI88" s="14"/>
      <c r="BJ88" s="14"/>
      <c r="BK88" s="14"/>
      <c r="BL88" s="14"/>
      <c r="BM88" s="14"/>
      <c r="BN88" s="14"/>
      <c r="BO88" s="14"/>
      <c r="BP88" s="14"/>
      <c r="BQ88" s="14"/>
      <c r="BR88" s="14"/>
      <c r="BS88" s="14"/>
      <c r="BT88" s="14"/>
      <c r="BU88" s="14"/>
      <c r="BV88" s="14"/>
      <c r="BW88" s="14"/>
      <c r="BX88" s="14"/>
      <c r="BY88" s="14"/>
      <c r="BZ88" s="14"/>
      <c r="CA88" s="14"/>
      <c r="CB88" s="14"/>
      <c r="CC88" s="14"/>
      <c r="CD88" s="14"/>
      <c r="CE88" s="14"/>
      <c r="CF88" s="14"/>
      <c r="CG88" s="14"/>
      <c r="CH88" s="14"/>
      <c r="CI88" s="14"/>
      <c r="CJ88" s="14"/>
      <c r="CK88" s="14"/>
      <c r="CL88" s="14"/>
      <c r="CM88" s="14"/>
      <c r="CN88" s="14"/>
      <c r="CO88" s="14"/>
      <c r="CP88" s="14"/>
      <c r="CQ88" s="14"/>
      <c r="CR88" s="14"/>
      <c r="CS88" s="14"/>
      <c r="CT88" s="14"/>
      <c r="CU88" s="14"/>
      <c r="CV88" s="14"/>
      <c r="CW88" s="14"/>
      <c r="CX88" s="14"/>
      <c r="CY88" s="14"/>
    </row>
    <row r="89" spans="1:103" ht="15.75" customHeight="1">
      <c r="A89" s="14"/>
      <c r="B89" s="14"/>
      <c r="C89" s="14"/>
      <c r="D89" s="14"/>
      <c r="E89" s="15"/>
      <c r="F89" s="14"/>
      <c r="G89" s="16"/>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c r="AY89" s="14"/>
      <c r="AZ89" s="14"/>
      <c r="BA89" s="14"/>
      <c r="BB89" s="14"/>
      <c r="BC89" s="14"/>
      <c r="BD89" s="14"/>
      <c r="BE89" s="14"/>
      <c r="BF89" s="14"/>
      <c r="BG89" s="14"/>
      <c r="BH89" s="14"/>
      <c r="BI89" s="14"/>
      <c r="BJ89" s="14"/>
      <c r="BK89" s="14"/>
      <c r="BL89" s="14"/>
      <c r="BM89" s="14"/>
      <c r="BN89" s="14"/>
      <c r="BO89" s="14"/>
      <c r="BP89" s="14"/>
      <c r="BQ89" s="14"/>
      <c r="BR89" s="14"/>
      <c r="BS89" s="14"/>
      <c r="BT89" s="14"/>
      <c r="BU89" s="14"/>
      <c r="BV89" s="14"/>
      <c r="BW89" s="14"/>
      <c r="BX89" s="14"/>
      <c r="BY89" s="14"/>
      <c r="BZ89" s="14"/>
      <c r="CA89" s="14"/>
      <c r="CB89" s="14"/>
      <c r="CC89" s="14"/>
      <c r="CD89" s="14"/>
      <c r="CE89" s="14"/>
      <c r="CF89" s="14"/>
      <c r="CG89" s="14"/>
      <c r="CH89" s="14"/>
      <c r="CI89" s="14"/>
      <c r="CJ89" s="14"/>
      <c r="CK89" s="14"/>
      <c r="CL89" s="14"/>
      <c r="CM89" s="14"/>
      <c r="CN89" s="14"/>
      <c r="CO89" s="14"/>
      <c r="CP89" s="14"/>
      <c r="CQ89" s="14"/>
      <c r="CR89" s="14"/>
      <c r="CS89" s="14"/>
      <c r="CT89" s="14"/>
      <c r="CU89" s="14"/>
      <c r="CV89" s="14"/>
      <c r="CW89" s="14"/>
      <c r="CX89" s="14"/>
      <c r="CY89" s="14"/>
    </row>
    <row r="90" spans="1:103" ht="15.75" customHeight="1">
      <c r="A90" s="14"/>
      <c r="B90" s="14"/>
      <c r="C90" s="14"/>
      <c r="D90" s="14"/>
      <c r="E90" s="15"/>
      <c r="F90" s="14"/>
      <c r="G90" s="16"/>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c r="AY90" s="14"/>
      <c r="AZ90" s="14"/>
      <c r="BA90" s="14"/>
      <c r="BB90" s="14"/>
      <c r="BC90" s="14"/>
      <c r="BD90" s="14"/>
      <c r="BE90" s="14"/>
      <c r="BF90" s="14"/>
      <c r="BG90" s="14"/>
      <c r="BH90" s="14"/>
      <c r="BI90" s="14"/>
      <c r="BJ90" s="14"/>
      <c r="BK90" s="14"/>
      <c r="BL90" s="14"/>
      <c r="BM90" s="14"/>
      <c r="BN90" s="14"/>
      <c r="BO90" s="14"/>
      <c r="BP90" s="14"/>
      <c r="BQ90" s="14"/>
      <c r="BR90" s="14"/>
      <c r="BS90" s="14"/>
      <c r="BT90" s="14"/>
      <c r="BU90" s="14"/>
      <c r="BV90" s="14"/>
      <c r="BW90" s="14"/>
      <c r="BX90" s="14"/>
      <c r="BY90" s="14"/>
      <c r="BZ90" s="14"/>
      <c r="CA90" s="14"/>
      <c r="CB90" s="14"/>
      <c r="CC90" s="14"/>
      <c r="CD90" s="14"/>
      <c r="CE90" s="14"/>
      <c r="CF90" s="14"/>
      <c r="CG90" s="14"/>
      <c r="CH90" s="14"/>
      <c r="CI90" s="14"/>
      <c r="CJ90" s="14"/>
      <c r="CK90" s="14"/>
      <c r="CL90" s="14"/>
      <c r="CM90" s="14"/>
      <c r="CN90" s="14"/>
      <c r="CO90" s="14"/>
      <c r="CP90" s="14"/>
      <c r="CQ90" s="14"/>
      <c r="CR90" s="14"/>
      <c r="CS90" s="14"/>
      <c r="CT90" s="14"/>
      <c r="CU90" s="14"/>
      <c r="CV90" s="14"/>
      <c r="CW90" s="14"/>
      <c r="CX90" s="14"/>
      <c r="CY90" s="14"/>
    </row>
    <row r="91" spans="1:103" ht="15.75" customHeight="1">
      <c r="A91" s="14"/>
      <c r="B91" s="14"/>
      <c r="C91" s="14"/>
      <c r="D91" s="14"/>
      <c r="E91" s="15"/>
      <c r="F91" s="14"/>
      <c r="G91" s="16"/>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c r="AY91" s="14"/>
      <c r="AZ91" s="14"/>
      <c r="BA91" s="14"/>
      <c r="BB91" s="14"/>
      <c r="BC91" s="14"/>
      <c r="BD91" s="14"/>
      <c r="BE91" s="14"/>
      <c r="BF91" s="14"/>
      <c r="BG91" s="14"/>
      <c r="BH91" s="14"/>
      <c r="BI91" s="14"/>
      <c r="BJ91" s="14"/>
      <c r="BK91" s="14"/>
      <c r="BL91" s="14"/>
      <c r="BM91" s="14"/>
      <c r="BN91" s="14"/>
      <c r="BO91" s="14"/>
      <c r="BP91" s="14"/>
      <c r="BQ91" s="14"/>
      <c r="BR91" s="14"/>
      <c r="BS91" s="14"/>
      <c r="BT91" s="14"/>
      <c r="BU91" s="14"/>
      <c r="BV91" s="14"/>
      <c r="BW91" s="14"/>
      <c r="BX91" s="14"/>
      <c r="BY91" s="14"/>
      <c r="BZ91" s="14"/>
      <c r="CA91" s="14"/>
      <c r="CB91" s="14"/>
      <c r="CC91" s="14"/>
      <c r="CD91" s="14"/>
      <c r="CE91" s="14"/>
      <c r="CF91" s="14"/>
      <c r="CG91" s="14"/>
      <c r="CH91" s="14"/>
      <c r="CI91" s="14"/>
      <c r="CJ91" s="14"/>
      <c r="CK91" s="14"/>
      <c r="CL91" s="14"/>
      <c r="CM91" s="14"/>
      <c r="CN91" s="14"/>
      <c r="CO91" s="14"/>
      <c r="CP91" s="14"/>
      <c r="CQ91" s="14"/>
      <c r="CR91" s="14"/>
      <c r="CS91" s="14"/>
      <c r="CT91" s="14"/>
      <c r="CU91" s="14"/>
      <c r="CV91" s="14"/>
      <c r="CW91" s="14"/>
      <c r="CX91" s="14"/>
      <c r="CY91" s="14"/>
    </row>
    <row r="92" spans="1:103" ht="15.75" customHeight="1">
      <c r="A92" s="14"/>
      <c r="B92" s="14"/>
      <c r="C92" s="14"/>
      <c r="D92" s="14"/>
      <c r="E92" s="15"/>
      <c r="F92" s="14"/>
      <c r="G92" s="16"/>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c r="AY92" s="14"/>
      <c r="AZ92" s="14"/>
      <c r="BA92" s="14"/>
      <c r="BB92" s="14"/>
      <c r="BC92" s="14"/>
      <c r="BD92" s="14"/>
      <c r="BE92" s="14"/>
      <c r="BF92" s="14"/>
      <c r="BG92" s="14"/>
      <c r="BH92" s="14"/>
      <c r="BI92" s="14"/>
      <c r="BJ92" s="14"/>
      <c r="BK92" s="14"/>
      <c r="BL92" s="14"/>
      <c r="BM92" s="14"/>
      <c r="BN92" s="14"/>
      <c r="BO92" s="14"/>
      <c r="BP92" s="14"/>
      <c r="BQ92" s="14"/>
      <c r="BR92" s="14"/>
      <c r="BS92" s="14"/>
      <c r="BT92" s="14"/>
      <c r="BU92" s="14"/>
      <c r="BV92" s="14"/>
      <c r="BW92" s="14"/>
      <c r="BX92" s="14"/>
      <c r="BY92" s="14"/>
      <c r="BZ92" s="14"/>
      <c r="CA92" s="14"/>
      <c r="CB92" s="14"/>
      <c r="CC92" s="14"/>
      <c r="CD92" s="14"/>
      <c r="CE92" s="14"/>
      <c r="CF92" s="14"/>
      <c r="CG92" s="14"/>
      <c r="CH92" s="14"/>
      <c r="CI92" s="14"/>
      <c r="CJ92" s="14"/>
      <c r="CK92" s="14"/>
      <c r="CL92" s="14"/>
      <c r="CM92" s="14"/>
      <c r="CN92" s="14"/>
      <c r="CO92" s="14"/>
      <c r="CP92" s="14"/>
      <c r="CQ92" s="14"/>
      <c r="CR92" s="14"/>
      <c r="CS92" s="14"/>
      <c r="CT92" s="14"/>
      <c r="CU92" s="14"/>
      <c r="CV92" s="14"/>
      <c r="CW92" s="14"/>
      <c r="CX92" s="14"/>
      <c r="CY92" s="14"/>
    </row>
    <row r="93" spans="1:103" ht="15.75" customHeight="1">
      <c r="A93" s="14"/>
      <c r="B93" s="14"/>
      <c r="C93" s="14"/>
      <c r="D93" s="14"/>
      <c r="E93" s="15"/>
      <c r="F93" s="14"/>
      <c r="G93" s="16"/>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c r="AY93" s="14"/>
      <c r="AZ93" s="14"/>
      <c r="BA93" s="14"/>
      <c r="BB93" s="14"/>
      <c r="BC93" s="14"/>
      <c r="BD93" s="14"/>
      <c r="BE93" s="14"/>
      <c r="BF93" s="14"/>
      <c r="BG93" s="14"/>
      <c r="BH93" s="14"/>
      <c r="BI93" s="14"/>
      <c r="BJ93" s="14"/>
      <c r="BK93" s="14"/>
      <c r="BL93" s="14"/>
      <c r="BM93" s="14"/>
      <c r="BN93" s="14"/>
      <c r="BO93" s="14"/>
      <c r="BP93" s="14"/>
      <c r="BQ93" s="14"/>
      <c r="BR93" s="14"/>
      <c r="BS93" s="14"/>
      <c r="BT93" s="14"/>
      <c r="BU93" s="14"/>
      <c r="BV93" s="14"/>
      <c r="BW93" s="14"/>
      <c r="BX93" s="14"/>
      <c r="BY93" s="14"/>
      <c r="BZ93" s="14"/>
      <c r="CA93" s="14"/>
      <c r="CB93" s="14"/>
      <c r="CC93" s="14"/>
      <c r="CD93" s="14"/>
      <c r="CE93" s="14"/>
      <c r="CF93" s="14"/>
      <c r="CG93" s="14"/>
      <c r="CH93" s="14"/>
      <c r="CI93" s="14"/>
      <c r="CJ93" s="14"/>
      <c r="CK93" s="14"/>
      <c r="CL93" s="14"/>
      <c r="CM93" s="14"/>
      <c r="CN93" s="14"/>
      <c r="CO93" s="14"/>
      <c r="CP93" s="14"/>
      <c r="CQ93" s="14"/>
      <c r="CR93" s="14"/>
      <c r="CS93" s="14"/>
      <c r="CT93" s="14"/>
      <c r="CU93" s="14"/>
      <c r="CV93" s="14"/>
      <c r="CW93" s="14"/>
      <c r="CX93" s="14"/>
      <c r="CY93" s="14"/>
    </row>
    <row r="94" spans="1:103" ht="15.75" customHeight="1">
      <c r="A94" s="14"/>
      <c r="B94" s="14"/>
      <c r="C94" s="14"/>
      <c r="D94" s="14"/>
      <c r="E94" s="15"/>
      <c r="F94" s="14"/>
      <c r="G94" s="16"/>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c r="AY94" s="14"/>
      <c r="AZ94" s="14"/>
      <c r="BA94" s="14"/>
      <c r="BB94" s="14"/>
      <c r="BC94" s="14"/>
      <c r="BD94" s="14"/>
      <c r="BE94" s="14"/>
      <c r="BF94" s="14"/>
      <c r="BG94" s="14"/>
      <c r="BH94" s="14"/>
      <c r="BI94" s="14"/>
      <c r="BJ94" s="14"/>
      <c r="BK94" s="14"/>
      <c r="BL94" s="14"/>
      <c r="BM94" s="14"/>
      <c r="BN94" s="14"/>
      <c r="BO94" s="14"/>
      <c r="BP94" s="14"/>
      <c r="BQ94" s="14"/>
      <c r="BR94" s="14"/>
      <c r="BS94" s="14"/>
      <c r="BT94" s="14"/>
      <c r="BU94" s="14"/>
      <c r="BV94" s="14"/>
      <c r="BW94" s="14"/>
      <c r="BX94" s="14"/>
      <c r="BY94" s="14"/>
      <c r="BZ94" s="14"/>
      <c r="CA94" s="14"/>
      <c r="CB94" s="14"/>
      <c r="CC94" s="14"/>
      <c r="CD94" s="14"/>
      <c r="CE94" s="14"/>
      <c r="CF94" s="14"/>
      <c r="CG94" s="14"/>
      <c r="CH94" s="14"/>
      <c r="CI94" s="14"/>
      <c r="CJ94" s="14"/>
      <c r="CK94" s="14"/>
      <c r="CL94" s="14"/>
      <c r="CM94" s="14"/>
      <c r="CN94" s="14"/>
      <c r="CO94" s="14"/>
      <c r="CP94" s="14"/>
      <c r="CQ94" s="14"/>
      <c r="CR94" s="14"/>
      <c r="CS94" s="14"/>
      <c r="CT94" s="14"/>
      <c r="CU94" s="14"/>
      <c r="CV94" s="14"/>
      <c r="CW94" s="14"/>
      <c r="CX94" s="14"/>
      <c r="CY94" s="14"/>
    </row>
    <row r="95" spans="1:103" ht="15.75" customHeight="1">
      <c r="A95" s="14"/>
      <c r="B95" s="14"/>
      <c r="C95" s="14"/>
      <c r="D95" s="14"/>
      <c r="E95" s="15"/>
      <c r="F95" s="14"/>
      <c r="G95" s="16"/>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c r="AY95" s="14"/>
      <c r="AZ95" s="14"/>
      <c r="BA95" s="14"/>
      <c r="BB95" s="14"/>
      <c r="BC95" s="14"/>
      <c r="BD95" s="14"/>
      <c r="BE95" s="14"/>
      <c r="BF95" s="14"/>
      <c r="BG95" s="14"/>
      <c r="BH95" s="14"/>
      <c r="BI95" s="14"/>
      <c r="BJ95" s="14"/>
      <c r="BK95" s="14"/>
      <c r="BL95" s="14"/>
      <c r="BM95" s="14"/>
      <c r="BN95" s="14"/>
      <c r="BO95" s="14"/>
      <c r="BP95" s="14"/>
      <c r="BQ95" s="14"/>
      <c r="BR95" s="14"/>
      <c r="BS95" s="14"/>
      <c r="BT95" s="14"/>
      <c r="BU95" s="14"/>
      <c r="BV95" s="14"/>
      <c r="BW95" s="14"/>
      <c r="BX95" s="14"/>
      <c r="BY95" s="14"/>
      <c r="BZ95" s="14"/>
      <c r="CA95" s="14"/>
      <c r="CB95" s="14"/>
      <c r="CC95" s="14"/>
      <c r="CD95" s="14"/>
      <c r="CE95" s="14"/>
      <c r="CF95" s="14"/>
      <c r="CG95" s="14"/>
      <c r="CH95" s="14"/>
      <c r="CI95" s="14"/>
      <c r="CJ95" s="14"/>
      <c r="CK95" s="14"/>
      <c r="CL95" s="14"/>
      <c r="CM95" s="14"/>
      <c r="CN95" s="14"/>
      <c r="CO95" s="14"/>
      <c r="CP95" s="14"/>
      <c r="CQ95" s="14"/>
      <c r="CR95" s="14"/>
      <c r="CS95" s="14"/>
      <c r="CT95" s="14"/>
      <c r="CU95" s="14"/>
      <c r="CV95" s="14"/>
      <c r="CW95" s="14"/>
      <c r="CX95" s="14"/>
      <c r="CY95" s="14"/>
    </row>
    <row r="96" spans="1:103" ht="15.75" customHeight="1">
      <c r="A96" s="14"/>
      <c r="B96" s="14"/>
      <c r="C96" s="14"/>
      <c r="D96" s="14"/>
      <c r="E96" s="15"/>
      <c r="F96" s="14"/>
      <c r="G96" s="16"/>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4"/>
      <c r="AZ96" s="14"/>
      <c r="BA96" s="14"/>
      <c r="BB96" s="14"/>
      <c r="BC96" s="14"/>
      <c r="BD96" s="14"/>
      <c r="BE96" s="14"/>
      <c r="BF96" s="14"/>
      <c r="BG96" s="14"/>
      <c r="BH96" s="14"/>
      <c r="BI96" s="14"/>
      <c r="BJ96" s="14"/>
      <c r="BK96" s="14"/>
      <c r="BL96" s="14"/>
      <c r="BM96" s="14"/>
      <c r="BN96" s="14"/>
      <c r="BO96" s="14"/>
      <c r="BP96" s="14"/>
      <c r="BQ96" s="14"/>
      <c r="BR96" s="14"/>
      <c r="BS96" s="14"/>
      <c r="BT96" s="14"/>
      <c r="BU96" s="14"/>
      <c r="BV96" s="14"/>
      <c r="BW96" s="14"/>
      <c r="BX96" s="14"/>
      <c r="BY96" s="14"/>
      <c r="BZ96" s="14"/>
      <c r="CA96" s="14"/>
      <c r="CB96" s="14"/>
      <c r="CC96" s="14"/>
      <c r="CD96" s="14"/>
      <c r="CE96" s="14"/>
      <c r="CF96" s="14"/>
      <c r="CG96" s="14"/>
      <c r="CH96" s="14"/>
      <c r="CI96" s="14"/>
      <c r="CJ96" s="14"/>
      <c r="CK96" s="14"/>
      <c r="CL96" s="14"/>
      <c r="CM96" s="14"/>
      <c r="CN96" s="14"/>
      <c r="CO96" s="14"/>
      <c r="CP96" s="14"/>
      <c r="CQ96" s="14"/>
      <c r="CR96" s="14"/>
      <c r="CS96" s="14"/>
      <c r="CT96" s="14"/>
      <c r="CU96" s="14"/>
      <c r="CV96" s="14"/>
      <c r="CW96" s="14"/>
      <c r="CX96" s="14"/>
      <c r="CY96" s="14"/>
    </row>
    <row r="97" spans="1:103" ht="15.75" customHeight="1">
      <c r="A97" s="14"/>
      <c r="B97" s="14"/>
      <c r="C97" s="14"/>
      <c r="D97" s="14"/>
      <c r="E97" s="15"/>
      <c r="F97" s="14"/>
      <c r="G97" s="16"/>
      <c r="H97" s="1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c r="AY97" s="14"/>
      <c r="AZ97" s="14"/>
      <c r="BA97" s="14"/>
      <c r="BB97" s="14"/>
      <c r="BC97" s="14"/>
      <c r="BD97" s="14"/>
      <c r="BE97" s="14"/>
      <c r="BF97" s="14"/>
      <c r="BG97" s="14"/>
      <c r="BH97" s="14"/>
      <c r="BI97" s="14"/>
      <c r="BJ97" s="14"/>
      <c r="BK97" s="14"/>
      <c r="BL97" s="14"/>
      <c r="BM97" s="14"/>
      <c r="BN97" s="14"/>
      <c r="BO97" s="14"/>
      <c r="BP97" s="14"/>
      <c r="BQ97" s="14"/>
      <c r="BR97" s="14"/>
      <c r="BS97" s="14"/>
      <c r="BT97" s="14"/>
      <c r="BU97" s="14"/>
      <c r="BV97" s="14"/>
      <c r="BW97" s="14"/>
      <c r="BX97" s="14"/>
      <c r="BY97" s="14"/>
      <c r="BZ97" s="14"/>
      <c r="CA97" s="14"/>
      <c r="CB97" s="14"/>
      <c r="CC97" s="14"/>
      <c r="CD97" s="14"/>
      <c r="CE97" s="14"/>
      <c r="CF97" s="14"/>
      <c r="CG97" s="14"/>
      <c r="CH97" s="14"/>
      <c r="CI97" s="14"/>
      <c r="CJ97" s="14"/>
      <c r="CK97" s="14"/>
      <c r="CL97" s="14"/>
      <c r="CM97" s="14"/>
      <c r="CN97" s="14"/>
      <c r="CO97" s="14"/>
      <c r="CP97" s="14"/>
      <c r="CQ97" s="14"/>
      <c r="CR97" s="14"/>
      <c r="CS97" s="14"/>
      <c r="CT97" s="14"/>
      <c r="CU97" s="14"/>
      <c r="CV97" s="14"/>
      <c r="CW97" s="14"/>
      <c r="CX97" s="14"/>
      <c r="CY97" s="14"/>
    </row>
    <row r="98" spans="1:103" ht="15.75" customHeight="1">
      <c r="A98" s="14"/>
      <c r="B98" s="14"/>
      <c r="C98" s="14"/>
      <c r="D98" s="14"/>
      <c r="E98" s="15"/>
      <c r="F98" s="14"/>
      <c r="G98" s="16"/>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c r="AY98" s="14"/>
      <c r="AZ98" s="14"/>
      <c r="BA98" s="14"/>
      <c r="BB98" s="14"/>
      <c r="BC98" s="14"/>
      <c r="BD98" s="14"/>
      <c r="BE98" s="14"/>
      <c r="BF98" s="14"/>
      <c r="BG98" s="14"/>
      <c r="BH98" s="14"/>
      <c r="BI98" s="14"/>
      <c r="BJ98" s="14"/>
      <c r="BK98" s="14"/>
      <c r="BL98" s="14"/>
      <c r="BM98" s="14"/>
      <c r="BN98" s="14"/>
      <c r="BO98" s="14"/>
      <c r="BP98" s="14"/>
      <c r="BQ98" s="14"/>
      <c r="BR98" s="14"/>
      <c r="BS98" s="14"/>
      <c r="BT98" s="14"/>
      <c r="BU98" s="14"/>
      <c r="BV98" s="14"/>
      <c r="BW98" s="14"/>
      <c r="BX98" s="14"/>
      <c r="BY98" s="14"/>
      <c r="BZ98" s="14"/>
      <c r="CA98" s="14"/>
      <c r="CB98" s="14"/>
      <c r="CC98" s="14"/>
      <c r="CD98" s="14"/>
      <c r="CE98" s="14"/>
      <c r="CF98" s="14"/>
      <c r="CG98" s="14"/>
      <c r="CH98" s="14"/>
      <c r="CI98" s="14"/>
      <c r="CJ98" s="14"/>
      <c r="CK98" s="14"/>
      <c r="CL98" s="14"/>
      <c r="CM98" s="14"/>
      <c r="CN98" s="14"/>
      <c r="CO98" s="14"/>
      <c r="CP98" s="14"/>
      <c r="CQ98" s="14"/>
      <c r="CR98" s="14"/>
      <c r="CS98" s="14"/>
      <c r="CT98" s="14"/>
      <c r="CU98" s="14"/>
      <c r="CV98" s="14"/>
      <c r="CW98" s="14"/>
      <c r="CX98" s="14"/>
      <c r="CY98" s="14"/>
    </row>
    <row r="99" spans="1:103" ht="15.75" customHeight="1">
      <c r="A99" s="14"/>
      <c r="B99" s="14"/>
      <c r="C99" s="14"/>
      <c r="D99" s="14"/>
      <c r="E99" s="15"/>
      <c r="F99" s="14"/>
      <c r="G99" s="16"/>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c r="AY99" s="14"/>
      <c r="AZ99" s="14"/>
      <c r="BA99" s="14"/>
      <c r="BB99" s="14"/>
      <c r="BC99" s="14"/>
      <c r="BD99" s="14"/>
      <c r="BE99" s="14"/>
      <c r="BF99" s="14"/>
      <c r="BG99" s="14"/>
      <c r="BH99" s="14"/>
      <c r="BI99" s="14"/>
      <c r="BJ99" s="14"/>
      <c r="BK99" s="14"/>
      <c r="BL99" s="14"/>
      <c r="BM99" s="14"/>
      <c r="BN99" s="14"/>
      <c r="BO99" s="14"/>
      <c r="BP99" s="14"/>
      <c r="BQ99" s="14"/>
      <c r="BR99" s="14"/>
      <c r="BS99" s="14"/>
      <c r="BT99" s="14"/>
      <c r="BU99" s="14"/>
      <c r="BV99" s="14"/>
      <c r="BW99" s="14"/>
      <c r="BX99" s="14"/>
      <c r="BY99" s="14"/>
      <c r="BZ99" s="14"/>
      <c r="CA99" s="14"/>
      <c r="CB99" s="14"/>
      <c r="CC99" s="14"/>
      <c r="CD99" s="14"/>
      <c r="CE99" s="14"/>
      <c r="CF99" s="14"/>
      <c r="CG99" s="14"/>
      <c r="CH99" s="14"/>
      <c r="CI99" s="14"/>
      <c r="CJ99" s="14"/>
      <c r="CK99" s="14"/>
      <c r="CL99" s="14"/>
      <c r="CM99" s="14"/>
      <c r="CN99" s="14"/>
      <c r="CO99" s="14"/>
      <c r="CP99" s="14"/>
      <c r="CQ99" s="14"/>
      <c r="CR99" s="14"/>
      <c r="CS99" s="14"/>
      <c r="CT99" s="14"/>
      <c r="CU99" s="14"/>
      <c r="CV99" s="14"/>
      <c r="CW99" s="14"/>
      <c r="CX99" s="14"/>
      <c r="CY99" s="14"/>
    </row>
    <row r="100" spans="1:103" ht="15.75" customHeight="1">
      <c r="A100" s="14"/>
      <c r="B100" s="14"/>
      <c r="C100" s="14"/>
      <c r="D100" s="14"/>
      <c r="E100" s="15"/>
      <c r="F100" s="14"/>
      <c r="G100" s="16"/>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c r="AY100" s="14"/>
      <c r="AZ100" s="14"/>
      <c r="BA100" s="14"/>
      <c r="BB100" s="14"/>
      <c r="BC100" s="14"/>
      <c r="BD100" s="14"/>
      <c r="BE100" s="14"/>
      <c r="BF100" s="14"/>
      <c r="BG100" s="14"/>
      <c r="BH100" s="14"/>
      <c r="BI100" s="14"/>
      <c r="BJ100" s="14"/>
      <c r="BK100" s="14"/>
      <c r="BL100" s="14"/>
      <c r="BM100" s="14"/>
      <c r="BN100" s="14"/>
      <c r="BO100" s="14"/>
      <c r="BP100" s="14"/>
      <c r="BQ100" s="14"/>
      <c r="BR100" s="14"/>
      <c r="BS100" s="14"/>
      <c r="BT100" s="14"/>
      <c r="BU100" s="14"/>
      <c r="BV100" s="14"/>
      <c r="BW100" s="14"/>
      <c r="BX100" s="14"/>
      <c r="BY100" s="14"/>
      <c r="BZ100" s="14"/>
      <c r="CA100" s="14"/>
      <c r="CB100" s="14"/>
      <c r="CC100" s="14"/>
      <c r="CD100" s="14"/>
      <c r="CE100" s="14"/>
      <c r="CF100" s="14"/>
      <c r="CG100" s="14"/>
      <c r="CH100" s="14"/>
      <c r="CI100" s="14"/>
      <c r="CJ100" s="14"/>
      <c r="CK100" s="14"/>
      <c r="CL100" s="14"/>
      <c r="CM100" s="14"/>
      <c r="CN100" s="14"/>
      <c r="CO100" s="14"/>
      <c r="CP100" s="14"/>
      <c r="CQ100" s="14"/>
      <c r="CR100" s="14"/>
      <c r="CS100" s="14"/>
      <c r="CT100" s="14"/>
      <c r="CU100" s="14"/>
      <c r="CV100" s="14"/>
      <c r="CW100" s="14"/>
      <c r="CX100" s="14"/>
      <c r="CY100" s="14"/>
    </row>
    <row r="101" spans="1:103" ht="15.75" customHeight="1">
      <c r="A101" s="14"/>
      <c r="B101" s="14"/>
      <c r="C101" s="14"/>
      <c r="D101" s="14"/>
      <c r="E101" s="15"/>
      <c r="F101" s="14"/>
      <c r="G101" s="16"/>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c r="AY101" s="14"/>
      <c r="AZ101" s="14"/>
      <c r="BA101" s="14"/>
      <c r="BB101" s="14"/>
      <c r="BC101" s="14"/>
      <c r="BD101" s="14"/>
      <c r="BE101" s="14"/>
      <c r="BF101" s="14"/>
      <c r="BG101" s="14"/>
      <c r="BH101" s="14"/>
      <c r="BI101" s="14"/>
      <c r="BJ101" s="14"/>
      <c r="BK101" s="14"/>
      <c r="BL101" s="14"/>
      <c r="BM101" s="14"/>
      <c r="BN101" s="14"/>
      <c r="BO101" s="14"/>
      <c r="BP101" s="14"/>
      <c r="BQ101" s="14"/>
      <c r="BR101" s="14"/>
      <c r="BS101" s="14"/>
      <c r="BT101" s="14"/>
      <c r="BU101" s="14"/>
      <c r="BV101" s="14"/>
      <c r="BW101" s="14"/>
      <c r="BX101" s="14"/>
      <c r="BY101" s="14"/>
      <c r="BZ101" s="14"/>
      <c r="CA101" s="14"/>
      <c r="CB101" s="14"/>
      <c r="CC101" s="14"/>
      <c r="CD101" s="14"/>
      <c r="CE101" s="14"/>
      <c r="CF101" s="14"/>
      <c r="CG101" s="14"/>
      <c r="CH101" s="14"/>
      <c r="CI101" s="14"/>
      <c r="CJ101" s="14"/>
      <c r="CK101" s="14"/>
      <c r="CL101" s="14"/>
      <c r="CM101" s="14"/>
      <c r="CN101" s="14"/>
      <c r="CO101" s="14"/>
      <c r="CP101" s="14"/>
      <c r="CQ101" s="14"/>
      <c r="CR101" s="14"/>
      <c r="CS101" s="14"/>
      <c r="CT101" s="14"/>
      <c r="CU101" s="14"/>
      <c r="CV101" s="14"/>
      <c r="CW101" s="14"/>
      <c r="CX101" s="14"/>
      <c r="CY101" s="14"/>
    </row>
    <row r="102" spans="1:103" ht="15.75" customHeight="1">
      <c r="A102" s="14"/>
      <c r="B102" s="14"/>
      <c r="C102" s="14"/>
      <c r="D102" s="14"/>
      <c r="E102" s="15"/>
      <c r="F102" s="14"/>
      <c r="G102" s="16"/>
      <c r="H102" s="1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c r="AY102" s="14"/>
      <c r="AZ102" s="14"/>
      <c r="BA102" s="14"/>
      <c r="BB102" s="14"/>
      <c r="BC102" s="14"/>
      <c r="BD102" s="14"/>
      <c r="BE102" s="14"/>
      <c r="BF102" s="14"/>
      <c r="BG102" s="14"/>
      <c r="BH102" s="14"/>
      <c r="BI102" s="14"/>
      <c r="BJ102" s="14"/>
      <c r="BK102" s="14"/>
      <c r="BL102" s="14"/>
      <c r="BM102" s="14"/>
      <c r="BN102" s="14"/>
      <c r="BO102" s="14"/>
      <c r="BP102" s="14"/>
      <c r="BQ102" s="14"/>
      <c r="BR102" s="14"/>
      <c r="BS102" s="14"/>
      <c r="BT102" s="14"/>
      <c r="BU102" s="14"/>
      <c r="BV102" s="14"/>
      <c r="BW102" s="14"/>
      <c r="BX102" s="14"/>
      <c r="BY102" s="14"/>
      <c r="BZ102" s="14"/>
      <c r="CA102" s="14"/>
      <c r="CB102" s="14"/>
      <c r="CC102" s="14"/>
      <c r="CD102" s="14"/>
      <c r="CE102" s="14"/>
      <c r="CF102" s="14"/>
      <c r="CG102" s="14"/>
      <c r="CH102" s="14"/>
      <c r="CI102" s="14"/>
      <c r="CJ102" s="14"/>
      <c r="CK102" s="14"/>
      <c r="CL102" s="14"/>
      <c r="CM102" s="14"/>
      <c r="CN102" s="14"/>
      <c r="CO102" s="14"/>
      <c r="CP102" s="14"/>
      <c r="CQ102" s="14"/>
      <c r="CR102" s="14"/>
      <c r="CS102" s="14"/>
      <c r="CT102" s="14"/>
      <c r="CU102" s="14"/>
      <c r="CV102" s="14"/>
      <c r="CW102" s="14"/>
      <c r="CX102" s="14"/>
      <c r="CY102" s="14"/>
    </row>
    <row r="103" spans="1:103" ht="15.75" customHeight="1">
      <c r="A103" s="14"/>
      <c r="B103" s="14"/>
      <c r="C103" s="14"/>
      <c r="D103" s="14"/>
      <c r="E103" s="15"/>
      <c r="F103" s="14"/>
      <c r="G103" s="16"/>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14"/>
      <c r="BP103" s="14"/>
      <c r="BQ103" s="14"/>
      <c r="BR103" s="14"/>
      <c r="BS103" s="14"/>
      <c r="BT103" s="14"/>
      <c r="BU103" s="14"/>
      <c r="BV103" s="14"/>
      <c r="BW103" s="14"/>
      <c r="BX103" s="14"/>
      <c r="BY103" s="14"/>
      <c r="BZ103" s="14"/>
      <c r="CA103" s="14"/>
      <c r="CB103" s="14"/>
      <c r="CC103" s="14"/>
      <c r="CD103" s="14"/>
      <c r="CE103" s="14"/>
      <c r="CF103" s="14"/>
      <c r="CG103" s="14"/>
      <c r="CH103" s="14"/>
      <c r="CI103" s="14"/>
      <c r="CJ103" s="14"/>
      <c r="CK103" s="14"/>
      <c r="CL103" s="14"/>
      <c r="CM103" s="14"/>
      <c r="CN103" s="14"/>
      <c r="CO103" s="14"/>
      <c r="CP103" s="14"/>
      <c r="CQ103" s="14"/>
      <c r="CR103" s="14"/>
      <c r="CS103" s="14"/>
      <c r="CT103" s="14"/>
      <c r="CU103" s="14"/>
      <c r="CV103" s="14"/>
      <c r="CW103" s="14"/>
      <c r="CX103" s="14"/>
      <c r="CY103" s="14"/>
    </row>
    <row r="104" spans="1:103" ht="15.75" customHeight="1">
      <c r="A104" s="14"/>
      <c r="B104" s="14"/>
      <c r="C104" s="14"/>
      <c r="D104" s="14"/>
      <c r="E104" s="15"/>
      <c r="F104" s="14"/>
      <c r="G104" s="16"/>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c r="AY104" s="14"/>
      <c r="AZ104" s="14"/>
      <c r="BA104" s="14"/>
      <c r="BB104" s="14"/>
      <c r="BC104" s="14"/>
      <c r="BD104" s="14"/>
      <c r="BE104" s="14"/>
      <c r="BF104" s="14"/>
      <c r="BG104" s="14"/>
      <c r="BH104" s="14"/>
      <c r="BI104" s="14"/>
      <c r="BJ104" s="14"/>
      <c r="BK104" s="14"/>
      <c r="BL104" s="14"/>
      <c r="BM104" s="14"/>
      <c r="BN104" s="14"/>
      <c r="BO104" s="14"/>
      <c r="BP104" s="14"/>
      <c r="BQ104" s="14"/>
      <c r="BR104" s="14"/>
      <c r="BS104" s="14"/>
      <c r="BT104" s="14"/>
      <c r="BU104" s="14"/>
      <c r="BV104" s="14"/>
      <c r="BW104" s="14"/>
      <c r="BX104" s="14"/>
      <c r="BY104" s="14"/>
      <c r="BZ104" s="14"/>
      <c r="CA104" s="14"/>
      <c r="CB104" s="14"/>
      <c r="CC104" s="14"/>
      <c r="CD104" s="14"/>
      <c r="CE104" s="14"/>
      <c r="CF104" s="14"/>
      <c r="CG104" s="14"/>
      <c r="CH104" s="14"/>
      <c r="CI104" s="14"/>
      <c r="CJ104" s="14"/>
      <c r="CK104" s="14"/>
      <c r="CL104" s="14"/>
      <c r="CM104" s="14"/>
      <c r="CN104" s="14"/>
      <c r="CO104" s="14"/>
      <c r="CP104" s="14"/>
      <c r="CQ104" s="14"/>
      <c r="CR104" s="14"/>
      <c r="CS104" s="14"/>
      <c r="CT104" s="14"/>
      <c r="CU104" s="14"/>
      <c r="CV104" s="14"/>
      <c r="CW104" s="14"/>
      <c r="CX104" s="14"/>
      <c r="CY104" s="14"/>
    </row>
    <row r="105" spans="1:103" ht="15.75" customHeight="1">
      <c r="A105" s="14"/>
      <c r="B105" s="14"/>
      <c r="C105" s="14"/>
      <c r="D105" s="14"/>
      <c r="E105" s="15"/>
      <c r="F105" s="14"/>
      <c r="G105" s="16"/>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c r="AY105" s="14"/>
      <c r="AZ105" s="14"/>
      <c r="BA105" s="14"/>
      <c r="BB105" s="14"/>
      <c r="BC105" s="14"/>
      <c r="BD105" s="14"/>
      <c r="BE105" s="14"/>
      <c r="BF105" s="14"/>
      <c r="BG105" s="14"/>
      <c r="BH105" s="14"/>
      <c r="BI105" s="14"/>
      <c r="BJ105" s="14"/>
      <c r="BK105" s="14"/>
      <c r="BL105" s="14"/>
      <c r="BM105" s="14"/>
      <c r="BN105" s="14"/>
      <c r="BO105" s="14"/>
      <c r="BP105" s="14"/>
      <c r="BQ105" s="14"/>
      <c r="BR105" s="14"/>
      <c r="BS105" s="14"/>
      <c r="BT105" s="14"/>
      <c r="BU105" s="14"/>
      <c r="BV105" s="14"/>
      <c r="BW105" s="14"/>
      <c r="BX105" s="14"/>
      <c r="BY105" s="14"/>
      <c r="BZ105" s="14"/>
      <c r="CA105" s="14"/>
      <c r="CB105" s="14"/>
      <c r="CC105" s="14"/>
      <c r="CD105" s="14"/>
      <c r="CE105" s="14"/>
      <c r="CF105" s="14"/>
      <c r="CG105" s="14"/>
      <c r="CH105" s="14"/>
      <c r="CI105" s="14"/>
      <c r="CJ105" s="14"/>
      <c r="CK105" s="14"/>
      <c r="CL105" s="14"/>
      <c r="CM105" s="14"/>
      <c r="CN105" s="14"/>
      <c r="CO105" s="14"/>
      <c r="CP105" s="14"/>
      <c r="CQ105" s="14"/>
      <c r="CR105" s="14"/>
      <c r="CS105" s="14"/>
      <c r="CT105" s="14"/>
      <c r="CU105" s="14"/>
      <c r="CV105" s="14"/>
      <c r="CW105" s="14"/>
      <c r="CX105" s="14"/>
      <c r="CY105" s="14"/>
    </row>
    <row r="106" spans="1:103" ht="15.75" customHeight="1">
      <c r="A106" s="14"/>
      <c r="B106" s="14"/>
      <c r="C106" s="14"/>
      <c r="D106" s="14"/>
      <c r="E106" s="15"/>
      <c r="F106" s="14"/>
      <c r="G106" s="16"/>
      <c r="H106" s="1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14"/>
      <c r="BP106" s="14"/>
      <c r="BQ106" s="14"/>
      <c r="BR106" s="14"/>
      <c r="BS106" s="14"/>
      <c r="BT106" s="14"/>
      <c r="BU106" s="14"/>
      <c r="BV106" s="14"/>
      <c r="BW106" s="14"/>
      <c r="BX106" s="14"/>
      <c r="BY106" s="14"/>
      <c r="BZ106" s="14"/>
      <c r="CA106" s="14"/>
      <c r="CB106" s="14"/>
      <c r="CC106" s="14"/>
      <c r="CD106" s="14"/>
      <c r="CE106" s="14"/>
      <c r="CF106" s="14"/>
      <c r="CG106" s="14"/>
      <c r="CH106" s="14"/>
      <c r="CI106" s="14"/>
      <c r="CJ106" s="14"/>
      <c r="CK106" s="14"/>
      <c r="CL106" s="14"/>
      <c r="CM106" s="14"/>
      <c r="CN106" s="14"/>
      <c r="CO106" s="14"/>
      <c r="CP106" s="14"/>
      <c r="CQ106" s="14"/>
      <c r="CR106" s="14"/>
      <c r="CS106" s="14"/>
      <c r="CT106" s="14"/>
      <c r="CU106" s="14"/>
      <c r="CV106" s="14"/>
      <c r="CW106" s="14"/>
      <c r="CX106" s="14"/>
      <c r="CY106" s="14"/>
    </row>
    <row r="107" spans="1:103" ht="15.75" customHeight="1">
      <c r="A107" s="14"/>
      <c r="B107" s="14"/>
      <c r="C107" s="14"/>
      <c r="D107" s="14"/>
      <c r="E107" s="15"/>
      <c r="F107" s="14"/>
      <c r="G107" s="16"/>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c r="AY107" s="14"/>
      <c r="AZ107" s="14"/>
      <c r="BA107" s="14"/>
      <c r="BB107" s="14"/>
      <c r="BC107" s="14"/>
      <c r="BD107" s="14"/>
      <c r="BE107" s="14"/>
      <c r="BF107" s="14"/>
      <c r="BG107" s="14"/>
      <c r="BH107" s="14"/>
      <c r="BI107" s="14"/>
      <c r="BJ107" s="14"/>
      <c r="BK107" s="14"/>
      <c r="BL107" s="14"/>
      <c r="BM107" s="14"/>
      <c r="BN107" s="14"/>
      <c r="BO107" s="14"/>
      <c r="BP107" s="14"/>
      <c r="BQ107" s="14"/>
      <c r="BR107" s="14"/>
      <c r="BS107" s="14"/>
      <c r="BT107" s="14"/>
      <c r="BU107" s="14"/>
      <c r="BV107" s="14"/>
      <c r="BW107" s="14"/>
      <c r="BX107" s="14"/>
      <c r="BY107" s="14"/>
      <c r="BZ107" s="14"/>
      <c r="CA107" s="14"/>
      <c r="CB107" s="14"/>
      <c r="CC107" s="14"/>
      <c r="CD107" s="14"/>
      <c r="CE107" s="14"/>
      <c r="CF107" s="14"/>
      <c r="CG107" s="14"/>
      <c r="CH107" s="14"/>
      <c r="CI107" s="14"/>
      <c r="CJ107" s="14"/>
      <c r="CK107" s="14"/>
      <c r="CL107" s="14"/>
      <c r="CM107" s="14"/>
      <c r="CN107" s="14"/>
      <c r="CO107" s="14"/>
      <c r="CP107" s="14"/>
      <c r="CQ107" s="14"/>
      <c r="CR107" s="14"/>
      <c r="CS107" s="14"/>
      <c r="CT107" s="14"/>
      <c r="CU107" s="14"/>
      <c r="CV107" s="14"/>
      <c r="CW107" s="14"/>
      <c r="CX107" s="14"/>
      <c r="CY107" s="14"/>
    </row>
    <row r="108" spans="1:103" ht="15.75" customHeight="1">
      <c r="A108" s="14"/>
      <c r="B108" s="14"/>
      <c r="C108" s="14"/>
      <c r="D108" s="14"/>
      <c r="E108" s="15"/>
      <c r="F108" s="14"/>
      <c r="G108" s="16"/>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c r="AY108" s="14"/>
      <c r="AZ108" s="14"/>
      <c r="BA108" s="14"/>
      <c r="BB108" s="14"/>
      <c r="BC108" s="14"/>
      <c r="BD108" s="14"/>
      <c r="BE108" s="14"/>
      <c r="BF108" s="14"/>
      <c r="BG108" s="14"/>
      <c r="BH108" s="14"/>
      <c r="BI108" s="14"/>
      <c r="BJ108" s="14"/>
      <c r="BK108" s="14"/>
      <c r="BL108" s="14"/>
      <c r="BM108" s="14"/>
      <c r="BN108" s="14"/>
      <c r="BO108" s="14"/>
      <c r="BP108" s="14"/>
      <c r="BQ108" s="14"/>
      <c r="BR108" s="14"/>
      <c r="BS108" s="14"/>
      <c r="BT108" s="14"/>
      <c r="BU108" s="14"/>
      <c r="BV108" s="14"/>
      <c r="BW108" s="14"/>
      <c r="BX108" s="14"/>
      <c r="BY108" s="14"/>
      <c r="BZ108" s="14"/>
      <c r="CA108" s="14"/>
      <c r="CB108" s="14"/>
      <c r="CC108" s="14"/>
      <c r="CD108" s="14"/>
      <c r="CE108" s="14"/>
      <c r="CF108" s="14"/>
      <c r="CG108" s="14"/>
      <c r="CH108" s="14"/>
      <c r="CI108" s="14"/>
      <c r="CJ108" s="14"/>
      <c r="CK108" s="14"/>
      <c r="CL108" s="14"/>
      <c r="CM108" s="14"/>
      <c r="CN108" s="14"/>
      <c r="CO108" s="14"/>
      <c r="CP108" s="14"/>
      <c r="CQ108" s="14"/>
      <c r="CR108" s="14"/>
      <c r="CS108" s="14"/>
      <c r="CT108" s="14"/>
      <c r="CU108" s="14"/>
      <c r="CV108" s="14"/>
      <c r="CW108" s="14"/>
      <c r="CX108" s="14"/>
      <c r="CY108" s="14"/>
    </row>
    <row r="109" spans="1:103" ht="15.75" customHeight="1">
      <c r="A109" s="14"/>
      <c r="B109" s="14"/>
      <c r="C109" s="14"/>
      <c r="D109" s="14"/>
      <c r="E109" s="15"/>
      <c r="F109" s="14"/>
      <c r="G109" s="16"/>
      <c r="H109" s="1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c r="AY109" s="14"/>
      <c r="AZ109" s="14"/>
      <c r="BA109" s="14"/>
      <c r="BB109" s="14"/>
      <c r="BC109" s="14"/>
      <c r="BD109" s="14"/>
      <c r="BE109" s="14"/>
      <c r="BF109" s="14"/>
      <c r="BG109" s="14"/>
      <c r="BH109" s="14"/>
      <c r="BI109" s="14"/>
      <c r="BJ109" s="14"/>
      <c r="BK109" s="14"/>
      <c r="BL109" s="14"/>
      <c r="BM109" s="14"/>
      <c r="BN109" s="14"/>
      <c r="BO109" s="14"/>
      <c r="BP109" s="14"/>
      <c r="BQ109" s="14"/>
      <c r="BR109" s="14"/>
      <c r="BS109" s="14"/>
      <c r="BT109" s="14"/>
      <c r="BU109" s="14"/>
      <c r="BV109" s="14"/>
      <c r="BW109" s="14"/>
      <c r="BX109" s="14"/>
      <c r="BY109" s="14"/>
      <c r="BZ109" s="14"/>
      <c r="CA109" s="14"/>
      <c r="CB109" s="14"/>
      <c r="CC109" s="14"/>
      <c r="CD109" s="14"/>
      <c r="CE109" s="14"/>
      <c r="CF109" s="14"/>
      <c r="CG109" s="14"/>
      <c r="CH109" s="14"/>
      <c r="CI109" s="14"/>
      <c r="CJ109" s="14"/>
      <c r="CK109" s="14"/>
      <c r="CL109" s="14"/>
      <c r="CM109" s="14"/>
      <c r="CN109" s="14"/>
      <c r="CO109" s="14"/>
      <c r="CP109" s="14"/>
      <c r="CQ109" s="14"/>
      <c r="CR109" s="14"/>
      <c r="CS109" s="14"/>
      <c r="CT109" s="14"/>
      <c r="CU109" s="14"/>
      <c r="CV109" s="14"/>
      <c r="CW109" s="14"/>
      <c r="CX109" s="14"/>
      <c r="CY109" s="14"/>
    </row>
    <row r="110" spans="1:103" ht="15.75" customHeight="1">
      <c r="A110" s="14"/>
      <c r="B110" s="14"/>
      <c r="C110" s="14"/>
      <c r="D110" s="14"/>
      <c r="E110" s="15"/>
      <c r="F110" s="14"/>
      <c r="G110" s="16"/>
      <c r="H110" s="1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c r="AY110" s="14"/>
      <c r="AZ110" s="14"/>
      <c r="BA110" s="14"/>
      <c r="BB110" s="14"/>
      <c r="BC110" s="14"/>
      <c r="BD110" s="14"/>
      <c r="BE110" s="14"/>
      <c r="BF110" s="14"/>
      <c r="BG110" s="14"/>
      <c r="BH110" s="14"/>
      <c r="BI110" s="14"/>
      <c r="BJ110" s="14"/>
      <c r="BK110" s="14"/>
      <c r="BL110" s="14"/>
      <c r="BM110" s="14"/>
      <c r="BN110" s="14"/>
      <c r="BO110" s="14"/>
      <c r="BP110" s="14"/>
      <c r="BQ110" s="14"/>
      <c r="BR110" s="14"/>
      <c r="BS110" s="14"/>
      <c r="BT110" s="14"/>
      <c r="BU110" s="14"/>
      <c r="BV110" s="14"/>
      <c r="BW110" s="14"/>
      <c r="BX110" s="14"/>
      <c r="BY110" s="14"/>
      <c r="BZ110" s="14"/>
      <c r="CA110" s="14"/>
      <c r="CB110" s="14"/>
      <c r="CC110" s="14"/>
      <c r="CD110" s="14"/>
      <c r="CE110" s="14"/>
      <c r="CF110" s="14"/>
      <c r="CG110" s="14"/>
      <c r="CH110" s="14"/>
      <c r="CI110" s="14"/>
      <c r="CJ110" s="14"/>
      <c r="CK110" s="14"/>
      <c r="CL110" s="14"/>
      <c r="CM110" s="14"/>
      <c r="CN110" s="14"/>
      <c r="CO110" s="14"/>
      <c r="CP110" s="14"/>
      <c r="CQ110" s="14"/>
      <c r="CR110" s="14"/>
      <c r="CS110" s="14"/>
      <c r="CT110" s="14"/>
      <c r="CU110" s="14"/>
      <c r="CV110" s="14"/>
      <c r="CW110" s="14"/>
      <c r="CX110" s="14"/>
      <c r="CY110" s="14"/>
    </row>
    <row r="111" spans="1:103" ht="15.75" customHeight="1">
      <c r="A111" s="14"/>
      <c r="B111" s="14"/>
      <c r="C111" s="14"/>
      <c r="D111" s="14"/>
      <c r="E111" s="15"/>
      <c r="F111" s="14"/>
      <c r="G111" s="16"/>
      <c r="H111" s="1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c r="AY111" s="14"/>
      <c r="AZ111" s="14"/>
      <c r="BA111" s="14"/>
      <c r="BB111" s="14"/>
      <c r="BC111" s="14"/>
      <c r="BD111" s="14"/>
      <c r="BE111" s="14"/>
      <c r="BF111" s="14"/>
      <c r="BG111" s="14"/>
      <c r="BH111" s="14"/>
      <c r="BI111" s="14"/>
      <c r="BJ111" s="14"/>
      <c r="BK111" s="14"/>
      <c r="BL111" s="14"/>
      <c r="BM111" s="14"/>
      <c r="BN111" s="14"/>
      <c r="BO111" s="14"/>
      <c r="BP111" s="14"/>
      <c r="BQ111" s="14"/>
      <c r="BR111" s="14"/>
      <c r="BS111" s="14"/>
      <c r="BT111" s="14"/>
      <c r="BU111" s="14"/>
      <c r="BV111" s="14"/>
      <c r="BW111" s="14"/>
      <c r="BX111" s="14"/>
      <c r="BY111" s="14"/>
      <c r="BZ111" s="14"/>
      <c r="CA111" s="14"/>
      <c r="CB111" s="14"/>
      <c r="CC111" s="14"/>
      <c r="CD111" s="14"/>
      <c r="CE111" s="14"/>
      <c r="CF111" s="14"/>
      <c r="CG111" s="14"/>
      <c r="CH111" s="14"/>
      <c r="CI111" s="14"/>
      <c r="CJ111" s="14"/>
      <c r="CK111" s="14"/>
      <c r="CL111" s="14"/>
      <c r="CM111" s="14"/>
      <c r="CN111" s="14"/>
      <c r="CO111" s="14"/>
      <c r="CP111" s="14"/>
      <c r="CQ111" s="14"/>
      <c r="CR111" s="14"/>
      <c r="CS111" s="14"/>
      <c r="CT111" s="14"/>
      <c r="CU111" s="14"/>
      <c r="CV111" s="14"/>
      <c r="CW111" s="14"/>
      <c r="CX111" s="14"/>
      <c r="CY111" s="14"/>
    </row>
    <row r="112" spans="1:103" ht="15.75" customHeight="1">
      <c r="A112" s="14"/>
      <c r="B112" s="14"/>
      <c r="C112" s="14"/>
      <c r="D112" s="14"/>
      <c r="E112" s="15"/>
      <c r="F112" s="14"/>
      <c r="G112" s="16"/>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c r="AY112" s="14"/>
      <c r="AZ112" s="14"/>
      <c r="BA112" s="14"/>
      <c r="BB112" s="14"/>
      <c r="BC112" s="14"/>
      <c r="BD112" s="14"/>
      <c r="BE112" s="14"/>
      <c r="BF112" s="14"/>
      <c r="BG112" s="14"/>
      <c r="BH112" s="14"/>
      <c r="BI112" s="14"/>
      <c r="BJ112" s="14"/>
      <c r="BK112" s="14"/>
      <c r="BL112" s="14"/>
      <c r="BM112" s="14"/>
      <c r="BN112" s="14"/>
      <c r="BO112" s="14"/>
      <c r="BP112" s="14"/>
      <c r="BQ112" s="14"/>
      <c r="BR112" s="14"/>
      <c r="BS112" s="14"/>
      <c r="BT112" s="14"/>
      <c r="BU112" s="14"/>
      <c r="BV112" s="14"/>
      <c r="BW112" s="14"/>
      <c r="BX112" s="14"/>
      <c r="BY112" s="14"/>
      <c r="BZ112" s="14"/>
      <c r="CA112" s="14"/>
      <c r="CB112" s="14"/>
      <c r="CC112" s="14"/>
      <c r="CD112" s="14"/>
      <c r="CE112" s="14"/>
      <c r="CF112" s="14"/>
      <c r="CG112" s="14"/>
      <c r="CH112" s="14"/>
      <c r="CI112" s="14"/>
      <c r="CJ112" s="14"/>
      <c r="CK112" s="14"/>
      <c r="CL112" s="14"/>
      <c r="CM112" s="14"/>
      <c r="CN112" s="14"/>
      <c r="CO112" s="14"/>
      <c r="CP112" s="14"/>
      <c r="CQ112" s="14"/>
      <c r="CR112" s="14"/>
      <c r="CS112" s="14"/>
      <c r="CT112" s="14"/>
      <c r="CU112" s="14"/>
      <c r="CV112" s="14"/>
      <c r="CW112" s="14"/>
      <c r="CX112" s="14"/>
      <c r="CY112" s="14"/>
    </row>
    <row r="113" spans="1:103" ht="15.75" customHeight="1">
      <c r="A113" s="14"/>
      <c r="B113" s="14"/>
      <c r="C113" s="14"/>
      <c r="D113" s="14"/>
      <c r="E113" s="15"/>
      <c r="F113" s="14"/>
      <c r="G113" s="16"/>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c r="AY113" s="14"/>
      <c r="AZ113" s="14"/>
      <c r="BA113" s="14"/>
      <c r="BB113" s="14"/>
      <c r="BC113" s="14"/>
      <c r="BD113" s="14"/>
      <c r="BE113" s="14"/>
      <c r="BF113" s="14"/>
      <c r="BG113" s="14"/>
      <c r="BH113" s="14"/>
      <c r="BI113" s="14"/>
      <c r="BJ113" s="14"/>
      <c r="BK113" s="14"/>
      <c r="BL113" s="14"/>
      <c r="BM113" s="14"/>
      <c r="BN113" s="14"/>
      <c r="BO113" s="14"/>
      <c r="BP113" s="14"/>
      <c r="BQ113" s="14"/>
      <c r="BR113" s="14"/>
      <c r="BS113" s="14"/>
      <c r="BT113" s="14"/>
      <c r="BU113" s="14"/>
      <c r="BV113" s="14"/>
      <c r="BW113" s="14"/>
      <c r="BX113" s="14"/>
      <c r="BY113" s="14"/>
      <c r="BZ113" s="14"/>
      <c r="CA113" s="14"/>
      <c r="CB113" s="14"/>
      <c r="CC113" s="14"/>
      <c r="CD113" s="14"/>
      <c r="CE113" s="14"/>
      <c r="CF113" s="14"/>
      <c r="CG113" s="14"/>
      <c r="CH113" s="14"/>
      <c r="CI113" s="14"/>
      <c r="CJ113" s="14"/>
      <c r="CK113" s="14"/>
      <c r="CL113" s="14"/>
      <c r="CM113" s="14"/>
      <c r="CN113" s="14"/>
      <c r="CO113" s="14"/>
      <c r="CP113" s="14"/>
      <c r="CQ113" s="14"/>
      <c r="CR113" s="14"/>
      <c r="CS113" s="14"/>
      <c r="CT113" s="14"/>
      <c r="CU113" s="14"/>
      <c r="CV113" s="14"/>
      <c r="CW113" s="14"/>
      <c r="CX113" s="14"/>
      <c r="CY113" s="14"/>
    </row>
    <row r="114" spans="1:103" ht="15.75" customHeight="1">
      <c r="A114" s="14"/>
      <c r="B114" s="14"/>
      <c r="C114" s="14"/>
      <c r="D114" s="14"/>
      <c r="E114" s="15"/>
      <c r="F114" s="14"/>
      <c r="G114" s="16"/>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4"/>
      <c r="AZ114" s="14"/>
      <c r="BA114" s="14"/>
      <c r="BB114" s="14"/>
      <c r="BC114" s="14"/>
      <c r="BD114" s="14"/>
      <c r="BE114" s="14"/>
      <c r="BF114" s="14"/>
      <c r="BG114" s="14"/>
      <c r="BH114" s="14"/>
      <c r="BI114" s="14"/>
      <c r="BJ114" s="14"/>
      <c r="BK114" s="14"/>
      <c r="BL114" s="14"/>
      <c r="BM114" s="14"/>
      <c r="BN114" s="14"/>
      <c r="BO114" s="14"/>
      <c r="BP114" s="14"/>
      <c r="BQ114" s="14"/>
      <c r="BR114" s="14"/>
      <c r="BS114" s="14"/>
      <c r="BT114" s="14"/>
      <c r="BU114" s="14"/>
      <c r="BV114" s="14"/>
      <c r="BW114" s="14"/>
      <c r="BX114" s="14"/>
      <c r="BY114" s="14"/>
      <c r="BZ114" s="14"/>
      <c r="CA114" s="14"/>
      <c r="CB114" s="14"/>
      <c r="CC114" s="14"/>
      <c r="CD114" s="14"/>
      <c r="CE114" s="14"/>
      <c r="CF114" s="14"/>
      <c r="CG114" s="14"/>
      <c r="CH114" s="14"/>
      <c r="CI114" s="14"/>
      <c r="CJ114" s="14"/>
      <c r="CK114" s="14"/>
      <c r="CL114" s="14"/>
      <c r="CM114" s="14"/>
      <c r="CN114" s="14"/>
      <c r="CO114" s="14"/>
      <c r="CP114" s="14"/>
      <c r="CQ114" s="14"/>
      <c r="CR114" s="14"/>
      <c r="CS114" s="14"/>
      <c r="CT114" s="14"/>
      <c r="CU114" s="14"/>
      <c r="CV114" s="14"/>
      <c r="CW114" s="14"/>
      <c r="CX114" s="14"/>
      <c r="CY114" s="14"/>
    </row>
    <row r="115" spans="1:103" ht="15.75" customHeight="1">
      <c r="A115" s="14"/>
      <c r="B115" s="14"/>
      <c r="C115" s="14"/>
      <c r="D115" s="14"/>
      <c r="E115" s="15"/>
      <c r="F115" s="14"/>
      <c r="G115" s="16"/>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c r="AY115" s="14"/>
      <c r="AZ115" s="14"/>
      <c r="BA115" s="14"/>
      <c r="BB115" s="14"/>
      <c r="BC115" s="14"/>
      <c r="BD115" s="14"/>
      <c r="BE115" s="14"/>
      <c r="BF115" s="14"/>
      <c r="BG115" s="14"/>
      <c r="BH115" s="14"/>
      <c r="BI115" s="14"/>
      <c r="BJ115" s="14"/>
      <c r="BK115" s="14"/>
      <c r="BL115" s="14"/>
      <c r="BM115" s="14"/>
      <c r="BN115" s="14"/>
      <c r="BO115" s="14"/>
      <c r="BP115" s="14"/>
      <c r="BQ115" s="14"/>
      <c r="BR115" s="14"/>
      <c r="BS115" s="14"/>
      <c r="BT115" s="14"/>
      <c r="BU115" s="14"/>
      <c r="BV115" s="14"/>
      <c r="BW115" s="14"/>
      <c r="BX115" s="14"/>
      <c r="BY115" s="14"/>
      <c r="BZ115" s="14"/>
      <c r="CA115" s="14"/>
      <c r="CB115" s="14"/>
      <c r="CC115" s="14"/>
      <c r="CD115" s="14"/>
      <c r="CE115" s="14"/>
      <c r="CF115" s="14"/>
      <c r="CG115" s="14"/>
      <c r="CH115" s="14"/>
      <c r="CI115" s="14"/>
      <c r="CJ115" s="14"/>
      <c r="CK115" s="14"/>
      <c r="CL115" s="14"/>
      <c r="CM115" s="14"/>
      <c r="CN115" s="14"/>
      <c r="CO115" s="14"/>
      <c r="CP115" s="14"/>
      <c r="CQ115" s="14"/>
      <c r="CR115" s="14"/>
      <c r="CS115" s="14"/>
      <c r="CT115" s="14"/>
      <c r="CU115" s="14"/>
      <c r="CV115" s="14"/>
      <c r="CW115" s="14"/>
      <c r="CX115" s="14"/>
      <c r="CY115" s="14"/>
    </row>
    <row r="116" spans="1:103" ht="15.75" customHeight="1">
      <c r="A116" s="14"/>
      <c r="B116" s="14"/>
      <c r="C116" s="14"/>
      <c r="D116" s="14"/>
      <c r="E116" s="15"/>
      <c r="F116" s="14"/>
      <c r="G116" s="16"/>
      <c r="H116" s="1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c r="AY116" s="14"/>
      <c r="AZ116" s="14"/>
      <c r="BA116" s="14"/>
      <c r="BB116" s="14"/>
      <c r="BC116" s="14"/>
      <c r="BD116" s="14"/>
      <c r="BE116" s="14"/>
      <c r="BF116" s="14"/>
      <c r="BG116" s="14"/>
      <c r="BH116" s="14"/>
      <c r="BI116" s="14"/>
      <c r="BJ116" s="14"/>
      <c r="BK116" s="14"/>
      <c r="BL116" s="14"/>
      <c r="BM116" s="14"/>
      <c r="BN116" s="14"/>
      <c r="BO116" s="14"/>
      <c r="BP116" s="14"/>
      <c r="BQ116" s="14"/>
      <c r="BR116" s="14"/>
      <c r="BS116" s="14"/>
      <c r="BT116" s="14"/>
      <c r="BU116" s="14"/>
      <c r="BV116" s="14"/>
      <c r="BW116" s="14"/>
      <c r="BX116" s="14"/>
      <c r="BY116" s="14"/>
      <c r="BZ116" s="14"/>
      <c r="CA116" s="14"/>
      <c r="CB116" s="14"/>
      <c r="CC116" s="14"/>
      <c r="CD116" s="14"/>
      <c r="CE116" s="14"/>
      <c r="CF116" s="14"/>
      <c r="CG116" s="14"/>
      <c r="CH116" s="14"/>
      <c r="CI116" s="14"/>
      <c r="CJ116" s="14"/>
      <c r="CK116" s="14"/>
      <c r="CL116" s="14"/>
      <c r="CM116" s="14"/>
      <c r="CN116" s="14"/>
      <c r="CO116" s="14"/>
      <c r="CP116" s="14"/>
      <c r="CQ116" s="14"/>
      <c r="CR116" s="14"/>
      <c r="CS116" s="14"/>
      <c r="CT116" s="14"/>
      <c r="CU116" s="14"/>
      <c r="CV116" s="14"/>
      <c r="CW116" s="14"/>
      <c r="CX116" s="14"/>
      <c r="CY116" s="14"/>
    </row>
    <row r="117" spans="1:103" ht="15.75" customHeight="1">
      <c r="A117" s="14"/>
      <c r="B117" s="14"/>
      <c r="C117" s="14"/>
      <c r="D117" s="14"/>
      <c r="E117" s="15"/>
      <c r="F117" s="14"/>
      <c r="G117" s="16"/>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4"/>
      <c r="AZ117" s="14"/>
      <c r="BA117" s="14"/>
      <c r="BB117" s="14"/>
      <c r="BC117" s="14"/>
      <c r="BD117" s="14"/>
      <c r="BE117" s="14"/>
      <c r="BF117" s="14"/>
      <c r="BG117" s="14"/>
      <c r="BH117" s="14"/>
      <c r="BI117" s="14"/>
      <c r="BJ117" s="14"/>
      <c r="BK117" s="14"/>
      <c r="BL117" s="14"/>
      <c r="BM117" s="14"/>
      <c r="BN117" s="14"/>
      <c r="BO117" s="14"/>
      <c r="BP117" s="14"/>
      <c r="BQ117" s="14"/>
      <c r="BR117" s="14"/>
      <c r="BS117" s="14"/>
      <c r="BT117" s="14"/>
      <c r="BU117" s="14"/>
      <c r="BV117" s="14"/>
      <c r="BW117" s="14"/>
      <c r="BX117" s="14"/>
      <c r="BY117" s="14"/>
      <c r="BZ117" s="14"/>
      <c r="CA117" s="14"/>
      <c r="CB117" s="14"/>
      <c r="CC117" s="14"/>
      <c r="CD117" s="14"/>
      <c r="CE117" s="14"/>
      <c r="CF117" s="14"/>
      <c r="CG117" s="14"/>
      <c r="CH117" s="14"/>
      <c r="CI117" s="14"/>
      <c r="CJ117" s="14"/>
      <c r="CK117" s="14"/>
      <c r="CL117" s="14"/>
      <c r="CM117" s="14"/>
      <c r="CN117" s="14"/>
      <c r="CO117" s="14"/>
      <c r="CP117" s="14"/>
      <c r="CQ117" s="14"/>
      <c r="CR117" s="14"/>
      <c r="CS117" s="14"/>
      <c r="CT117" s="14"/>
      <c r="CU117" s="14"/>
      <c r="CV117" s="14"/>
      <c r="CW117" s="14"/>
      <c r="CX117" s="14"/>
      <c r="CY117" s="14"/>
    </row>
    <row r="118" spans="1:103" ht="15.75" customHeight="1">
      <c r="A118" s="14"/>
      <c r="B118" s="14"/>
      <c r="C118" s="14"/>
      <c r="D118" s="14"/>
      <c r="E118" s="15"/>
      <c r="F118" s="14"/>
      <c r="G118" s="16"/>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c r="AY118" s="14"/>
      <c r="AZ118" s="14"/>
      <c r="BA118" s="14"/>
      <c r="BB118" s="14"/>
      <c r="BC118" s="14"/>
      <c r="BD118" s="14"/>
      <c r="BE118" s="14"/>
      <c r="BF118" s="14"/>
      <c r="BG118" s="14"/>
      <c r="BH118" s="14"/>
      <c r="BI118" s="14"/>
      <c r="BJ118" s="14"/>
      <c r="BK118" s="14"/>
      <c r="BL118" s="14"/>
      <c r="BM118" s="14"/>
      <c r="BN118" s="14"/>
      <c r="BO118" s="14"/>
      <c r="BP118" s="14"/>
      <c r="BQ118" s="14"/>
      <c r="BR118" s="14"/>
      <c r="BS118" s="14"/>
      <c r="BT118" s="14"/>
      <c r="BU118" s="14"/>
      <c r="BV118" s="14"/>
      <c r="BW118" s="14"/>
      <c r="BX118" s="14"/>
      <c r="BY118" s="14"/>
      <c r="BZ118" s="14"/>
      <c r="CA118" s="14"/>
      <c r="CB118" s="14"/>
      <c r="CC118" s="14"/>
      <c r="CD118" s="14"/>
      <c r="CE118" s="14"/>
      <c r="CF118" s="14"/>
      <c r="CG118" s="14"/>
      <c r="CH118" s="14"/>
      <c r="CI118" s="14"/>
      <c r="CJ118" s="14"/>
      <c r="CK118" s="14"/>
      <c r="CL118" s="14"/>
      <c r="CM118" s="14"/>
      <c r="CN118" s="14"/>
      <c r="CO118" s="14"/>
      <c r="CP118" s="14"/>
      <c r="CQ118" s="14"/>
      <c r="CR118" s="14"/>
      <c r="CS118" s="14"/>
      <c r="CT118" s="14"/>
      <c r="CU118" s="14"/>
      <c r="CV118" s="14"/>
      <c r="CW118" s="14"/>
      <c r="CX118" s="14"/>
      <c r="CY118" s="14"/>
    </row>
    <row r="119" spans="1:103" ht="15.75" customHeight="1">
      <c r="A119" s="14"/>
      <c r="B119" s="14"/>
      <c r="C119" s="14"/>
      <c r="D119" s="14"/>
      <c r="E119" s="15"/>
      <c r="F119" s="14"/>
      <c r="G119" s="16"/>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c r="AY119" s="14"/>
      <c r="AZ119" s="14"/>
      <c r="BA119" s="14"/>
      <c r="BB119" s="14"/>
      <c r="BC119" s="14"/>
      <c r="BD119" s="14"/>
      <c r="BE119" s="14"/>
      <c r="BF119" s="14"/>
      <c r="BG119" s="14"/>
      <c r="BH119" s="14"/>
      <c r="BI119" s="14"/>
      <c r="BJ119" s="14"/>
      <c r="BK119" s="14"/>
      <c r="BL119" s="14"/>
      <c r="BM119" s="14"/>
      <c r="BN119" s="14"/>
      <c r="BO119" s="14"/>
      <c r="BP119" s="14"/>
      <c r="BQ119" s="14"/>
      <c r="BR119" s="14"/>
      <c r="BS119" s="14"/>
      <c r="BT119" s="14"/>
      <c r="BU119" s="14"/>
      <c r="BV119" s="14"/>
      <c r="BW119" s="14"/>
      <c r="BX119" s="14"/>
      <c r="BY119" s="14"/>
      <c r="BZ119" s="14"/>
      <c r="CA119" s="14"/>
      <c r="CB119" s="14"/>
      <c r="CC119" s="14"/>
      <c r="CD119" s="14"/>
      <c r="CE119" s="14"/>
      <c r="CF119" s="14"/>
      <c r="CG119" s="14"/>
      <c r="CH119" s="14"/>
      <c r="CI119" s="14"/>
      <c r="CJ119" s="14"/>
      <c r="CK119" s="14"/>
      <c r="CL119" s="14"/>
      <c r="CM119" s="14"/>
      <c r="CN119" s="14"/>
      <c r="CO119" s="14"/>
      <c r="CP119" s="14"/>
      <c r="CQ119" s="14"/>
      <c r="CR119" s="14"/>
      <c r="CS119" s="14"/>
      <c r="CT119" s="14"/>
      <c r="CU119" s="14"/>
      <c r="CV119" s="14"/>
      <c r="CW119" s="14"/>
      <c r="CX119" s="14"/>
      <c r="CY119" s="14"/>
    </row>
    <row r="120" spans="1:103" ht="15.75" customHeight="1">
      <c r="A120" s="14"/>
      <c r="B120" s="14"/>
      <c r="C120" s="14"/>
      <c r="D120" s="14"/>
      <c r="E120" s="15"/>
      <c r="F120" s="14"/>
      <c r="G120" s="16"/>
      <c r="H120" s="1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c r="AY120" s="14"/>
      <c r="AZ120" s="14"/>
      <c r="BA120" s="14"/>
      <c r="BB120" s="14"/>
      <c r="BC120" s="14"/>
      <c r="BD120" s="14"/>
      <c r="BE120" s="14"/>
      <c r="BF120" s="14"/>
      <c r="BG120" s="14"/>
      <c r="BH120" s="14"/>
      <c r="BI120" s="14"/>
      <c r="BJ120" s="14"/>
      <c r="BK120" s="14"/>
      <c r="BL120" s="14"/>
      <c r="BM120" s="14"/>
      <c r="BN120" s="14"/>
      <c r="BO120" s="14"/>
      <c r="BP120" s="14"/>
      <c r="BQ120" s="14"/>
      <c r="BR120" s="14"/>
      <c r="BS120" s="14"/>
      <c r="BT120" s="14"/>
      <c r="BU120" s="14"/>
      <c r="BV120" s="14"/>
      <c r="BW120" s="14"/>
      <c r="BX120" s="14"/>
      <c r="BY120" s="14"/>
      <c r="BZ120" s="14"/>
      <c r="CA120" s="14"/>
      <c r="CB120" s="14"/>
      <c r="CC120" s="14"/>
      <c r="CD120" s="14"/>
      <c r="CE120" s="14"/>
      <c r="CF120" s="14"/>
      <c r="CG120" s="14"/>
      <c r="CH120" s="14"/>
      <c r="CI120" s="14"/>
      <c r="CJ120" s="14"/>
      <c r="CK120" s="14"/>
      <c r="CL120" s="14"/>
      <c r="CM120" s="14"/>
      <c r="CN120" s="14"/>
      <c r="CO120" s="14"/>
      <c r="CP120" s="14"/>
      <c r="CQ120" s="14"/>
      <c r="CR120" s="14"/>
      <c r="CS120" s="14"/>
      <c r="CT120" s="14"/>
      <c r="CU120" s="14"/>
      <c r="CV120" s="14"/>
      <c r="CW120" s="14"/>
      <c r="CX120" s="14"/>
      <c r="CY120" s="14"/>
    </row>
    <row r="121" spans="1:103" ht="15.75" customHeight="1">
      <c r="A121" s="14"/>
      <c r="B121" s="14"/>
      <c r="C121" s="14"/>
      <c r="D121" s="14"/>
      <c r="E121" s="15"/>
      <c r="F121" s="14"/>
      <c r="G121" s="16"/>
      <c r="H121" s="1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c r="AY121" s="14"/>
      <c r="AZ121" s="14"/>
      <c r="BA121" s="14"/>
      <c r="BB121" s="14"/>
      <c r="BC121" s="14"/>
      <c r="BD121" s="14"/>
      <c r="BE121" s="14"/>
      <c r="BF121" s="14"/>
      <c r="BG121" s="14"/>
      <c r="BH121" s="14"/>
      <c r="BI121" s="14"/>
      <c r="BJ121" s="14"/>
      <c r="BK121" s="14"/>
      <c r="BL121" s="14"/>
      <c r="BM121" s="14"/>
      <c r="BN121" s="14"/>
      <c r="BO121" s="14"/>
      <c r="BP121" s="14"/>
      <c r="BQ121" s="14"/>
      <c r="BR121" s="14"/>
      <c r="BS121" s="14"/>
      <c r="BT121" s="14"/>
      <c r="BU121" s="14"/>
      <c r="BV121" s="14"/>
      <c r="BW121" s="14"/>
      <c r="BX121" s="14"/>
      <c r="BY121" s="14"/>
      <c r="BZ121" s="14"/>
      <c r="CA121" s="14"/>
      <c r="CB121" s="14"/>
      <c r="CC121" s="14"/>
      <c r="CD121" s="14"/>
      <c r="CE121" s="14"/>
      <c r="CF121" s="14"/>
      <c r="CG121" s="14"/>
      <c r="CH121" s="14"/>
      <c r="CI121" s="14"/>
      <c r="CJ121" s="14"/>
      <c r="CK121" s="14"/>
      <c r="CL121" s="14"/>
      <c r="CM121" s="14"/>
      <c r="CN121" s="14"/>
      <c r="CO121" s="14"/>
      <c r="CP121" s="14"/>
      <c r="CQ121" s="14"/>
      <c r="CR121" s="14"/>
      <c r="CS121" s="14"/>
      <c r="CT121" s="14"/>
      <c r="CU121" s="14"/>
      <c r="CV121" s="14"/>
      <c r="CW121" s="14"/>
      <c r="CX121" s="14"/>
      <c r="CY121" s="14"/>
    </row>
    <row r="122" spans="1:103" ht="15.75" customHeight="1">
      <c r="A122" s="14"/>
      <c r="B122" s="14"/>
      <c r="C122" s="14"/>
      <c r="D122" s="14"/>
      <c r="E122" s="15"/>
      <c r="F122" s="14"/>
      <c r="G122" s="16"/>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c r="AY122" s="14"/>
      <c r="AZ122" s="14"/>
      <c r="BA122" s="14"/>
      <c r="BB122" s="14"/>
      <c r="BC122" s="14"/>
      <c r="BD122" s="14"/>
      <c r="BE122" s="14"/>
      <c r="BF122" s="14"/>
      <c r="BG122" s="14"/>
      <c r="BH122" s="14"/>
      <c r="BI122" s="14"/>
      <c r="BJ122" s="14"/>
      <c r="BK122" s="14"/>
      <c r="BL122" s="14"/>
      <c r="BM122" s="14"/>
      <c r="BN122" s="14"/>
      <c r="BO122" s="14"/>
      <c r="BP122" s="14"/>
      <c r="BQ122" s="14"/>
      <c r="BR122" s="14"/>
      <c r="BS122" s="14"/>
      <c r="BT122" s="14"/>
      <c r="BU122" s="14"/>
      <c r="BV122" s="14"/>
      <c r="BW122" s="14"/>
      <c r="BX122" s="14"/>
      <c r="BY122" s="14"/>
      <c r="BZ122" s="14"/>
      <c r="CA122" s="14"/>
      <c r="CB122" s="14"/>
      <c r="CC122" s="14"/>
      <c r="CD122" s="14"/>
      <c r="CE122" s="14"/>
      <c r="CF122" s="14"/>
      <c r="CG122" s="14"/>
      <c r="CH122" s="14"/>
      <c r="CI122" s="14"/>
      <c r="CJ122" s="14"/>
      <c r="CK122" s="14"/>
      <c r="CL122" s="14"/>
      <c r="CM122" s="14"/>
      <c r="CN122" s="14"/>
      <c r="CO122" s="14"/>
      <c r="CP122" s="14"/>
      <c r="CQ122" s="14"/>
      <c r="CR122" s="14"/>
      <c r="CS122" s="14"/>
      <c r="CT122" s="14"/>
      <c r="CU122" s="14"/>
      <c r="CV122" s="14"/>
      <c r="CW122" s="14"/>
      <c r="CX122" s="14"/>
      <c r="CY122" s="14"/>
    </row>
    <row r="123" spans="1:103" ht="15.75" customHeight="1">
      <c r="A123" s="14"/>
      <c r="B123" s="14"/>
      <c r="C123" s="14"/>
      <c r="D123" s="14"/>
      <c r="E123" s="15"/>
      <c r="F123" s="14"/>
      <c r="G123" s="16"/>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c r="AY123" s="14"/>
      <c r="AZ123" s="14"/>
      <c r="BA123" s="14"/>
      <c r="BB123" s="14"/>
      <c r="BC123" s="14"/>
      <c r="BD123" s="14"/>
      <c r="BE123" s="14"/>
      <c r="BF123" s="14"/>
      <c r="BG123" s="14"/>
      <c r="BH123" s="14"/>
      <c r="BI123" s="14"/>
      <c r="BJ123" s="14"/>
      <c r="BK123" s="14"/>
      <c r="BL123" s="14"/>
      <c r="BM123" s="14"/>
      <c r="BN123" s="14"/>
      <c r="BO123" s="14"/>
      <c r="BP123" s="14"/>
      <c r="BQ123" s="14"/>
      <c r="BR123" s="14"/>
      <c r="BS123" s="14"/>
      <c r="BT123" s="14"/>
      <c r="BU123" s="14"/>
      <c r="BV123" s="14"/>
      <c r="BW123" s="14"/>
      <c r="BX123" s="14"/>
      <c r="BY123" s="14"/>
      <c r="BZ123" s="14"/>
      <c r="CA123" s="14"/>
      <c r="CB123" s="14"/>
      <c r="CC123" s="14"/>
      <c r="CD123" s="14"/>
      <c r="CE123" s="14"/>
      <c r="CF123" s="14"/>
      <c r="CG123" s="14"/>
      <c r="CH123" s="14"/>
      <c r="CI123" s="14"/>
      <c r="CJ123" s="14"/>
      <c r="CK123" s="14"/>
      <c r="CL123" s="14"/>
      <c r="CM123" s="14"/>
      <c r="CN123" s="14"/>
      <c r="CO123" s="14"/>
      <c r="CP123" s="14"/>
      <c r="CQ123" s="14"/>
      <c r="CR123" s="14"/>
      <c r="CS123" s="14"/>
      <c r="CT123" s="14"/>
      <c r="CU123" s="14"/>
      <c r="CV123" s="14"/>
      <c r="CW123" s="14"/>
      <c r="CX123" s="14"/>
      <c r="CY123" s="14"/>
    </row>
    <row r="124" spans="1:103" ht="15.75" customHeight="1">
      <c r="A124" s="14"/>
      <c r="B124" s="14"/>
      <c r="C124" s="14"/>
      <c r="D124" s="14"/>
      <c r="E124" s="15"/>
      <c r="F124" s="14"/>
      <c r="G124" s="16"/>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c r="AY124" s="14"/>
      <c r="AZ124" s="14"/>
      <c r="BA124" s="14"/>
      <c r="BB124" s="14"/>
      <c r="BC124" s="14"/>
      <c r="BD124" s="14"/>
      <c r="BE124" s="14"/>
      <c r="BF124" s="14"/>
      <c r="BG124" s="14"/>
      <c r="BH124" s="14"/>
      <c r="BI124" s="14"/>
      <c r="BJ124" s="14"/>
      <c r="BK124" s="14"/>
      <c r="BL124" s="14"/>
      <c r="BM124" s="14"/>
      <c r="BN124" s="14"/>
      <c r="BO124" s="14"/>
      <c r="BP124" s="14"/>
      <c r="BQ124" s="14"/>
      <c r="BR124" s="14"/>
      <c r="BS124" s="14"/>
      <c r="BT124" s="14"/>
      <c r="BU124" s="14"/>
      <c r="BV124" s="14"/>
      <c r="BW124" s="14"/>
      <c r="BX124" s="14"/>
      <c r="BY124" s="14"/>
      <c r="BZ124" s="14"/>
      <c r="CA124" s="14"/>
      <c r="CB124" s="14"/>
      <c r="CC124" s="14"/>
      <c r="CD124" s="14"/>
      <c r="CE124" s="14"/>
      <c r="CF124" s="14"/>
      <c r="CG124" s="14"/>
      <c r="CH124" s="14"/>
      <c r="CI124" s="14"/>
      <c r="CJ124" s="14"/>
      <c r="CK124" s="14"/>
      <c r="CL124" s="14"/>
      <c r="CM124" s="14"/>
      <c r="CN124" s="14"/>
      <c r="CO124" s="14"/>
      <c r="CP124" s="14"/>
      <c r="CQ124" s="14"/>
      <c r="CR124" s="14"/>
      <c r="CS124" s="14"/>
      <c r="CT124" s="14"/>
      <c r="CU124" s="14"/>
      <c r="CV124" s="14"/>
      <c r="CW124" s="14"/>
      <c r="CX124" s="14"/>
      <c r="CY124" s="14"/>
    </row>
    <row r="125" spans="1:103" ht="15.75" customHeight="1">
      <c r="A125" s="14"/>
      <c r="B125" s="14"/>
      <c r="C125" s="14"/>
      <c r="D125" s="14"/>
      <c r="E125" s="15"/>
      <c r="F125" s="14"/>
      <c r="G125" s="16"/>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c r="AY125" s="14"/>
      <c r="AZ125" s="14"/>
      <c r="BA125" s="14"/>
      <c r="BB125" s="14"/>
      <c r="BC125" s="14"/>
      <c r="BD125" s="14"/>
      <c r="BE125" s="14"/>
      <c r="BF125" s="14"/>
      <c r="BG125" s="14"/>
      <c r="BH125" s="14"/>
      <c r="BI125" s="14"/>
      <c r="BJ125" s="14"/>
      <c r="BK125" s="14"/>
      <c r="BL125" s="14"/>
      <c r="BM125" s="14"/>
      <c r="BN125" s="14"/>
      <c r="BO125" s="14"/>
      <c r="BP125" s="14"/>
      <c r="BQ125" s="14"/>
      <c r="BR125" s="14"/>
      <c r="BS125" s="14"/>
      <c r="BT125" s="14"/>
      <c r="BU125" s="14"/>
      <c r="BV125" s="14"/>
      <c r="BW125" s="14"/>
      <c r="BX125" s="14"/>
      <c r="BY125" s="14"/>
      <c r="BZ125" s="14"/>
      <c r="CA125" s="14"/>
      <c r="CB125" s="14"/>
      <c r="CC125" s="14"/>
      <c r="CD125" s="14"/>
      <c r="CE125" s="14"/>
      <c r="CF125" s="14"/>
      <c r="CG125" s="14"/>
      <c r="CH125" s="14"/>
      <c r="CI125" s="14"/>
      <c r="CJ125" s="14"/>
      <c r="CK125" s="14"/>
      <c r="CL125" s="14"/>
      <c r="CM125" s="14"/>
      <c r="CN125" s="14"/>
      <c r="CO125" s="14"/>
      <c r="CP125" s="14"/>
      <c r="CQ125" s="14"/>
      <c r="CR125" s="14"/>
      <c r="CS125" s="14"/>
      <c r="CT125" s="14"/>
      <c r="CU125" s="14"/>
      <c r="CV125" s="14"/>
      <c r="CW125" s="14"/>
      <c r="CX125" s="14"/>
      <c r="CY125" s="14"/>
    </row>
    <row r="126" spans="1:103" ht="15.75" customHeight="1">
      <c r="A126" s="14"/>
      <c r="B126" s="14"/>
      <c r="C126" s="14"/>
      <c r="D126" s="14"/>
      <c r="E126" s="15"/>
      <c r="F126" s="14"/>
      <c r="G126" s="16"/>
      <c r="H126" s="1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4"/>
      <c r="AZ126" s="14"/>
      <c r="BA126" s="14"/>
      <c r="BB126" s="14"/>
      <c r="BC126" s="14"/>
      <c r="BD126" s="14"/>
      <c r="BE126" s="14"/>
      <c r="BF126" s="14"/>
      <c r="BG126" s="14"/>
      <c r="BH126" s="14"/>
      <c r="BI126" s="14"/>
      <c r="BJ126" s="14"/>
      <c r="BK126" s="14"/>
      <c r="BL126" s="14"/>
      <c r="BM126" s="14"/>
      <c r="BN126" s="14"/>
      <c r="BO126" s="14"/>
      <c r="BP126" s="14"/>
      <c r="BQ126" s="14"/>
      <c r="BR126" s="14"/>
      <c r="BS126" s="14"/>
      <c r="BT126" s="14"/>
      <c r="BU126" s="14"/>
      <c r="BV126" s="14"/>
      <c r="BW126" s="14"/>
      <c r="BX126" s="14"/>
      <c r="BY126" s="14"/>
      <c r="BZ126" s="14"/>
      <c r="CA126" s="14"/>
      <c r="CB126" s="14"/>
      <c r="CC126" s="14"/>
      <c r="CD126" s="14"/>
      <c r="CE126" s="14"/>
      <c r="CF126" s="14"/>
      <c r="CG126" s="14"/>
      <c r="CH126" s="14"/>
      <c r="CI126" s="14"/>
      <c r="CJ126" s="14"/>
      <c r="CK126" s="14"/>
      <c r="CL126" s="14"/>
      <c r="CM126" s="14"/>
      <c r="CN126" s="14"/>
      <c r="CO126" s="14"/>
      <c r="CP126" s="14"/>
      <c r="CQ126" s="14"/>
      <c r="CR126" s="14"/>
      <c r="CS126" s="14"/>
      <c r="CT126" s="14"/>
      <c r="CU126" s="14"/>
      <c r="CV126" s="14"/>
      <c r="CW126" s="14"/>
      <c r="CX126" s="14"/>
      <c r="CY126" s="14"/>
    </row>
    <row r="127" spans="1:103" ht="15.75" customHeight="1">
      <c r="A127" s="14"/>
      <c r="B127" s="14"/>
      <c r="C127" s="14"/>
      <c r="D127" s="14"/>
      <c r="E127" s="15"/>
      <c r="F127" s="14"/>
      <c r="G127" s="16"/>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c r="AY127" s="14"/>
      <c r="AZ127" s="14"/>
      <c r="BA127" s="14"/>
      <c r="BB127" s="14"/>
      <c r="BC127" s="14"/>
      <c r="BD127" s="14"/>
      <c r="BE127" s="14"/>
      <c r="BF127" s="14"/>
      <c r="BG127" s="14"/>
      <c r="BH127" s="14"/>
      <c r="BI127" s="14"/>
      <c r="BJ127" s="14"/>
      <c r="BK127" s="14"/>
      <c r="BL127" s="14"/>
      <c r="BM127" s="14"/>
      <c r="BN127" s="14"/>
      <c r="BO127" s="14"/>
      <c r="BP127" s="14"/>
      <c r="BQ127" s="14"/>
      <c r="BR127" s="14"/>
      <c r="BS127" s="14"/>
      <c r="BT127" s="14"/>
      <c r="BU127" s="14"/>
      <c r="BV127" s="14"/>
      <c r="BW127" s="14"/>
      <c r="BX127" s="14"/>
      <c r="BY127" s="14"/>
      <c r="BZ127" s="14"/>
      <c r="CA127" s="14"/>
      <c r="CB127" s="14"/>
      <c r="CC127" s="14"/>
      <c r="CD127" s="14"/>
      <c r="CE127" s="14"/>
      <c r="CF127" s="14"/>
      <c r="CG127" s="14"/>
      <c r="CH127" s="14"/>
      <c r="CI127" s="14"/>
      <c r="CJ127" s="14"/>
      <c r="CK127" s="14"/>
      <c r="CL127" s="14"/>
      <c r="CM127" s="14"/>
      <c r="CN127" s="14"/>
      <c r="CO127" s="14"/>
      <c r="CP127" s="14"/>
      <c r="CQ127" s="14"/>
      <c r="CR127" s="14"/>
      <c r="CS127" s="14"/>
      <c r="CT127" s="14"/>
      <c r="CU127" s="14"/>
      <c r="CV127" s="14"/>
      <c r="CW127" s="14"/>
      <c r="CX127" s="14"/>
      <c r="CY127" s="14"/>
    </row>
    <row r="128" spans="1:103" ht="15.75" customHeight="1">
      <c r="A128" s="14"/>
      <c r="B128" s="14"/>
      <c r="C128" s="14"/>
      <c r="D128" s="14"/>
      <c r="E128" s="15"/>
      <c r="F128" s="14"/>
      <c r="G128" s="16"/>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c r="AY128" s="14"/>
      <c r="AZ128" s="14"/>
      <c r="BA128" s="14"/>
      <c r="BB128" s="14"/>
      <c r="BC128" s="14"/>
      <c r="BD128" s="14"/>
      <c r="BE128" s="14"/>
      <c r="BF128" s="14"/>
      <c r="BG128" s="14"/>
      <c r="BH128" s="14"/>
      <c r="BI128" s="14"/>
      <c r="BJ128" s="14"/>
      <c r="BK128" s="14"/>
      <c r="BL128" s="14"/>
      <c r="BM128" s="14"/>
      <c r="BN128" s="14"/>
      <c r="BO128" s="14"/>
      <c r="BP128" s="14"/>
      <c r="BQ128" s="14"/>
      <c r="BR128" s="14"/>
      <c r="BS128" s="14"/>
      <c r="BT128" s="14"/>
      <c r="BU128" s="14"/>
      <c r="BV128" s="14"/>
      <c r="BW128" s="14"/>
      <c r="BX128" s="14"/>
      <c r="BY128" s="14"/>
      <c r="BZ128" s="14"/>
      <c r="CA128" s="14"/>
      <c r="CB128" s="14"/>
      <c r="CC128" s="14"/>
      <c r="CD128" s="14"/>
      <c r="CE128" s="14"/>
      <c r="CF128" s="14"/>
      <c r="CG128" s="14"/>
      <c r="CH128" s="14"/>
      <c r="CI128" s="14"/>
      <c r="CJ128" s="14"/>
      <c r="CK128" s="14"/>
      <c r="CL128" s="14"/>
      <c r="CM128" s="14"/>
      <c r="CN128" s="14"/>
      <c r="CO128" s="14"/>
      <c r="CP128" s="14"/>
      <c r="CQ128" s="14"/>
      <c r="CR128" s="14"/>
      <c r="CS128" s="14"/>
      <c r="CT128" s="14"/>
      <c r="CU128" s="14"/>
      <c r="CV128" s="14"/>
      <c r="CW128" s="14"/>
      <c r="CX128" s="14"/>
      <c r="CY128" s="14"/>
    </row>
    <row r="129" spans="1:103" ht="15.75" customHeight="1">
      <c r="A129" s="14"/>
      <c r="B129" s="14"/>
      <c r="C129" s="14"/>
      <c r="D129" s="14"/>
      <c r="E129" s="15"/>
      <c r="F129" s="14"/>
      <c r="G129" s="16"/>
      <c r="H129" s="1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c r="AY129" s="14"/>
      <c r="AZ129" s="14"/>
      <c r="BA129" s="14"/>
      <c r="BB129" s="14"/>
      <c r="BC129" s="14"/>
      <c r="BD129" s="14"/>
      <c r="BE129" s="14"/>
      <c r="BF129" s="14"/>
      <c r="BG129" s="14"/>
      <c r="BH129" s="14"/>
      <c r="BI129" s="14"/>
      <c r="BJ129" s="14"/>
      <c r="BK129" s="14"/>
      <c r="BL129" s="14"/>
      <c r="BM129" s="14"/>
      <c r="BN129" s="14"/>
      <c r="BO129" s="14"/>
      <c r="BP129" s="14"/>
      <c r="BQ129" s="14"/>
      <c r="BR129" s="14"/>
      <c r="BS129" s="14"/>
      <c r="BT129" s="14"/>
      <c r="BU129" s="14"/>
      <c r="BV129" s="14"/>
      <c r="BW129" s="14"/>
      <c r="BX129" s="14"/>
      <c r="BY129" s="14"/>
      <c r="BZ129" s="14"/>
      <c r="CA129" s="14"/>
      <c r="CB129" s="14"/>
      <c r="CC129" s="14"/>
      <c r="CD129" s="14"/>
      <c r="CE129" s="14"/>
      <c r="CF129" s="14"/>
      <c r="CG129" s="14"/>
      <c r="CH129" s="14"/>
      <c r="CI129" s="14"/>
      <c r="CJ129" s="14"/>
      <c r="CK129" s="14"/>
      <c r="CL129" s="14"/>
      <c r="CM129" s="14"/>
      <c r="CN129" s="14"/>
      <c r="CO129" s="14"/>
      <c r="CP129" s="14"/>
      <c r="CQ129" s="14"/>
      <c r="CR129" s="14"/>
      <c r="CS129" s="14"/>
      <c r="CT129" s="14"/>
      <c r="CU129" s="14"/>
      <c r="CV129" s="14"/>
      <c r="CW129" s="14"/>
      <c r="CX129" s="14"/>
      <c r="CY129" s="14"/>
    </row>
    <row r="130" spans="1:103" ht="15.75" customHeight="1">
      <c r="A130" s="14"/>
      <c r="B130" s="14"/>
      <c r="C130" s="14"/>
      <c r="D130" s="14"/>
      <c r="E130" s="15"/>
      <c r="F130" s="14"/>
      <c r="G130" s="16"/>
      <c r="H130" s="1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c r="AY130" s="14"/>
      <c r="AZ130" s="14"/>
      <c r="BA130" s="14"/>
      <c r="BB130" s="14"/>
      <c r="BC130" s="14"/>
      <c r="BD130" s="14"/>
      <c r="BE130" s="14"/>
      <c r="BF130" s="14"/>
      <c r="BG130" s="14"/>
      <c r="BH130" s="14"/>
      <c r="BI130" s="14"/>
      <c r="BJ130" s="14"/>
      <c r="BK130" s="14"/>
      <c r="BL130" s="14"/>
      <c r="BM130" s="14"/>
      <c r="BN130" s="14"/>
      <c r="BO130" s="14"/>
      <c r="BP130" s="14"/>
      <c r="BQ130" s="14"/>
      <c r="BR130" s="14"/>
      <c r="BS130" s="14"/>
      <c r="BT130" s="14"/>
      <c r="BU130" s="14"/>
      <c r="BV130" s="14"/>
      <c r="BW130" s="14"/>
      <c r="BX130" s="14"/>
      <c r="BY130" s="14"/>
      <c r="BZ130" s="14"/>
      <c r="CA130" s="14"/>
      <c r="CB130" s="14"/>
      <c r="CC130" s="14"/>
      <c r="CD130" s="14"/>
      <c r="CE130" s="14"/>
      <c r="CF130" s="14"/>
      <c r="CG130" s="14"/>
      <c r="CH130" s="14"/>
      <c r="CI130" s="14"/>
      <c r="CJ130" s="14"/>
      <c r="CK130" s="14"/>
      <c r="CL130" s="14"/>
      <c r="CM130" s="14"/>
      <c r="CN130" s="14"/>
      <c r="CO130" s="14"/>
      <c r="CP130" s="14"/>
      <c r="CQ130" s="14"/>
      <c r="CR130" s="14"/>
      <c r="CS130" s="14"/>
      <c r="CT130" s="14"/>
      <c r="CU130" s="14"/>
      <c r="CV130" s="14"/>
      <c r="CW130" s="14"/>
      <c r="CX130" s="14"/>
      <c r="CY130" s="14"/>
    </row>
    <row r="131" spans="1:103" ht="15.75" customHeight="1">
      <c r="A131" s="14"/>
      <c r="B131" s="14"/>
      <c r="C131" s="14"/>
      <c r="D131" s="14"/>
      <c r="E131" s="15"/>
      <c r="F131" s="14"/>
      <c r="G131" s="16"/>
      <c r="H131" s="1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c r="AY131" s="14"/>
      <c r="AZ131" s="14"/>
      <c r="BA131" s="14"/>
      <c r="BB131" s="14"/>
      <c r="BC131" s="14"/>
      <c r="BD131" s="14"/>
      <c r="BE131" s="14"/>
      <c r="BF131" s="14"/>
      <c r="BG131" s="14"/>
      <c r="BH131" s="14"/>
      <c r="BI131" s="14"/>
      <c r="BJ131" s="14"/>
      <c r="BK131" s="14"/>
      <c r="BL131" s="14"/>
      <c r="BM131" s="14"/>
      <c r="BN131" s="14"/>
      <c r="BO131" s="14"/>
      <c r="BP131" s="14"/>
      <c r="BQ131" s="14"/>
      <c r="BR131" s="14"/>
      <c r="BS131" s="14"/>
      <c r="BT131" s="14"/>
      <c r="BU131" s="14"/>
      <c r="BV131" s="14"/>
      <c r="BW131" s="14"/>
      <c r="BX131" s="14"/>
      <c r="BY131" s="14"/>
      <c r="BZ131" s="14"/>
      <c r="CA131" s="14"/>
      <c r="CB131" s="14"/>
      <c r="CC131" s="14"/>
      <c r="CD131" s="14"/>
      <c r="CE131" s="14"/>
      <c r="CF131" s="14"/>
      <c r="CG131" s="14"/>
      <c r="CH131" s="14"/>
      <c r="CI131" s="14"/>
      <c r="CJ131" s="14"/>
      <c r="CK131" s="14"/>
      <c r="CL131" s="14"/>
      <c r="CM131" s="14"/>
      <c r="CN131" s="14"/>
      <c r="CO131" s="14"/>
      <c r="CP131" s="14"/>
      <c r="CQ131" s="14"/>
      <c r="CR131" s="14"/>
      <c r="CS131" s="14"/>
      <c r="CT131" s="14"/>
      <c r="CU131" s="14"/>
      <c r="CV131" s="14"/>
      <c r="CW131" s="14"/>
      <c r="CX131" s="14"/>
      <c r="CY131" s="14"/>
    </row>
    <row r="132" spans="1:103" ht="15.75" customHeight="1">
      <c r="A132" s="14"/>
      <c r="B132" s="14"/>
      <c r="C132" s="14"/>
      <c r="D132" s="14"/>
      <c r="E132" s="15"/>
      <c r="F132" s="14"/>
      <c r="G132" s="16"/>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c r="AY132" s="14"/>
      <c r="AZ132" s="14"/>
      <c r="BA132" s="14"/>
      <c r="BB132" s="14"/>
      <c r="BC132" s="14"/>
      <c r="BD132" s="14"/>
      <c r="BE132" s="14"/>
      <c r="BF132" s="14"/>
      <c r="BG132" s="14"/>
      <c r="BH132" s="14"/>
      <c r="BI132" s="14"/>
      <c r="BJ132" s="14"/>
      <c r="BK132" s="14"/>
      <c r="BL132" s="14"/>
      <c r="BM132" s="14"/>
      <c r="BN132" s="14"/>
      <c r="BO132" s="14"/>
      <c r="BP132" s="14"/>
      <c r="BQ132" s="14"/>
      <c r="BR132" s="14"/>
      <c r="BS132" s="14"/>
      <c r="BT132" s="14"/>
      <c r="BU132" s="14"/>
      <c r="BV132" s="14"/>
      <c r="BW132" s="14"/>
      <c r="BX132" s="14"/>
      <c r="BY132" s="14"/>
      <c r="BZ132" s="14"/>
      <c r="CA132" s="14"/>
      <c r="CB132" s="14"/>
      <c r="CC132" s="14"/>
      <c r="CD132" s="14"/>
      <c r="CE132" s="14"/>
      <c r="CF132" s="14"/>
      <c r="CG132" s="14"/>
      <c r="CH132" s="14"/>
      <c r="CI132" s="14"/>
      <c r="CJ132" s="14"/>
      <c r="CK132" s="14"/>
      <c r="CL132" s="14"/>
      <c r="CM132" s="14"/>
      <c r="CN132" s="14"/>
      <c r="CO132" s="14"/>
      <c r="CP132" s="14"/>
      <c r="CQ132" s="14"/>
      <c r="CR132" s="14"/>
      <c r="CS132" s="14"/>
      <c r="CT132" s="14"/>
      <c r="CU132" s="14"/>
      <c r="CV132" s="14"/>
      <c r="CW132" s="14"/>
      <c r="CX132" s="14"/>
      <c r="CY132" s="14"/>
    </row>
    <row r="133" spans="1:103" ht="15.75" customHeight="1">
      <c r="A133" s="14"/>
      <c r="B133" s="14"/>
      <c r="C133" s="14"/>
      <c r="D133" s="14"/>
      <c r="E133" s="15"/>
      <c r="F133" s="14"/>
      <c r="G133" s="16"/>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c r="AY133" s="14"/>
      <c r="AZ133" s="14"/>
      <c r="BA133" s="14"/>
      <c r="BB133" s="14"/>
      <c r="BC133" s="14"/>
      <c r="BD133" s="14"/>
      <c r="BE133" s="14"/>
      <c r="BF133" s="14"/>
      <c r="BG133" s="14"/>
      <c r="BH133" s="14"/>
      <c r="BI133" s="14"/>
      <c r="BJ133" s="14"/>
      <c r="BK133" s="14"/>
      <c r="BL133" s="14"/>
      <c r="BM133" s="14"/>
      <c r="BN133" s="14"/>
      <c r="BO133" s="14"/>
      <c r="BP133" s="14"/>
      <c r="BQ133" s="14"/>
      <c r="BR133" s="14"/>
      <c r="BS133" s="14"/>
      <c r="BT133" s="14"/>
      <c r="BU133" s="14"/>
      <c r="BV133" s="14"/>
      <c r="BW133" s="14"/>
      <c r="BX133" s="14"/>
      <c r="BY133" s="14"/>
      <c r="BZ133" s="14"/>
      <c r="CA133" s="14"/>
      <c r="CB133" s="14"/>
      <c r="CC133" s="14"/>
      <c r="CD133" s="14"/>
      <c r="CE133" s="14"/>
      <c r="CF133" s="14"/>
      <c r="CG133" s="14"/>
      <c r="CH133" s="14"/>
      <c r="CI133" s="14"/>
      <c r="CJ133" s="14"/>
      <c r="CK133" s="14"/>
      <c r="CL133" s="14"/>
      <c r="CM133" s="14"/>
      <c r="CN133" s="14"/>
      <c r="CO133" s="14"/>
      <c r="CP133" s="14"/>
      <c r="CQ133" s="14"/>
      <c r="CR133" s="14"/>
      <c r="CS133" s="14"/>
      <c r="CT133" s="14"/>
      <c r="CU133" s="14"/>
      <c r="CV133" s="14"/>
      <c r="CW133" s="14"/>
      <c r="CX133" s="14"/>
      <c r="CY133" s="14"/>
    </row>
    <row r="134" spans="1:103" ht="15.75" customHeight="1">
      <c r="A134" s="14"/>
      <c r="B134" s="14"/>
      <c r="C134" s="14"/>
      <c r="D134" s="14"/>
      <c r="E134" s="15"/>
      <c r="F134" s="14"/>
      <c r="G134" s="16"/>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c r="AY134" s="14"/>
      <c r="AZ134" s="14"/>
      <c r="BA134" s="14"/>
      <c r="BB134" s="14"/>
      <c r="BC134" s="14"/>
      <c r="BD134" s="14"/>
      <c r="BE134" s="14"/>
      <c r="BF134" s="14"/>
      <c r="BG134" s="14"/>
      <c r="BH134" s="14"/>
      <c r="BI134" s="14"/>
      <c r="BJ134" s="14"/>
      <c r="BK134" s="14"/>
      <c r="BL134" s="14"/>
      <c r="BM134" s="14"/>
      <c r="BN134" s="14"/>
      <c r="BO134" s="14"/>
      <c r="BP134" s="14"/>
      <c r="BQ134" s="14"/>
      <c r="BR134" s="14"/>
      <c r="BS134" s="14"/>
      <c r="BT134" s="14"/>
      <c r="BU134" s="14"/>
      <c r="BV134" s="14"/>
      <c r="BW134" s="14"/>
      <c r="BX134" s="14"/>
      <c r="BY134" s="14"/>
      <c r="BZ134" s="14"/>
      <c r="CA134" s="14"/>
      <c r="CB134" s="14"/>
      <c r="CC134" s="14"/>
      <c r="CD134" s="14"/>
      <c r="CE134" s="14"/>
      <c r="CF134" s="14"/>
      <c r="CG134" s="14"/>
      <c r="CH134" s="14"/>
      <c r="CI134" s="14"/>
      <c r="CJ134" s="14"/>
      <c r="CK134" s="14"/>
      <c r="CL134" s="14"/>
      <c r="CM134" s="14"/>
      <c r="CN134" s="14"/>
      <c r="CO134" s="14"/>
      <c r="CP134" s="14"/>
      <c r="CQ134" s="14"/>
      <c r="CR134" s="14"/>
      <c r="CS134" s="14"/>
      <c r="CT134" s="14"/>
      <c r="CU134" s="14"/>
      <c r="CV134" s="14"/>
      <c r="CW134" s="14"/>
      <c r="CX134" s="14"/>
      <c r="CY134" s="14"/>
    </row>
    <row r="135" spans="1:103" ht="15.75" customHeight="1">
      <c r="A135" s="14"/>
      <c r="B135" s="14"/>
      <c r="C135" s="14"/>
      <c r="D135" s="14"/>
      <c r="E135" s="15"/>
      <c r="F135" s="14"/>
      <c r="G135" s="16"/>
      <c r="H135" s="1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c r="AY135" s="14"/>
      <c r="AZ135" s="14"/>
      <c r="BA135" s="14"/>
      <c r="BB135" s="14"/>
      <c r="BC135" s="14"/>
      <c r="BD135" s="14"/>
      <c r="BE135" s="14"/>
      <c r="BF135" s="14"/>
      <c r="BG135" s="14"/>
      <c r="BH135" s="14"/>
      <c r="BI135" s="14"/>
      <c r="BJ135" s="14"/>
      <c r="BK135" s="14"/>
      <c r="BL135" s="14"/>
      <c r="BM135" s="14"/>
      <c r="BN135" s="14"/>
      <c r="BO135" s="14"/>
      <c r="BP135" s="14"/>
      <c r="BQ135" s="14"/>
      <c r="BR135" s="14"/>
      <c r="BS135" s="14"/>
      <c r="BT135" s="14"/>
      <c r="BU135" s="14"/>
      <c r="BV135" s="14"/>
      <c r="BW135" s="14"/>
      <c r="BX135" s="14"/>
      <c r="BY135" s="14"/>
      <c r="BZ135" s="14"/>
      <c r="CA135" s="14"/>
      <c r="CB135" s="14"/>
      <c r="CC135" s="14"/>
      <c r="CD135" s="14"/>
      <c r="CE135" s="14"/>
      <c r="CF135" s="14"/>
      <c r="CG135" s="14"/>
      <c r="CH135" s="14"/>
      <c r="CI135" s="14"/>
      <c r="CJ135" s="14"/>
      <c r="CK135" s="14"/>
      <c r="CL135" s="14"/>
      <c r="CM135" s="14"/>
      <c r="CN135" s="14"/>
      <c r="CO135" s="14"/>
      <c r="CP135" s="14"/>
      <c r="CQ135" s="14"/>
      <c r="CR135" s="14"/>
      <c r="CS135" s="14"/>
      <c r="CT135" s="14"/>
      <c r="CU135" s="14"/>
      <c r="CV135" s="14"/>
      <c r="CW135" s="14"/>
      <c r="CX135" s="14"/>
      <c r="CY135" s="14"/>
    </row>
    <row r="136" spans="1:103" ht="15.75" customHeight="1">
      <c r="A136" s="14"/>
      <c r="B136" s="14"/>
      <c r="C136" s="14"/>
      <c r="D136" s="14"/>
      <c r="E136" s="15"/>
      <c r="F136" s="14"/>
      <c r="G136" s="16"/>
      <c r="H136" s="1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c r="AY136" s="14"/>
      <c r="AZ136" s="14"/>
      <c r="BA136" s="14"/>
      <c r="BB136" s="14"/>
      <c r="BC136" s="14"/>
      <c r="BD136" s="14"/>
      <c r="BE136" s="14"/>
      <c r="BF136" s="14"/>
      <c r="BG136" s="14"/>
      <c r="BH136" s="14"/>
      <c r="BI136" s="14"/>
      <c r="BJ136" s="14"/>
      <c r="BK136" s="14"/>
      <c r="BL136" s="14"/>
      <c r="BM136" s="14"/>
      <c r="BN136" s="14"/>
      <c r="BO136" s="14"/>
      <c r="BP136" s="14"/>
      <c r="BQ136" s="14"/>
      <c r="BR136" s="14"/>
      <c r="BS136" s="14"/>
      <c r="BT136" s="14"/>
      <c r="BU136" s="14"/>
      <c r="BV136" s="14"/>
      <c r="BW136" s="14"/>
      <c r="BX136" s="14"/>
      <c r="BY136" s="14"/>
      <c r="BZ136" s="14"/>
      <c r="CA136" s="14"/>
      <c r="CB136" s="14"/>
      <c r="CC136" s="14"/>
      <c r="CD136" s="14"/>
      <c r="CE136" s="14"/>
      <c r="CF136" s="14"/>
      <c r="CG136" s="14"/>
      <c r="CH136" s="14"/>
      <c r="CI136" s="14"/>
      <c r="CJ136" s="14"/>
      <c r="CK136" s="14"/>
      <c r="CL136" s="14"/>
      <c r="CM136" s="14"/>
      <c r="CN136" s="14"/>
      <c r="CO136" s="14"/>
      <c r="CP136" s="14"/>
      <c r="CQ136" s="14"/>
      <c r="CR136" s="14"/>
      <c r="CS136" s="14"/>
      <c r="CT136" s="14"/>
      <c r="CU136" s="14"/>
      <c r="CV136" s="14"/>
      <c r="CW136" s="14"/>
      <c r="CX136" s="14"/>
      <c r="CY136" s="14"/>
    </row>
    <row r="137" spans="1:103" ht="15.75" customHeight="1">
      <c r="A137" s="14"/>
      <c r="B137" s="14"/>
      <c r="C137" s="14"/>
      <c r="D137" s="14"/>
      <c r="E137" s="15"/>
      <c r="F137" s="14"/>
      <c r="G137" s="16"/>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c r="AY137" s="14"/>
      <c r="AZ137" s="14"/>
      <c r="BA137" s="14"/>
      <c r="BB137" s="14"/>
      <c r="BC137" s="14"/>
      <c r="BD137" s="14"/>
      <c r="BE137" s="14"/>
      <c r="BF137" s="14"/>
      <c r="BG137" s="14"/>
      <c r="BH137" s="14"/>
      <c r="BI137" s="14"/>
      <c r="BJ137" s="14"/>
      <c r="BK137" s="14"/>
      <c r="BL137" s="14"/>
      <c r="BM137" s="14"/>
      <c r="BN137" s="14"/>
      <c r="BO137" s="14"/>
      <c r="BP137" s="14"/>
      <c r="BQ137" s="14"/>
      <c r="BR137" s="14"/>
      <c r="BS137" s="14"/>
      <c r="BT137" s="14"/>
      <c r="BU137" s="14"/>
      <c r="BV137" s="14"/>
      <c r="BW137" s="14"/>
      <c r="BX137" s="14"/>
      <c r="BY137" s="14"/>
      <c r="BZ137" s="14"/>
      <c r="CA137" s="14"/>
      <c r="CB137" s="14"/>
      <c r="CC137" s="14"/>
      <c r="CD137" s="14"/>
      <c r="CE137" s="14"/>
      <c r="CF137" s="14"/>
      <c r="CG137" s="14"/>
      <c r="CH137" s="14"/>
      <c r="CI137" s="14"/>
      <c r="CJ137" s="14"/>
      <c r="CK137" s="14"/>
      <c r="CL137" s="14"/>
      <c r="CM137" s="14"/>
      <c r="CN137" s="14"/>
      <c r="CO137" s="14"/>
      <c r="CP137" s="14"/>
      <c r="CQ137" s="14"/>
      <c r="CR137" s="14"/>
      <c r="CS137" s="14"/>
      <c r="CT137" s="14"/>
      <c r="CU137" s="14"/>
      <c r="CV137" s="14"/>
      <c r="CW137" s="14"/>
      <c r="CX137" s="14"/>
      <c r="CY137" s="14"/>
    </row>
    <row r="138" spans="1:103" ht="15.75" customHeight="1">
      <c r="A138" s="14"/>
      <c r="B138" s="14"/>
      <c r="C138" s="14"/>
      <c r="D138" s="14"/>
      <c r="E138" s="15"/>
      <c r="F138" s="14"/>
      <c r="G138" s="16"/>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4"/>
      <c r="AZ138" s="14"/>
      <c r="BA138" s="14"/>
      <c r="BB138" s="14"/>
      <c r="BC138" s="14"/>
      <c r="BD138" s="14"/>
      <c r="BE138" s="14"/>
      <c r="BF138" s="14"/>
      <c r="BG138" s="14"/>
      <c r="BH138" s="14"/>
      <c r="BI138" s="14"/>
      <c r="BJ138" s="14"/>
      <c r="BK138" s="14"/>
      <c r="BL138" s="14"/>
      <c r="BM138" s="14"/>
      <c r="BN138" s="14"/>
      <c r="BO138" s="14"/>
      <c r="BP138" s="14"/>
      <c r="BQ138" s="14"/>
      <c r="BR138" s="14"/>
      <c r="BS138" s="14"/>
      <c r="BT138" s="14"/>
      <c r="BU138" s="14"/>
      <c r="BV138" s="14"/>
      <c r="BW138" s="14"/>
      <c r="BX138" s="14"/>
      <c r="BY138" s="14"/>
      <c r="BZ138" s="14"/>
      <c r="CA138" s="14"/>
      <c r="CB138" s="14"/>
      <c r="CC138" s="14"/>
      <c r="CD138" s="14"/>
      <c r="CE138" s="14"/>
      <c r="CF138" s="14"/>
      <c r="CG138" s="14"/>
      <c r="CH138" s="14"/>
      <c r="CI138" s="14"/>
      <c r="CJ138" s="14"/>
      <c r="CK138" s="14"/>
      <c r="CL138" s="14"/>
      <c r="CM138" s="14"/>
      <c r="CN138" s="14"/>
      <c r="CO138" s="14"/>
      <c r="CP138" s="14"/>
      <c r="CQ138" s="14"/>
      <c r="CR138" s="14"/>
      <c r="CS138" s="14"/>
      <c r="CT138" s="14"/>
      <c r="CU138" s="14"/>
      <c r="CV138" s="14"/>
      <c r="CW138" s="14"/>
      <c r="CX138" s="14"/>
      <c r="CY138" s="14"/>
    </row>
    <row r="139" spans="1:103" ht="15.75" customHeight="1">
      <c r="A139" s="14"/>
      <c r="B139" s="14"/>
      <c r="C139" s="14"/>
      <c r="D139" s="14"/>
      <c r="E139" s="15"/>
      <c r="F139" s="14"/>
      <c r="G139" s="16"/>
      <c r="H139" s="1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c r="AY139" s="14"/>
      <c r="AZ139" s="14"/>
      <c r="BA139" s="14"/>
      <c r="BB139" s="14"/>
      <c r="BC139" s="14"/>
      <c r="BD139" s="14"/>
      <c r="BE139" s="14"/>
      <c r="BF139" s="14"/>
      <c r="BG139" s="14"/>
      <c r="BH139" s="14"/>
      <c r="BI139" s="14"/>
      <c r="BJ139" s="14"/>
      <c r="BK139" s="14"/>
      <c r="BL139" s="14"/>
      <c r="BM139" s="14"/>
      <c r="BN139" s="14"/>
      <c r="BO139" s="14"/>
      <c r="BP139" s="14"/>
      <c r="BQ139" s="14"/>
      <c r="BR139" s="14"/>
      <c r="BS139" s="14"/>
      <c r="BT139" s="14"/>
      <c r="BU139" s="14"/>
      <c r="BV139" s="14"/>
      <c r="BW139" s="14"/>
      <c r="BX139" s="14"/>
      <c r="BY139" s="14"/>
      <c r="BZ139" s="14"/>
      <c r="CA139" s="14"/>
      <c r="CB139" s="14"/>
      <c r="CC139" s="14"/>
      <c r="CD139" s="14"/>
      <c r="CE139" s="14"/>
      <c r="CF139" s="14"/>
      <c r="CG139" s="14"/>
      <c r="CH139" s="14"/>
      <c r="CI139" s="14"/>
      <c r="CJ139" s="14"/>
      <c r="CK139" s="14"/>
      <c r="CL139" s="14"/>
      <c r="CM139" s="14"/>
      <c r="CN139" s="14"/>
      <c r="CO139" s="14"/>
      <c r="CP139" s="14"/>
      <c r="CQ139" s="14"/>
      <c r="CR139" s="14"/>
      <c r="CS139" s="14"/>
      <c r="CT139" s="14"/>
      <c r="CU139" s="14"/>
      <c r="CV139" s="14"/>
      <c r="CW139" s="14"/>
      <c r="CX139" s="14"/>
      <c r="CY139" s="14"/>
    </row>
    <row r="140" spans="1:103" ht="15.75" customHeight="1">
      <c r="A140" s="14"/>
      <c r="B140" s="14"/>
      <c r="C140" s="14"/>
      <c r="D140" s="14"/>
      <c r="E140" s="15"/>
      <c r="F140" s="14"/>
      <c r="G140" s="16"/>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c r="AY140" s="14"/>
      <c r="AZ140" s="14"/>
      <c r="BA140" s="14"/>
      <c r="BB140" s="14"/>
      <c r="BC140" s="14"/>
      <c r="BD140" s="14"/>
      <c r="BE140" s="14"/>
      <c r="BF140" s="14"/>
      <c r="BG140" s="14"/>
      <c r="BH140" s="14"/>
      <c r="BI140" s="14"/>
      <c r="BJ140" s="14"/>
      <c r="BK140" s="14"/>
      <c r="BL140" s="14"/>
      <c r="BM140" s="14"/>
      <c r="BN140" s="14"/>
      <c r="BO140" s="14"/>
      <c r="BP140" s="14"/>
      <c r="BQ140" s="14"/>
      <c r="BR140" s="14"/>
      <c r="BS140" s="14"/>
      <c r="BT140" s="14"/>
      <c r="BU140" s="14"/>
      <c r="BV140" s="14"/>
      <c r="BW140" s="14"/>
      <c r="BX140" s="14"/>
      <c r="BY140" s="14"/>
      <c r="BZ140" s="14"/>
      <c r="CA140" s="14"/>
      <c r="CB140" s="14"/>
      <c r="CC140" s="14"/>
      <c r="CD140" s="14"/>
      <c r="CE140" s="14"/>
      <c r="CF140" s="14"/>
      <c r="CG140" s="14"/>
      <c r="CH140" s="14"/>
      <c r="CI140" s="14"/>
      <c r="CJ140" s="14"/>
      <c r="CK140" s="14"/>
      <c r="CL140" s="14"/>
      <c r="CM140" s="14"/>
      <c r="CN140" s="14"/>
      <c r="CO140" s="14"/>
      <c r="CP140" s="14"/>
      <c r="CQ140" s="14"/>
      <c r="CR140" s="14"/>
      <c r="CS140" s="14"/>
      <c r="CT140" s="14"/>
      <c r="CU140" s="14"/>
      <c r="CV140" s="14"/>
      <c r="CW140" s="14"/>
      <c r="CX140" s="14"/>
      <c r="CY140" s="14"/>
    </row>
    <row r="141" spans="1:103" ht="15.75" customHeight="1">
      <c r="A141" s="14"/>
      <c r="B141" s="14"/>
      <c r="C141" s="14"/>
      <c r="D141" s="14"/>
      <c r="E141" s="15"/>
      <c r="F141" s="14"/>
      <c r="G141" s="16"/>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c r="AY141" s="14"/>
      <c r="AZ141" s="14"/>
      <c r="BA141" s="14"/>
      <c r="BB141" s="14"/>
      <c r="BC141" s="14"/>
      <c r="BD141" s="14"/>
      <c r="BE141" s="14"/>
      <c r="BF141" s="14"/>
      <c r="BG141" s="14"/>
      <c r="BH141" s="14"/>
      <c r="BI141" s="14"/>
      <c r="BJ141" s="14"/>
      <c r="BK141" s="14"/>
      <c r="BL141" s="14"/>
      <c r="BM141" s="14"/>
      <c r="BN141" s="14"/>
      <c r="BO141" s="14"/>
      <c r="BP141" s="14"/>
      <c r="BQ141" s="14"/>
      <c r="BR141" s="14"/>
      <c r="BS141" s="14"/>
      <c r="BT141" s="14"/>
      <c r="BU141" s="14"/>
      <c r="BV141" s="14"/>
      <c r="BW141" s="14"/>
      <c r="BX141" s="14"/>
      <c r="BY141" s="14"/>
      <c r="BZ141" s="14"/>
      <c r="CA141" s="14"/>
      <c r="CB141" s="14"/>
      <c r="CC141" s="14"/>
      <c r="CD141" s="14"/>
      <c r="CE141" s="14"/>
      <c r="CF141" s="14"/>
      <c r="CG141" s="14"/>
      <c r="CH141" s="14"/>
      <c r="CI141" s="14"/>
      <c r="CJ141" s="14"/>
      <c r="CK141" s="14"/>
      <c r="CL141" s="14"/>
      <c r="CM141" s="14"/>
      <c r="CN141" s="14"/>
      <c r="CO141" s="14"/>
      <c r="CP141" s="14"/>
      <c r="CQ141" s="14"/>
      <c r="CR141" s="14"/>
      <c r="CS141" s="14"/>
      <c r="CT141" s="14"/>
      <c r="CU141" s="14"/>
      <c r="CV141" s="14"/>
      <c r="CW141" s="14"/>
      <c r="CX141" s="14"/>
      <c r="CY141" s="14"/>
    </row>
    <row r="142" spans="1:103" ht="15.75" customHeight="1">
      <c r="A142" s="14"/>
      <c r="B142" s="14"/>
      <c r="C142" s="14"/>
      <c r="D142" s="14"/>
      <c r="E142" s="15"/>
      <c r="F142" s="14"/>
      <c r="G142" s="16"/>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c r="AY142" s="14"/>
      <c r="AZ142" s="14"/>
      <c r="BA142" s="14"/>
      <c r="BB142" s="14"/>
      <c r="BC142" s="14"/>
      <c r="BD142" s="14"/>
      <c r="BE142" s="14"/>
      <c r="BF142" s="14"/>
      <c r="BG142" s="14"/>
      <c r="BH142" s="14"/>
      <c r="BI142" s="14"/>
      <c r="BJ142" s="14"/>
      <c r="BK142" s="14"/>
      <c r="BL142" s="14"/>
      <c r="BM142" s="14"/>
      <c r="BN142" s="14"/>
      <c r="BO142" s="14"/>
      <c r="BP142" s="14"/>
      <c r="BQ142" s="14"/>
      <c r="BR142" s="14"/>
      <c r="BS142" s="14"/>
      <c r="BT142" s="14"/>
      <c r="BU142" s="14"/>
      <c r="BV142" s="14"/>
      <c r="BW142" s="14"/>
      <c r="BX142" s="14"/>
      <c r="BY142" s="14"/>
      <c r="BZ142" s="14"/>
      <c r="CA142" s="14"/>
      <c r="CB142" s="14"/>
      <c r="CC142" s="14"/>
      <c r="CD142" s="14"/>
      <c r="CE142" s="14"/>
      <c r="CF142" s="14"/>
      <c r="CG142" s="14"/>
      <c r="CH142" s="14"/>
      <c r="CI142" s="14"/>
      <c r="CJ142" s="14"/>
      <c r="CK142" s="14"/>
      <c r="CL142" s="14"/>
      <c r="CM142" s="14"/>
      <c r="CN142" s="14"/>
      <c r="CO142" s="14"/>
      <c r="CP142" s="14"/>
      <c r="CQ142" s="14"/>
      <c r="CR142" s="14"/>
      <c r="CS142" s="14"/>
      <c r="CT142" s="14"/>
      <c r="CU142" s="14"/>
      <c r="CV142" s="14"/>
      <c r="CW142" s="14"/>
      <c r="CX142" s="14"/>
      <c r="CY142" s="14"/>
    </row>
    <row r="143" spans="1:103" ht="15.75" customHeight="1">
      <c r="A143" s="14"/>
      <c r="B143" s="14"/>
      <c r="C143" s="14"/>
      <c r="D143" s="14"/>
      <c r="E143" s="15"/>
      <c r="F143" s="14"/>
      <c r="G143" s="16"/>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c r="AY143" s="14"/>
      <c r="AZ143" s="14"/>
      <c r="BA143" s="14"/>
      <c r="BB143" s="14"/>
      <c r="BC143" s="14"/>
      <c r="BD143" s="14"/>
      <c r="BE143" s="14"/>
      <c r="BF143" s="14"/>
      <c r="BG143" s="14"/>
      <c r="BH143" s="14"/>
      <c r="BI143" s="14"/>
      <c r="BJ143" s="14"/>
      <c r="BK143" s="14"/>
      <c r="BL143" s="14"/>
      <c r="BM143" s="14"/>
      <c r="BN143" s="14"/>
      <c r="BO143" s="14"/>
      <c r="BP143" s="14"/>
      <c r="BQ143" s="14"/>
      <c r="BR143" s="14"/>
      <c r="BS143" s="14"/>
      <c r="BT143" s="14"/>
      <c r="BU143" s="14"/>
      <c r="BV143" s="14"/>
      <c r="BW143" s="14"/>
      <c r="BX143" s="14"/>
      <c r="BY143" s="14"/>
      <c r="BZ143" s="14"/>
      <c r="CA143" s="14"/>
      <c r="CB143" s="14"/>
      <c r="CC143" s="14"/>
      <c r="CD143" s="14"/>
      <c r="CE143" s="14"/>
      <c r="CF143" s="14"/>
      <c r="CG143" s="14"/>
      <c r="CH143" s="14"/>
      <c r="CI143" s="14"/>
      <c r="CJ143" s="14"/>
      <c r="CK143" s="14"/>
      <c r="CL143" s="14"/>
      <c r="CM143" s="14"/>
      <c r="CN143" s="14"/>
      <c r="CO143" s="14"/>
      <c r="CP143" s="14"/>
      <c r="CQ143" s="14"/>
      <c r="CR143" s="14"/>
      <c r="CS143" s="14"/>
      <c r="CT143" s="14"/>
      <c r="CU143" s="14"/>
      <c r="CV143" s="14"/>
      <c r="CW143" s="14"/>
      <c r="CX143" s="14"/>
      <c r="CY143" s="14"/>
    </row>
    <row r="144" spans="1:103" ht="15.75" customHeight="1">
      <c r="A144" s="14"/>
      <c r="B144" s="14"/>
      <c r="C144" s="14"/>
      <c r="D144" s="14"/>
      <c r="E144" s="15"/>
      <c r="F144" s="14"/>
      <c r="G144" s="16"/>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c r="AY144" s="14"/>
      <c r="AZ144" s="14"/>
      <c r="BA144" s="14"/>
      <c r="BB144" s="14"/>
      <c r="BC144" s="14"/>
      <c r="BD144" s="14"/>
      <c r="BE144" s="14"/>
      <c r="BF144" s="14"/>
      <c r="BG144" s="14"/>
      <c r="BH144" s="14"/>
      <c r="BI144" s="14"/>
      <c r="BJ144" s="14"/>
      <c r="BK144" s="14"/>
      <c r="BL144" s="14"/>
      <c r="BM144" s="14"/>
      <c r="BN144" s="14"/>
      <c r="BO144" s="14"/>
      <c r="BP144" s="14"/>
      <c r="BQ144" s="14"/>
      <c r="BR144" s="14"/>
      <c r="BS144" s="14"/>
      <c r="BT144" s="14"/>
      <c r="BU144" s="14"/>
      <c r="BV144" s="14"/>
      <c r="BW144" s="14"/>
      <c r="BX144" s="14"/>
      <c r="BY144" s="14"/>
      <c r="BZ144" s="14"/>
      <c r="CA144" s="14"/>
      <c r="CB144" s="14"/>
      <c r="CC144" s="14"/>
      <c r="CD144" s="14"/>
      <c r="CE144" s="14"/>
      <c r="CF144" s="14"/>
      <c r="CG144" s="14"/>
      <c r="CH144" s="14"/>
      <c r="CI144" s="14"/>
      <c r="CJ144" s="14"/>
      <c r="CK144" s="14"/>
      <c r="CL144" s="14"/>
      <c r="CM144" s="14"/>
      <c r="CN144" s="14"/>
      <c r="CO144" s="14"/>
      <c r="CP144" s="14"/>
      <c r="CQ144" s="14"/>
      <c r="CR144" s="14"/>
      <c r="CS144" s="14"/>
      <c r="CT144" s="14"/>
      <c r="CU144" s="14"/>
      <c r="CV144" s="14"/>
      <c r="CW144" s="14"/>
      <c r="CX144" s="14"/>
      <c r="CY144" s="14"/>
    </row>
    <row r="145" spans="1:103" ht="15.75" customHeight="1">
      <c r="A145" s="14"/>
      <c r="B145" s="14"/>
      <c r="C145" s="14"/>
      <c r="D145" s="14"/>
      <c r="E145" s="15"/>
      <c r="F145" s="14"/>
      <c r="G145" s="16"/>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c r="AY145" s="14"/>
      <c r="AZ145" s="14"/>
      <c r="BA145" s="14"/>
      <c r="BB145" s="14"/>
      <c r="BC145" s="14"/>
      <c r="BD145" s="14"/>
      <c r="BE145" s="14"/>
      <c r="BF145" s="14"/>
      <c r="BG145" s="14"/>
      <c r="BH145" s="14"/>
      <c r="BI145" s="14"/>
      <c r="BJ145" s="14"/>
      <c r="BK145" s="14"/>
      <c r="BL145" s="14"/>
      <c r="BM145" s="14"/>
      <c r="BN145" s="14"/>
      <c r="BO145" s="14"/>
      <c r="BP145" s="14"/>
      <c r="BQ145" s="14"/>
      <c r="BR145" s="14"/>
      <c r="BS145" s="14"/>
      <c r="BT145" s="14"/>
      <c r="BU145" s="14"/>
      <c r="BV145" s="14"/>
      <c r="BW145" s="14"/>
      <c r="BX145" s="14"/>
      <c r="BY145" s="14"/>
      <c r="BZ145" s="14"/>
      <c r="CA145" s="14"/>
      <c r="CB145" s="14"/>
      <c r="CC145" s="14"/>
      <c r="CD145" s="14"/>
      <c r="CE145" s="14"/>
      <c r="CF145" s="14"/>
      <c r="CG145" s="14"/>
      <c r="CH145" s="14"/>
      <c r="CI145" s="14"/>
      <c r="CJ145" s="14"/>
      <c r="CK145" s="14"/>
      <c r="CL145" s="14"/>
      <c r="CM145" s="14"/>
      <c r="CN145" s="14"/>
      <c r="CO145" s="14"/>
      <c r="CP145" s="14"/>
      <c r="CQ145" s="14"/>
      <c r="CR145" s="14"/>
      <c r="CS145" s="14"/>
      <c r="CT145" s="14"/>
      <c r="CU145" s="14"/>
      <c r="CV145" s="14"/>
      <c r="CW145" s="14"/>
      <c r="CX145" s="14"/>
      <c r="CY145" s="14"/>
    </row>
    <row r="146" spans="1:103" ht="15.75" customHeight="1">
      <c r="A146" s="14"/>
      <c r="B146" s="14"/>
      <c r="C146" s="14"/>
      <c r="D146" s="14"/>
      <c r="E146" s="15"/>
      <c r="F146" s="14"/>
      <c r="G146" s="16"/>
      <c r="H146" s="1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c r="AY146" s="14"/>
      <c r="AZ146" s="14"/>
      <c r="BA146" s="14"/>
      <c r="BB146" s="14"/>
      <c r="BC146" s="14"/>
      <c r="BD146" s="14"/>
      <c r="BE146" s="14"/>
      <c r="BF146" s="14"/>
      <c r="BG146" s="14"/>
      <c r="BH146" s="14"/>
      <c r="BI146" s="14"/>
      <c r="BJ146" s="14"/>
      <c r="BK146" s="14"/>
      <c r="BL146" s="14"/>
      <c r="BM146" s="14"/>
      <c r="BN146" s="14"/>
      <c r="BO146" s="14"/>
      <c r="BP146" s="14"/>
      <c r="BQ146" s="14"/>
      <c r="BR146" s="14"/>
      <c r="BS146" s="14"/>
      <c r="BT146" s="14"/>
      <c r="BU146" s="14"/>
      <c r="BV146" s="14"/>
      <c r="BW146" s="14"/>
      <c r="BX146" s="14"/>
      <c r="BY146" s="14"/>
      <c r="BZ146" s="14"/>
      <c r="CA146" s="14"/>
      <c r="CB146" s="14"/>
      <c r="CC146" s="14"/>
      <c r="CD146" s="14"/>
      <c r="CE146" s="14"/>
      <c r="CF146" s="14"/>
      <c r="CG146" s="14"/>
      <c r="CH146" s="14"/>
      <c r="CI146" s="14"/>
      <c r="CJ146" s="14"/>
      <c r="CK146" s="14"/>
      <c r="CL146" s="14"/>
      <c r="CM146" s="14"/>
      <c r="CN146" s="14"/>
      <c r="CO146" s="14"/>
      <c r="CP146" s="14"/>
      <c r="CQ146" s="14"/>
      <c r="CR146" s="14"/>
      <c r="CS146" s="14"/>
      <c r="CT146" s="14"/>
      <c r="CU146" s="14"/>
      <c r="CV146" s="14"/>
      <c r="CW146" s="14"/>
      <c r="CX146" s="14"/>
      <c r="CY146" s="14"/>
    </row>
    <row r="147" spans="1:103" ht="15.75" customHeight="1">
      <c r="A147" s="14"/>
      <c r="B147" s="14"/>
      <c r="C147" s="14"/>
      <c r="D147" s="14"/>
      <c r="E147" s="15"/>
      <c r="F147" s="14"/>
      <c r="G147" s="16"/>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c r="AY147" s="14"/>
      <c r="AZ147" s="14"/>
      <c r="BA147" s="14"/>
      <c r="BB147" s="14"/>
      <c r="BC147" s="14"/>
      <c r="BD147" s="14"/>
      <c r="BE147" s="14"/>
      <c r="BF147" s="14"/>
      <c r="BG147" s="14"/>
      <c r="BH147" s="14"/>
      <c r="BI147" s="14"/>
      <c r="BJ147" s="14"/>
      <c r="BK147" s="14"/>
      <c r="BL147" s="14"/>
      <c r="BM147" s="14"/>
      <c r="BN147" s="14"/>
      <c r="BO147" s="14"/>
      <c r="BP147" s="14"/>
      <c r="BQ147" s="14"/>
      <c r="BR147" s="14"/>
      <c r="BS147" s="14"/>
      <c r="BT147" s="14"/>
      <c r="BU147" s="14"/>
      <c r="BV147" s="14"/>
      <c r="BW147" s="14"/>
      <c r="BX147" s="14"/>
      <c r="BY147" s="14"/>
      <c r="BZ147" s="14"/>
      <c r="CA147" s="14"/>
      <c r="CB147" s="14"/>
      <c r="CC147" s="14"/>
      <c r="CD147" s="14"/>
      <c r="CE147" s="14"/>
      <c r="CF147" s="14"/>
      <c r="CG147" s="14"/>
      <c r="CH147" s="14"/>
      <c r="CI147" s="14"/>
      <c r="CJ147" s="14"/>
      <c r="CK147" s="14"/>
      <c r="CL147" s="14"/>
      <c r="CM147" s="14"/>
      <c r="CN147" s="14"/>
      <c r="CO147" s="14"/>
      <c r="CP147" s="14"/>
      <c r="CQ147" s="14"/>
      <c r="CR147" s="14"/>
      <c r="CS147" s="14"/>
      <c r="CT147" s="14"/>
      <c r="CU147" s="14"/>
      <c r="CV147" s="14"/>
      <c r="CW147" s="14"/>
      <c r="CX147" s="14"/>
      <c r="CY147" s="14"/>
    </row>
    <row r="148" spans="1:103" ht="15.75" customHeight="1">
      <c r="A148" s="14"/>
      <c r="B148" s="14"/>
      <c r="C148" s="14"/>
      <c r="D148" s="14"/>
      <c r="E148" s="15"/>
      <c r="F148" s="14"/>
      <c r="G148" s="16"/>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c r="AY148" s="14"/>
      <c r="AZ148" s="14"/>
      <c r="BA148" s="14"/>
      <c r="BB148" s="14"/>
      <c r="BC148" s="14"/>
      <c r="BD148" s="14"/>
      <c r="BE148" s="14"/>
      <c r="BF148" s="14"/>
      <c r="BG148" s="14"/>
      <c r="BH148" s="14"/>
      <c r="BI148" s="14"/>
      <c r="BJ148" s="14"/>
      <c r="BK148" s="14"/>
      <c r="BL148" s="14"/>
      <c r="BM148" s="14"/>
      <c r="BN148" s="14"/>
      <c r="BO148" s="14"/>
      <c r="BP148" s="14"/>
      <c r="BQ148" s="14"/>
      <c r="BR148" s="14"/>
      <c r="BS148" s="14"/>
      <c r="BT148" s="14"/>
      <c r="BU148" s="14"/>
      <c r="BV148" s="14"/>
      <c r="BW148" s="14"/>
      <c r="BX148" s="14"/>
      <c r="BY148" s="14"/>
      <c r="BZ148" s="14"/>
      <c r="CA148" s="14"/>
      <c r="CB148" s="14"/>
      <c r="CC148" s="14"/>
      <c r="CD148" s="14"/>
      <c r="CE148" s="14"/>
      <c r="CF148" s="14"/>
      <c r="CG148" s="14"/>
      <c r="CH148" s="14"/>
      <c r="CI148" s="14"/>
      <c r="CJ148" s="14"/>
      <c r="CK148" s="14"/>
      <c r="CL148" s="14"/>
      <c r="CM148" s="14"/>
      <c r="CN148" s="14"/>
      <c r="CO148" s="14"/>
      <c r="CP148" s="14"/>
      <c r="CQ148" s="14"/>
      <c r="CR148" s="14"/>
      <c r="CS148" s="14"/>
      <c r="CT148" s="14"/>
      <c r="CU148" s="14"/>
      <c r="CV148" s="14"/>
      <c r="CW148" s="14"/>
      <c r="CX148" s="14"/>
      <c r="CY148" s="14"/>
    </row>
    <row r="149" spans="1:103" ht="15.75" customHeight="1">
      <c r="A149" s="14"/>
      <c r="B149" s="14"/>
      <c r="C149" s="14"/>
      <c r="D149" s="14"/>
      <c r="E149" s="15"/>
      <c r="F149" s="14"/>
      <c r="G149" s="16"/>
      <c r="H149" s="1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c r="AY149" s="14"/>
      <c r="AZ149" s="14"/>
      <c r="BA149" s="14"/>
      <c r="BB149" s="14"/>
      <c r="BC149" s="14"/>
      <c r="BD149" s="14"/>
      <c r="BE149" s="14"/>
      <c r="BF149" s="14"/>
      <c r="BG149" s="14"/>
      <c r="BH149" s="14"/>
      <c r="BI149" s="14"/>
      <c r="BJ149" s="14"/>
      <c r="BK149" s="14"/>
      <c r="BL149" s="14"/>
      <c r="BM149" s="14"/>
      <c r="BN149" s="14"/>
      <c r="BO149" s="14"/>
      <c r="BP149" s="14"/>
      <c r="BQ149" s="14"/>
      <c r="BR149" s="14"/>
      <c r="BS149" s="14"/>
      <c r="BT149" s="14"/>
      <c r="BU149" s="14"/>
      <c r="BV149" s="14"/>
      <c r="BW149" s="14"/>
      <c r="BX149" s="14"/>
      <c r="BY149" s="14"/>
      <c r="BZ149" s="14"/>
      <c r="CA149" s="14"/>
      <c r="CB149" s="14"/>
      <c r="CC149" s="14"/>
      <c r="CD149" s="14"/>
      <c r="CE149" s="14"/>
      <c r="CF149" s="14"/>
      <c r="CG149" s="14"/>
      <c r="CH149" s="14"/>
      <c r="CI149" s="14"/>
      <c r="CJ149" s="14"/>
      <c r="CK149" s="14"/>
      <c r="CL149" s="14"/>
      <c r="CM149" s="14"/>
      <c r="CN149" s="14"/>
      <c r="CO149" s="14"/>
      <c r="CP149" s="14"/>
      <c r="CQ149" s="14"/>
      <c r="CR149" s="14"/>
      <c r="CS149" s="14"/>
      <c r="CT149" s="14"/>
      <c r="CU149" s="14"/>
      <c r="CV149" s="14"/>
      <c r="CW149" s="14"/>
      <c r="CX149" s="14"/>
      <c r="CY149" s="14"/>
    </row>
    <row r="150" spans="1:103" ht="15.75" customHeight="1">
      <c r="A150" s="14"/>
      <c r="B150" s="14"/>
      <c r="C150" s="14"/>
      <c r="D150" s="14"/>
      <c r="E150" s="15"/>
      <c r="F150" s="14"/>
      <c r="G150" s="16"/>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c r="AY150" s="14"/>
      <c r="AZ150" s="14"/>
      <c r="BA150" s="14"/>
      <c r="BB150" s="14"/>
      <c r="BC150" s="14"/>
      <c r="BD150" s="14"/>
      <c r="BE150" s="14"/>
      <c r="BF150" s="14"/>
      <c r="BG150" s="14"/>
      <c r="BH150" s="14"/>
      <c r="BI150" s="14"/>
      <c r="BJ150" s="14"/>
      <c r="BK150" s="14"/>
      <c r="BL150" s="14"/>
      <c r="BM150" s="14"/>
      <c r="BN150" s="14"/>
      <c r="BO150" s="14"/>
      <c r="BP150" s="14"/>
      <c r="BQ150" s="14"/>
      <c r="BR150" s="14"/>
      <c r="BS150" s="14"/>
      <c r="BT150" s="14"/>
      <c r="BU150" s="14"/>
      <c r="BV150" s="14"/>
      <c r="BW150" s="14"/>
      <c r="BX150" s="14"/>
      <c r="BY150" s="14"/>
      <c r="BZ150" s="14"/>
      <c r="CA150" s="14"/>
      <c r="CB150" s="14"/>
      <c r="CC150" s="14"/>
      <c r="CD150" s="14"/>
      <c r="CE150" s="14"/>
      <c r="CF150" s="14"/>
      <c r="CG150" s="14"/>
      <c r="CH150" s="14"/>
      <c r="CI150" s="14"/>
      <c r="CJ150" s="14"/>
      <c r="CK150" s="14"/>
      <c r="CL150" s="14"/>
      <c r="CM150" s="14"/>
      <c r="CN150" s="14"/>
      <c r="CO150" s="14"/>
      <c r="CP150" s="14"/>
      <c r="CQ150" s="14"/>
      <c r="CR150" s="14"/>
      <c r="CS150" s="14"/>
      <c r="CT150" s="14"/>
      <c r="CU150" s="14"/>
      <c r="CV150" s="14"/>
      <c r="CW150" s="14"/>
      <c r="CX150" s="14"/>
      <c r="CY150" s="14"/>
    </row>
    <row r="151" spans="1:103" ht="15.75" customHeight="1">
      <c r="A151" s="14"/>
      <c r="B151" s="14"/>
      <c r="C151" s="14"/>
      <c r="D151" s="14"/>
      <c r="E151" s="15"/>
      <c r="F151" s="14"/>
      <c r="G151" s="16"/>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c r="AY151" s="14"/>
      <c r="AZ151" s="14"/>
      <c r="BA151" s="14"/>
      <c r="BB151" s="14"/>
      <c r="BC151" s="14"/>
      <c r="BD151" s="14"/>
      <c r="BE151" s="14"/>
      <c r="BF151" s="14"/>
      <c r="BG151" s="14"/>
      <c r="BH151" s="14"/>
      <c r="BI151" s="14"/>
      <c r="BJ151" s="14"/>
      <c r="BK151" s="14"/>
      <c r="BL151" s="14"/>
      <c r="BM151" s="14"/>
      <c r="BN151" s="14"/>
      <c r="BO151" s="14"/>
      <c r="BP151" s="14"/>
      <c r="BQ151" s="14"/>
      <c r="BR151" s="14"/>
      <c r="BS151" s="14"/>
      <c r="BT151" s="14"/>
      <c r="BU151" s="14"/>
      <c r="BV151" s="14"/>
      <c r="BW151" s="14"/>
      <c r="BX151" s="14"/>
      <c r="BY151" s="14"/>
      <c r="BZ151" s="14"/>
      <c r="CA151" s="14"/>
      <c r="CB151" s="14"/>
      <c r="CC151" s="14"/>
      <c r="CD151" s="14"/>
      <c r="CE151" s="14"/>
      <c r="CF151" s="14"/>
      <c r="CG151" s="14"/>
      <c r="CH151" s="14"/>
      <c r="CI151" s="14"/>
      <c r="CJ151" s="14"/>
      <c r="CK151" s="14"/>
      <c r="CL151" s="14"/>
      <c r="CM151" s="14"/>
      <c r="CN151" s="14"/>
      <c r="CO151" s="14"/>
      <c r="CP151" s="14"/>
      <c r="CQ151" s="14"/>
      <c r="CR151" s="14"/>
      <c r="CS151" s="14"/>
      <c r="CT151" s="14"/>
      <c r="CU151" s="14"/>
      <c r="CV151" s="14"/>
      <c r="CW151" s="14"/>
      <c r="CX151" s="14"/>
      <c r="CY151" s="14"/>
    </row>
    <row r="152" spans="1:103" ht="15.75" customHeight="1">
      <c r="A152" s="14"/>
      <c r="B152" s="14"/>
      <c r="C152" s="14"/>
      <c r="D152" s="14"/>
      <c r="E152" s="15"/>
      <c r="F152" s="14"/>
      <c r="G152" s="16"/>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c r="AY152" s="14"/>
      <c r="AZ152" s="14"/>
      <c r="BA152" s="14"/>
      <c r="BB152" s="14"/>
      <c r="BC152" s="14"/>
      <c r="BD152" s="14"/>
      <c r="BE152" s="14"/>
      <c r="BF152" s="14"/>
      <c r="BG152" s="14"/>
      <c r="BH152" s="14"/>
      <c r="BI152" s="14"/>
      <c r="BJ152" s="14"/>
      <c r="BK152" s="14"/>
      <c r="BL152" s="14"/>
      <c r="BM152" s="14"/>
      <c r="BN152" s="14"/>
      <c r="BO152" s="14"/>
      <c r="BP152" s="14"/>
      <c r="BQ152" s="14"/>
      <c r="BR152" s="14"/>
      <c r="BS152" s="14"/>
      <c r="BT152" s="14"/>
      <c r="BU152" s="14"/>
      <c r="BV152" s="14"/>
      <c r="BW152" s="14"/>
      <c r="BX152" s="14"/>
      <c r="BY152" s="14"/>
      <c r="BZ152" s="14"/>
      <c r="CA152" s="14"/>
      <c r="CB152" s="14"/>
      <c r="CC152" s="14"/>
      <c r="CD152" s="14"/>
      <c r="CE152" s="14"/>
      <c r="CF152" s="14"/>
      <c r="CG152" s="14"/>
      <c r="CH152" s="14"/>
      <c r="CI152" s="14"/>
      <c r="CJ152" s="14"/>
      <c r="CK152" s="14"/>
      <c r="CL152" s="14"/>
      <c r="CM152" s="14"/>
      <c r="CN152" s="14"/>
      <c r="CO152" s="14"/>
      <c r="CP152" s="14"/>
      <c r="CQ152" s="14"/>
      <c r="CR152" s="14"/>
      <c r="CS152" s="14"/>
      <c r="CT152" s="14"/>
      <c r="CU152" s="14"/>
      <c r="CV152" s="14"/>
      <c r="CW152" s="14"/>
      <c r="CX152" s="14"/>
      <c r="CY152" s="14"/>
    </row>
    <row r="153" spans="1:103" ht="15.75" customHeight="1">
      <c r="A153" s="14"/>
      <c r="B153" s="14"/>
      <c r="C153" s="14"/>
      <c r="D153" s="14"/>
      <c r="E153" s="15"/>
      <c r="F153" s="14"/>
      <c r="G153" s="16"/>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c r="AY153" s="14"/>
      <c r="AZ153" s="14"/>
      <c r="BA153" s="14"/>
      <c r="BB153" s="14"/>
      <c r="BC153" s="14"/>
      <c r="BD153" s="14"/>
      <c r="BE153" s="14"/>
      <c r="BF153" s="14"/>
      <c r="BG153" s="14"/>
      <c r="BH153" s="14"/>
      <c r="BI153" s="14"/>
      <c r="BJ153" s="14"/>
      <c r="BK153" s="14"/>
      <c r="BL153" s="14"/>
      <c r="BM153" s="14"/>
      <c r="BN153" s="14"/>
      <c r="BO153" s="14"/>
      <c r="BP153" s="14"/>
      <c r="BQ153" s="14"/>
      <c r="BR153" s="14"/>
      <c r="BS153" s="14"/>
      <c r="BT153" s="14"/>
      <c r="BU153" s="14"/>
      <c r="BV153" s="14"/>
      <c r="BW153" s="14"/>
      <c r="BX153" s="14"/>
      <c r="BY153" s="14"/>
      <c r="BZ153" s="14"/>
      <c r="CA153" s="14"/>
      <c r="CB153" s="14"/>
      <c r="CC153" s="14"/>
      <c r="CD153" s="14"/>
      <c r="CE153" s="14"/>
      <c r="CF153" s="14"/>
      <c r="CG153" s="14"/>
      <c r="CH153" s="14"/>
      <c r="CI153" s="14"/>
      <c r="CJ153" s="14"/>
      <c r="CK153" s="14"/>
      <c r="CL153" s="14"/>
      <c r="CM153" s="14"/>
      <c r="CN153" s="14"/>
      <c r="CO153" s="14"/>
      <c r="CP153" s="14"/>
      <c r="CQ153" s="14"/>
      <c r="CR153" s="14"/>
      <c r="CS153" s="14"/>
      <c r="CT153" s="14"/>
      <c r="CU153" s="14"/>
      <c r="CV153" s="14"/>
      <c r="CW153" s="14"/>
      <c r="CX153" s="14"/>
      <c r="CY153" s="14"/>
    </row>
    <row r="154" spans="1:103" ht="15.75" customHeight="1">
      <c r="A154" s="14"/>
      <c r="B154" s="14"/>
      <c r="C154" s="14"/>
      <c r="D154" s="14"/>
      <c r="E154" s="15"/>
      <c r="F154" s="14"/>
      <c r="G154" s="16"/>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14"/>
      <c r="AH154" s="14"/>
      <c r="AI154" s="14"/>
      <c r="AJ154" s="14"/>
      <c r="AK154" s="14"/>
      <c r="AL154" s="14"/>
      <c r="AM154" s="14"/>
      <c r="AN154" s="14"/>
      <c r="AO154" s="14"/>
      <c r="AP154" s="14"/>
      <c r="AQ154" s="14"/>
      <c r="AR154" s="14"/>
      <c r="AS154" s="14"/>
      <c r="AT154" s="14"/>
      <c r="AU154" s="14"/>
      <c r="AV154" s="14"/>
      <c r="AW154" s="14"/>
      <c r="AX154" s="14"/>
      <c r="AY154" s="14"/>
      <c r="AZ154" s="14"/>
      <c r="BA154" s="14"/>
      <c r="BB154" s="14"/>
      <c r="BC154" s="14"/>
      <c r="BD154" s="14"/>
      <c r="BE154" s="14"/>
      <c r="BF154" s="14"/>
      <c r="BG154" s="14"/>
      <c r="BH154" s="14"/>
      <c r="BI154" s="14"/>
      <c r="BJ154" s="14"/>
      <c r="BK154" s="14"/>
      <c r="BL154" s="14"/>
      <c r="BM154" s="14"/>
      <c r="BN154" s="14"/>
      <c r="BO154" s="14"/>
      <c r="BP154" s="14"/>
      <c r="BQ154" s="14"/>
      <c r="BR154" s="14"/>
      <c r="BS154" s="14"/>
      <c r="BT154" s="14"/>
      <c r="BU154" s="14"/>
      <c r="BV154" s="14"/>
      <c r="BW154" s="14"/>
      <c r="BX154" s="14"/>
      <c r="BY154" s="14"/>
      <c r="BZ154" s="14"/>
      <c r="CA154" s="14"/>
      <c r="CB154" s="14"/>
      <c r="CC154" s="14"/>
      <c r="CD154" s="14"/>
      <c r="CE154" s="14"/>
      <c r="CF154" s="14"/>
      <c r="CG154" s="14"/>
      <c r="CH154" s="14"/>
      <c r="CI154" s="14"/>
      <c r="CJ154" s="14"/>
      <c r="CK154" s="14"/>
      <c r="CL154" s="14"/>
      <c r="CM154" s="14"/>
      <c r="CN154" s="14"/>
      <c r="CO154" s="14"/>
      <c r="CP154" s="14"/>
      <c r="CQ154" s="14"/>
      <c r="CR154" s="14"/>
      <c r="CS154" s="14"/>
      <c r="CT154" s="14"/>
      <c r="CU154" s="14"/>
      <c r="CV154" s="14"/>
      <c r="CW154" s="14"/>
      <c r="CX154" s="14"/>
      <c r="CY154" s="14"/>
    </row>
    <row r="155" spans="1:103" ht="15.75" customHeight="1">
      <c r="A155" s="14"/>
      <c r="B155" s="14"/>
      <c r="C155" s="14"/>
      <c r="D155" s="14"/>
      <c r="E155" s="15"/>
      <c r="F155" s="14"/>
      <c r="G155" s="16"/>
      <c r="H155" s="14"/>
      <c r="I155" s="14"/>
      <c r="J155" s="14"/>
      <c r="K155" s="14"/>
      <c r="L155" s="14"/>
      <c r="M155" s="14"/>
      <c r="N155" s="14"/>
      <c r="O155" s="14"/>
      <c r="P155" s="14"/>
      <c r="Q155" s="14"/>
      <c r="R155" s="14"/>
      <c r="S155" s="14"/>
      <c r="T155" s="14"/>
      <c r="U155" s="14"/>
      <c r="V155" s="14"/>
      <c r="W155" s="14"/>
      <c r="X155" s="14"/>
      <c r="Y155" s="14"/>
      <c r="Z155" s="14"/>
      <c r="AA155" s="14"/>
      <c r="AB155" s="14"/>
      <c r="AC155" s="14"/>
      <c r="AD155" s="14"/>
      <c r="AE155" s="14"/>
      <c r="AF155" s="14"/>
      <c r="AG155" s="14"/>
      <c r="AH155" s="14"/>
      <c r="AI155" s="14"/>
      <c r="AJ155" s="14"/>
      <c r="AK155" s="14"/>
      <c r="AL155" s="14"/>
      <c r="AM155" s="14"/>
      <c r="AN155" s="14"/>
      <c r="AO155" s="14"/>
      <c r="AP155" s="14"/>
      <c r="AQ155" s="14"/>
      <c r="AR155" s="14"/>
      <c r="AS155" s="14"/>
      <c r="AT155" s="14"/>
      <c r="AU155" s="14"/>
      <c r="AV155" s="14"/>
      <c r="AW155" s="14"/>
      <c r="AX155" s="14"/>
      <c r="AY155" s="14"/>
      <c r="AZ155" s="14"/>
      <c r="BA155" s="14"/>
      <c r="BB155" s="14"/>
      <c r="BC155" s="14"/>
      <c r="BD155" s="14"/>
      <c r="BE155" s="14"/>
      <c r="BF155" s="14"/>
      <c r="BG155" s="14"/>
      <c r="BH155" s="14"/>
      <c r="BI155" s="14"/>
      <c r="BJ155" s="14"/>
      <c r="BK155" s="14"/>
      <c r="BL155" s="14"/>
      <c r="BM155" s="14"/>
      <c r="BN155" s="14"/>
      <c r="BO155" s="14"/>
      <c r="BP155" s="14"/>
      <c r="BQ155" s="14"/>
      <c r="BR155" s="14"/>
      <c r="BS155" s="14"/>
      <c r="BT155" s="14"/>
      <c r="BU155" s="14"/>
      <c r="BV155" s="14"/>
      <c r="BW155" s="14"/>
      <c r="BX155" s="14"/>
      <c r="BY155" s="14"/>
      <c r="BZ155" s="14"/>
      <c r="CA155" s="14"/>
      <c r="CB155" s="14"/>
      <c r="CC155" s="14"/>
      <c r="CD155" s="14"/>
      <c r="CE155" s="14"/>
      <c r="CF155" s="14"/>
      <c r="CG155" s="14"/>
      <c r="CH155" s="14"/>
      <c r="CI155" s="14"/>
      <c r="CJ155" s="14"/>
      <c r="CK155" s="14"/>
      <c r="CL155" s="14"/>
      <c r="CM155" s="14"/>
      <c r="CN155" s="14"/>
      <c r="CO155" s="14"/>
      <c r="CP155" s="14"/>
      <c r="CQ155" s="14"/>
      <c r="CR155" s="14"/>
      <c r="CS155" s="14"/>
      <c r="CT155" s="14"/>
      <c r="CU155" s="14"/>
      <c r="CV155" s="14"/>
      <c r="CW155" s="14"/>
      <c r="CX155" s="14"/>
      <c r="CY155" s="14"/>
    </row>
    <row r="156" spans="1:103" ht="15.75" customHeight="1">
      <c r="A156" s="14"/>
      <c r="B156" s="14"/>
      <c r="C156" s="14"/>
      <c r="D156" s="14"/>
      <c r="E156" s="15"/>
      <c r="F156" s="14"/>
      <c r="G156" s="16"/>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14"/>
      <c r="AH156" s="14"/>
      <c r="AI156" s="14"/>
      <c r="AJ156" s="14"/>
      <c r="AK156" s="14"/>
      <c r="AL156" s="14"/>
      <c r="AM156" s="14"/>
      <c r="AN156" s="14"/>
      <c r="AO156" s="14"/>
      <c r="AP156" s="14"/>
      <c r="AQ156" s="14"/>
      <c r="AR156" s="14"/>
      <c r="AS156" s="14"/>
      <c r="AT156" s="14"/>
      <c r="AU156" s="14"/>
      <c r="AV156" s="14"/>
      <c r="AW156" s="14"/>
      <c r="AX156" s="14"/>
      <c r="AY156" s="14"/>
      <c r="AZ156" s="14"/>
      <c r="BA156" s="14"/>
      <c r="BB156" s="14"/>
      <c r="BC156" s="14"/>
      <c r="BD156" s="14"/>
      <c r="BE156" s="14"/>
      <c r="BF156" s="14"/>
      <c r="BG156" s="14"/>
      <c r="BH156" s="14"/>
      <c r="BI156" s="14"/>
      <c r="BJ156" s="14"/>
      <c r="BK156" s="14"/>
      <c r="BL156" s="14"/>
      <c r="BM156" s="14"/>
      <c r="BN156" s="14"/>
      <c r="BO156" s="14"/>
      <c r="BP156" s="14"/>
      <c r="BQ156" s="14"/>
      <c r="BR156" s="14"/>
      <c r="BS156" s="14"/>
      <c r="BT156" s="14"/>
      <c r="BU156" s="14"/>
      <c r="BV156" s="14"/>
      <c r="BW156" s="14"/>
      <c r="BX156" s="14"/>
      <c r="BY156" s="14"/>
      <c r="BZ156" s="14"/>
      <c r="CA156" s="14"/>
      <c r="CB156" s="14"/>
      <c r="CC156" s="14"/>
      <c r="CD156" s="14"/>
      <c r="CE156" s="14"/>
      <c r="CF156" s="14"/>
      <c r="CG156" s="14"/>
      <c r="CH156" s="14"/>
      <c r="CI156" s="14"/>
      <c r="CJ156" s="14"/>
      <c r="CK156" s="14"/>
      <c r="CL156" s="14"/>
      <c r="CM156" s="14"/>
      <c r="CN156" s="14"/>
      <c r="CO156" s="14"/>
      <c r="CP156" s="14"/>
      <c r="CQ156" s="14"/>
      <c r="CR156" s="14"/>
      <c r="CS156" s="14"/>
      <c r="CT156" s="14"/>
      <c r="CU156" s="14"/>
      <c r="CV156" s="14"/>
      <c r="CW156" s="14"/>
      <c r="CX156" s="14"/>
      <c r="CY156" s="14"/>
    </row>
    <row r="157" spans="1:103" ht="15.75" customHeight="1">
      <c r="A157" s="14"/>
      <c r="B157" s="14"/>
      <c r="C157" s="14"/>
      <c r="D157" s="14"/>
      <c r="E157" s="15"/>
      <c r="F157" s="14"/>
      <c r="G157" s="16"/>
      <c r="H157" s="14"/>
      <c r="I157" s="14"/>
      <c r="J157" s="14"/>
      <c r="K157" s="14"/>
      <c r="L157" s="14"/>
      <c r="M157" s="14"/>
      <c r="N157" s="14"/>
      <c r="O157" s="14"/>
      <c r="P157" s="14"/>
      <c r="Q157" s="14"/>
      <c r="R157" s="14"/>
      <c r="S157" s="14"/>
      <c r="T157" s="14"/>
      <c r="U157" s="14"/>
      <c r="V157" s="14"/>
      <c r="W157" s="14"/>
      <c r="X157" s="14"/>
      <c r="Y157" s="14"/>
      <c r="Z157" s="14"/>
      <c r="AA157" s="14"/>
      <c r="AB157" s="14"/>
      <c r="AC157" s="14"/>
      <c r="AD157" s="14"/>
      <c r="AE157" s="14"/>
      <c r="AF157" s="14"/>
      <c r="AG157" s="14"/>
      <c r="AH157" s="14"/>
      <c r="AI157" s="14"/>
      <c r="AJ157" s="14"/>
      <c r="AK157" s="14"/>
      <c r="AL157" s="14"/>
      <c r="AM157" s="14"/>
      <c r="AN157" s="14"/>
      <c r="AO157" s="14"/>
      <c r="AP157" s="14"/>
      <c r="AQ157" s="14"/>
      <c r="AR157" s="14"/>
      <c r="AS157" s="14"/>
      <c r="AT157" s="14"/>
      <c r="AU157" s="14"/>
      <c r="AV157" s="14"/>
      <c r="AW157" s="14"/>
      <c r="AX157" s="14"/>
      <c r="AY157" s="14"/>
      <c r="AZ157" s="14"/>
      <c r="BA157" s="14"/>
      <c r="BB157" s="14"/>
      <c r="BC157" s="14"/>
      <c r="BD157" s="14"/>
      <c r="BE157" s="14"/>
      <c r="BF157" s="14"/>
      <c r="BG157" s="14"/>
      <c r="BH157" s="14"/>
      <c r="BI157" s="14"/>
      <c r="BJ157" s="14"/>
      <c r="BK157" s="14"/>
      <c r="BL157" s="14"/>
      <c r="BM157" s="14"/>
      <c r="BN157" s="14"/>
      <c r="BO157" s="14"/>
      <c r="BP157" s="14"/>
      <c r="BQ157" s="14"/>
      <c r="BR157" s="14"/>
      <c r="BS157" s="14"/>
      <c r="BT157" s="14"/>
      <c r="BU157" s="14"/>
      <c r="BV157" s="14"/>
      <c r="BW157" s="14"/>
      <c r="BX157" s="14"/>
      <c r="BY157" s="14"/>
      <c r="BZ157" s="14"/>
      <c r="CA157" s="14"/>
      <c r="CB157" s="14"/>
      <c r="CC157" s="14"/>
      <c r="CD157" s="14"/>
      <c r="CE157" s="14"/>
      <c r="CF157" s="14"/>
      <c r="CG157" s="14"/>
      <c r="CH157" s="14"/>
      <c r="CI157" s="14"/>
      <c r="CJ157" s="14"/>
      <c r="CK157" s="14"/>
      <c r="CL157" s="14"/>
      <c r="CM157" s="14"/>
      <c r="CN157" s="14"/>
      <c r="CO157" s="14"/>
      <c r="CP157" s="14"/>
      <c r="CQ157" s="14"/>
      <c r="CR157" s="14"/>
      <c r="CS157" s="14"/>
      <c r="CT157" s="14"/>
      <c r="CU157" s="14"/>
      <c r="CV157" s="14"/>
      <c r="CW157" s="14"/>
      <c r="CX157" s="14"/>
      <c r="CY157" s="14"/>
    </row>
    <row r="158" spans="1:103" ht="15.75" customHeight="1">
      <c r="A158" s="14"/>
      <c r="B158" s="14"/>
      <c r="C158" s="14"/>
      <c r="D158" s="14"/>
      <c r="E158" s="15"/>
      <c r="F158" s="14"/>
      <c r="G158" s="16"/>
      <c r="H158" s="14"/>
      <c r="I158" s="14"/>
      <c r="J158" s="14"/>
      <c r="K158" s="14"/>
      <c r="L158" s="14"/>
      <c r="M158" s="14"/>
      <c r="N158" s="14"/>
      <c r="O158" s="14"/>
      <c r="P158" s="14"/>
      <c r="Q158" s="14"/>
      <c r="R158" s="14"/>
      <c r="S158" s="14"/>
      <c r="T158" s="14"/>
      <c r="U158" s="14"/>
      <c r="V158" s="14"/>
      <c r="W158" s="14"/>
      <c r="X158" s="14"/>
      <c r="Y158" s="14"/>
      <c r="Z158" s="14"/>
      <c r="AA158" s="14"/>
      <c r="AB158" s="14"/>
      <c r="AC158" s="14"/>
      <c r="AD158" s="14"/>
      <c r="AE158" s="14"/>
      <c r="AF158" s="14"/>
      <c r="AG158" s="14"/>
      <c r="AH158" s="14"/>
      <c r="AI158" s="14"/>
      <c r="AJ158" s="14"/>
      <c r="AK158" s="14"/>
      <c r="AL158" s="14"/>
      <c r="AM158" s="14"/>
      <c r="AN158" s="14"/>
      <c r="AO158" s="14"/>
      <c r="AP158" s="14"/>
      <c r="AQ158" s="14"/>
      <c r="AR158" s="14"/>
      <c r="AS158" s="14"/>
      <c r="AT158" s="14"/>
      <c r="AU158" s="14"/>
      <c r="AV158" s="14"/>
      <c r="AW158" s="14"/>
      <c r="AX158" s="14"/>
      <c r="AY158" s="14"/>
      <c r="AZ158" s="14"/>
      <c r="BA158" s="14"/>
      <c r="BB158" s="14"/>
      <c r="BC158" s="14"/>
      <c r="BD158" s="14"/>
      <c r="BE158" s="14"/>
      <c r="BF158" s="14"/>
      <c r="BG158" s="14"/>
      <c r="BH158" s="14"/>
      <c r="BI158" s="14"/>
      <c r="BJ158" s="14"/>
      <c r="BK158" s="14"/>
      <c r="BL158" s="14"/>
      <c r="BM158" s="14"/>
      <c r="BN158" s="14"/>
      <c r="BO158" s="14"/>
      <c r="BP158" s="14"/>
      <c r="BQ158" s="14"/>
      <c r="BR158" s="14"/>
      <c r="BS158" s="14"/>
      <c r="BT158" s="14"/>
      <c r="BU158" s="14"/>
      <c r="BV158" s="14"/>
      <c r="BW158" s="14"/>
      <c r="BX158" s="14"/>
      <c r="BY158" s="14"/>
      <c r="BZ158" s="14"/>
      <c r="CA158" s="14"/>
      <c r="CB158" s="14"/>
      <c r="CC158" s="14"/>
      <c r="CD158" s="14"/>
      <c r="CE158" s="14"/>
      <c r="CF158" s="14"/>
      <c r="CG158" s="14"/>
      <c r="CH158" s="14"/>
      <c r="CI158" s="14"/>
      <c r="CJ158" s="14"/>
      <c r="CK158" s="14"/>
      <c r="CL158" s="14"/>
      <c r="CM158" s="14"/>
      <c r="CN158" s="14"/>
      <c r="CO158" s="14"/>
      <c r="CP158" s="14"/>
      <c r="CQ158" s="14"/>
      <c r="CR158" s="14"/>
      <c r="CS158" s="14"/>
      <c r="CT158" s="14"/>
      <c r="CU158" s="14"/>
      <c r="CV158" s="14"/>
      <c r="CW158" s="14"/>
      <c r="CX158" s="14"/>
      <c r="CY158" s="14"/>
    </row>
    <row r="159" spans="1:103" ht="15.75" customHeight="1">
      <c r="A159" s="14"/>
      <c r="B159" s="14"/>
      <c r="C159" s="14"/>
      <c r="D159" s="14"/>
      <c r="E159" s="15"/>
      <c r="F159" s="14"/>
      <c r="G159" s="16"/>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14"/>
      <c r="AF159" s="14"/>
      <c r="AG159" s="14"/>
      <c r="AH159" s="14"/>
      <c r="AI159" s="14"/>
      <c r="AJ159" s="14"/>
      <c r="AK159" s="14"/>
      <c r="AL159" s="14"/>
      <c r="AM159" s="14"/>
      <c r="AN159" s="14"/>
      <c r="AO159" s="14"/>
      <c r="AP159" s="14"/>
      <c r="AQ159" s="14"/>
      <c r="AR159" s="14"/>
      <c r="AS159" s="14"/>
      <c r="AT159" s="14"/>
      <c r="AU159" s="14"/>
      <c r="AV159" s="14"/>
      <c r="AW159" s="14"/>
      <c r="AX159" s="14"/>
      <c r="AY159" s="14"/>
      <c r="AZ159" s="14"/>
      <c r="BA159" s="14"/>
      <c r="BB159" s="14"/>
      <c r="BC159" s="14"/>
      <c r="BD159" s="14"/>
      <c r="BE159" s="14"/>
      <c r="BF159" s="14"/>
      <c r="BG159" s="14"/>
      <c r="BH159" s="14"/>
      <c r="BI159" s="14"/>
      <c r="BJ159" s="14"/>
      <c r="BK159" s="14"/>
      <c r="BL159" s="14"/>
      <c r="BM159" s="14"/>
      <c r="BN159" s="14"/>
      <c r="BO159" s="14"/>
      <c r="BP159" s="14"/>
      <c r="BQ159" s="14"/>
      <c r="BR159" s="14"/>
      <c r="BS159" s="14"/>
      <c r="BT159" s="14"/>
      <c r="BU159" s="14"/>
      <c r="BV159" s="14"/>
      <c r="BW159" s="14"/>
      <c r="BX159" s="14"/>
      <c r="BY159" s="14"/>
      <c r="BZ159" s="14"/>
      <c r="CA159" s="14"/>
      <c r="CB159" s="14"/>
      <c r="CC159" s="14"/>
      <c r="CD159" s="14"/>
      <c r="CE159" s="14"/>
      <c r="CF159" s="14"/>
      <c r="CG159" s="14"/>
      <c r="CH159" s="14"/>
      <c r="CI159" s="14"/>
      <c r="CJ159" s="14"/>
      <c r="CK159" s="14"/>
      <c r="CL159" s="14"/>
      <c r="CM159" s="14"/>
      <c r="CN159" s="14"/>
      <c r="CO159" s="14"/>
      <c r="CP159" s="14"/>
      <c r="CQ159" s="14"/>
      <c r="CR159" s="14"/>
      <c r="CS159" s="14"/>
      <c r="CT159" s="14"/>
      <c r="CU159" s="14"/>
      <c r="CV159" s="14"/>
      <c r="CW159" s="14"/>
      <c r="CX159" s="14"/>
      <c r="CY159" s="14"/>
    </row>
    <row r="160" spans="1:103" ht="15.75" customHeight="1">
      <c r="A160" s="14"/>
      <c r="B160" s="14"/>
      <c r="C160" s="14"/>
      <c r="D160" s="14"/>
      <c r="E160" s="15"/>
      <c r="F160" s="14"/>
      <c r="G160" s="16"/>
      <c r="H160" s="14"/>
      <c r="I160" s="14"/>
      <c r="J160" s="14"/>
      <c r="K160" s="14"/>
      <c r="L160" s="14"/>
      <c r="M160" s="14"/>
      <c r="N160" s="14"/>
      <c r="O160" s="14"/>
      <c r="P160" s="14"/>
      <c r="Q160" s="14"/>
      <c r="R160" s="14"/>
      <c r="S160" s="14"/>
      <c r="T160" s="14"/>
      <c r="U160" s="14"/>
      <c r="V160" s="14"/>
      <c r="W160" s="14"/>
      <c r="X160" s="14"/>
      <c r="Y160" s="14"/>
      <c r="Z160" s="14"/>
      <c r="AA160" s="14"/>
      <c r="AB160" s="14"/>
      <c r="AC160" s="14"/>
      <c r="AD160" s="14"/>
      <c r="AE160" s="14"/>
      <c r="AF160" s="14"/>
      <c r="AG160" s="14"/>
      <c r="AH160" s="14"/>
      <c r="AI160" s="14"/>
      <c r="AJ160" s="14"/>
      <c r="AK160" s="14"/>
      <c r="AL160" s="14"/>
      <c r="AM160" s="14"/>
      <c r="AN160" s="14"/>
      <c r="AO160" s="14"/>
      <c r="AP160" s="14"/>
      <c r="AQ160" s="14"/>
      <c r="AR160" s="14"/>
      <c r="AS160" s="14"/>
      <c r="AT160" s="14"/>
      <c r="AU160" s="14"/>
      <c r="AV160" s="14"/>
      <c r="AW160" s="14"/>
      <c r="AX160" s="14"/>
      <c r="AY160" s="14"/>
      <c r="AZ160" s="14"/>
      <c r="BA160" s="14"/>
      <c r="BB160" s="14"/>
      <c r="BC160" s="14"/>
      <c r="BD160" s="14"/>
      <c r="BE160" s="14"/>
      <c r="BF160" s="14"/>
      <c r="BG160" s="14"/>
      <c r="BH160" s="14"/>
      <c r="BI160" s="14"/>
      <c r="BJ160" s="14"/>
      <c r="BK160" s="14"/>
      <c r="BL160" s="14"/>
      <c r="BM160" s="14"/>
      <c r="BN160" s="14"/>
      <c r="BO160" s="14"/>
      <c r="BP160" s="14"/>
      <c r="BQ160" s="14"/>
      <c r="BR160" s="14"/>
      <c r="BS160" s="14"/>
      <c r="BT160" s="14"/>
      <c r="BU160" s="14"/>
      <c r="BV160" s="14"/>
      <c r="BW160" s="14"/>
      <c r="BX160" s="14"/>
      <c r="BY160" s="14"/>
      <c r="BZ160" s="14"/>
      <c r="CA160" s="14"/>
      <c r="CB160" s="14"/>
      <c r="CC160" s="14"/>
      <c r="CD160" s="14"/>
      <c r="CE160" s="14"/>
      <c r="CF160" s="14"/>
      <c r="CG160" s="14"/>
      <c r="CH160" s="14"/>
      <c r="CI160" s="14"/>
      <c r="CJ160" s="14"/>
      <c r="CK160" s="14"/>
      <c r="CL160" s="14"/>
      <c r="CM160" s="14"/>
      <c r="CN160" s="14"/>
      <c r="CO160" s="14"/>
      <c r="CP160" s="14"/>
      <c r="CQ160" s="14"/>
      <c r="CR160" s="14"/>
      <c r="CS160" s="14"/>
      <c r="CT160" s="14"/>
      <c r="CU160" s="14"/>
      <c r="CV160" s="14"/>
      <c r="CW160" s="14"/>
      <c r="CX160" s="14"/>
      <c r="CY160" s="14"/>
    </row>
    <row r="161" spans="1:103" ht="15.75" customHeight="1">
      <c r="A161" s="14"/>
      <c r="B161" s="14"/>
      <c r="C161" s="14"/>
      <c r="D161" s="14"/>
      <c r="E161" s="15"/>
      <c r="F161" s="14"/>
      <c r="G161" s="16"/>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14"/>
      <c r="AH161" s="14"/>
      <c r="AI161" s="14"/>
      <c r="AJ161" s="14"/>
      <c r="AK161" s="14"/>
      <c r="AL161" s="14"/>
      <c r="AM161" s="14"/>
      <c r="AN161" s="14"/>
      <c r="AO161" s="14"/>
      <c r="AP161" s="14"/>
      <c r="AQ161" s="14"/>
      <c r="AR161" s="14"/>
      <c r="AS161" s="14"/>
      <c r="AT161" s="14"/>
      <c r="AU161" s="14"/>
      <c r="AV161" s="14"/>
      <c r="AW161" s="14"/>
      <c r="AX161" s="14"/>
      <c r="AY161" s="14"/>
      <c r="AZ161" s="14"/>
      <c r="BA161" s="14"/>
      <c r="BB161" s="14"/>
      <c r="BC161" s="14"/>
      <c r="BD161" s="14"/>
      <c r="BE161" s="14"/>
      <c r="BF161" s="14"/>
      <c r="BG161" s="14"/>
      <c r="BH161" s="14"/>
      <c r="BI161" s="14"/>
      <c r="BJ161" s="14"/>
      <c r="BK161" s="14"/>
      <c r="BL161" s="14"/>
      <c r="BM161" s="14"/>
      <c r="BN161" s="14"/>
      <c r="BO161" s="14"/>
      <c r="BP161" s="14"/>
      <c r="BQ161" s="14"/>
      <c r="BR161" s="14"/>
      <c r="BS161" s="14"/>
      <c r="BT161" s="14"/>
      <c r="BU161" s="14"/>
      <c r="BV161" s="14"/>
      <c r="BW161" s="14"/>
      <c r="BX161" s="14"/>
      <c r="BY161" s="14"/>
      <c r="BZ161" s="14"/>
      <c r="CA161" s="14"/>
      <c r="CB161" s="14"/>
      <c r="CC161" s="14"/>
      <c r="CD161" s="14"/>
      <c r="CE161" s="14"/>
      <c r="CF161" s="14"/>
      <c r="CG161" s="14"/>
      <c r="CH161" s="14"/>
      <c r="CI161" s="14"/>
      <c r="CJ161" s="14"/>
      <c r="CK161" s="14"/>
      <c r="CL161" s="14"/>
      <c r="CM161" s="14"/>
      <c r="CN161" s="14"/>
      <c r="CO161" s="14"/>
      <c r="CP161" s="14"/>
      <c r="CQ161" s="14"/>
      <c r="CR161" s="14"/>
      <c r="CS161" s="14"/>
      <c r="CT161" s="14"/>
      <c r="CU161" s="14"/>
      <c r="CV161" s="14"/>
      <c r="CW161" s="14"/>
      <c r="CX161" s="14"/>
      <c r="CY161" s="14"/>
    </row>
    <row r="162" spans="1:103" ht="15.75" customHeight="1">
      <c r="A162" s="14"/>
      <c r="B162" s="14"/>
      <c r="C162" s="14"/>
      <c r="D162" s="14"/>
      <c r="E162" s="15"/>
      <c r="F162" s="14"/>
      <c r="G162" s="16"/>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4"/>
      <c r="AP162" s="14"/>
      <c r="AQ162" s="14"/>
      <c r="AR162" s="14"/>
      <c r="AS162" s="14"/>
      <c r="AT162" s="14"/>
      <c r="AU162" s="14"/>
      <c r="AV162" s="14"/>
      <c r="AW162" s="14"/>
      <c r="AX162" s="14"/>
      <c r="AY162" s="14"/>
      <c r="AZ162" s="14"/>
      <c r="BA162" s="14"/>
      <c r="BB162" s="14"/>
      <c r="BC162" s="14"/>
      <c r="BD162" s="14"/>
      <c r="BE162" s="14"/>
      <c r="BF162" s="14"/>
      <c r="BG162" s="14"/>
      <c r="BH162" s="14"/>
      <c r="BI162" s="14"/>
      <c r="BJ162" s="14"/>
      <c r="BK162" s="14"/>
      <c r="BL162" s="14"/>
      <c r="BM162" s="14"/>
      <c r="BN162" s="14"/>
      <c r="BO162" s="14"/>
      <c r="BP162" s="14"/>
      <c r="BQ162" s="14"/>
      <c r="BR162" s="14"/>
      <c r="BS162" s="14"/>
      <c r="BT162" s="14"/>
      <c r="BU162" s="14"/>
      <c r="BV162" s="14"/>
      <c r="BW162" s="14"/>
      <c r="BX162" s="14"/>
      <c r="BY162" s="14"/>
      <c r="BZ162" s="14"/>
      <c r="CA162" s="14"/>
      <c r="CB162" s="14"/>
      <c r="CC162" s="14"/>
      <c r="CD162" s="14"/>
      <c r="CE162" s="14"/>
      <c r="CF162" s="14"/>
      <c r="CG162" s="14"/>
      <c r="CH162" s="14"/>
      <c r="CI162" s="14"/>
      <c r="CJ162" s="14"/>
      <c r="CK162" s="14"/>
      <c r="CL162" s="14"/>
      <c r="CM162" s="14"/>
      <c r="CN162" s="14"/>
      <c r="CO162" s="14"/>
      <c r="CP162" s="14"/>
      <c r="CQ162" s="14"/>
      <c r="CR162" s="14"/>
      <c r="CS162" s="14"/>
      <c r="CT162" s="14"/>
      <c r="CU162" s="14"/>
      <c r="CV162" s="14"/>
      <c r="CW162" s="14"/>
      <c r="CX162" s="14"/>
      <c r="CY162" s="14"/>
    </row>
    <row r="163" spans="1:103" ht="15.75" customHeight="1">
      <c r="A163" s="14"/>
      <c r="B163" s="14"/>
      <c r="C163" s="14"/>
      <c r="D163" s="14"/>
      <c r="E163" s="15"/>
      <c r="F163" s="14"/>
      <c r="G163" s="16"/>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E163" s="14"/>
      <c r="AF163" s="14"/>
      <c r="AG163" s="14"/>
      <c r="AH163" s="14"/>
      <c r="AI163" s="14"/>
      <c r="AJ163" s="14"/>
      <c r="AK163" s="14"/>
      <c r="AL163" s="14"/>
      <c r="AM163" s="14"/>
      <c r="AN163" s="14"/>
      <c r="AO163" s="14"/>
      <c r="AP163" s="14"/>
      <c r="AQ163" s="14"/>
      <c r="AR163" s="14"/>
      <c r="AS163" s="14"/>
      <c r="AT163" s="14"/>
      <c r="AU163" s="14"/>
      <c r="AV163" s="14"/>
      <c r="AW163" s="14"/>
      <c r="AX163" s="14"/>
      <c r="AY163" s="14"/>
      <c r="AZ163" s="14"/>
      <c r="BA163" s="14"/>
      <c r="BB163" s="14"/>
      <c r="BC163" s="14"/>
      <c r="BD163" s="14"/>
      <c r="BE163" s="14"/>
      <c r="BF163" s="14"/>
      <c r="BG163" s="14"/>
      <c r="BH163" s="14"/>
      <c r="BI163" s="14"/>
      <c r="BJ163" s="14"/>
      <c r="BK163" s="14"/>
      <c r="BL163" s="14"/>
      <c r="BM163" s="14"/>
      <c r="BN163" s="14"/>
      <c r="BO163" s="14"/>
      <c r="BP163" s="14"/>
      <c r="BQ163" s="14"/>
      <c r="BR163" s="14"/>
      <c r="BS163" s="14"/>
      <c r="BT163" s="14"/>
      <c r="BU163" s="14"/>
      <c r="BV163" s="14"/>
      <c r="BW163" s="14"/>
      <c r="BX163" s="14"/>
      <c r="BY163" s="14"/>
      <c r="BZ163" s="14"/>
      <c r="CA163" s="14"/>
      <c r="CB163" s="14"/>
      <c r="CC163" s="14"/>
      <c r="CD163" s="14"/>
      <c r="CE163" s="14"/>
      <c r="CF163" s="14"/>
      <c r="CG163" s="14"/>
      <c r="CH163" s="14"/>
      <c r="CI163" s="14"/>
      <c r="CJ163" s="14"/>
      <c r="CK163" s="14"/>
      <c r="CL163" s="14"/>
      <c r="CM163" s="14"/>
      <c r="CN163" s="14"/>
      <c r="CO163" s="14"/>
      <c r="CP163" s="14"/>
      <c r="CQ163" s="14"/>
      <c r="CR163" s="14"/>
      <c r="CS163" s="14"/>
      <c r="CT163" s="14"/>
      <c r="CU163" s="14"/>
      <c r="CV163" s="14"/>
      <c r="CW163" s="14"/>
      <c r="CX163" s="14"/>
      <c r="CY163" s="14"/>
    </row>
    <row r="164" spans="1:103" ht="15.75" customHeight="1">
      <c r="A164" s="14"/>
      <c r="B164" s="14"/>
      <c r="C164" s="14"/>
      <c r="D164" s="14"/>
      <c r="E164" s="15"/>
      <c r="F164" s="14"/>
      <c r="G164" s="16"/>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E164" s="14"/>
      <c r="AF164" s="14"/>
      <c r="AG164" s="14"/>
      <c r="AH164" s="14"/>
      <c r="AI164" s="14"/>
      <c r="AJ164" s="14"/>
      <c r="AK164" s="14"/>
      <c r="AL164" s="14"/>
      <c r="AM164" s="14"/>
      <c r="AN164" s="14"/>
      <c r="AO164" s="14"/>
      <c r="AP164" s="14"/>
      <c r="AQ164" s="14"/>
      <c r="AR164" s="14"/>
      <c r="AS164" s="14"/>
      <c r="AT164" s="14"/>
      <c r="AU164" s="14"/>
      <c r="AV164" s="14"/>
      <c r="AW164" s="14"/>
      <c r="AX164" s="14"/>
      <c r="AY164" s="14"/>
      <c r="AZ164" s="14"/>
      <c r="BA164" s="14"/>
      <c r="BB164" s="14"/>
      <c r="BC164" s="14"/>
      <c r="BD164" s="14"/>
      <c r="BE164" s="14"/>
      <c r="BF164" s="14"/>
      <c r="BG164" s="14"/>
      <c r="BH164" s="14"/>
      <c r="BI164" s="14"/>
      <c r="BJ164" s="14"/>
      <c r="BK164" s="14"/>
      <c r="BL164" s="14"/>
      <c r="BM164" s="14"/>
      <c r="BN164" s="14"/>
      <c r="BO164" s="14"/>
      <c r="BP164" s="14"/>
      <c r="BQ164" s="14"/>
      <c r="BR164" s="14"/>
      <c r="BS164" s="14"/>
      <c r="BT164" s="14"/>
      <c r="BU164" s="14"/>
      <c r="BV164" s="14"/>
      <c r="BW164" s="14"/>
      <c r="BX164" s="14"/>
      <c r="BY164" s="14"/>
      <c r="BZ164" s="14"/>
      <c r="CA164" s="14"/>
      <c r="CB164" s="14"/>
      <c r="CC164" s="14"/>
      <c r="CD164" s="14"/>
      <c r="CE164" s="14"/>
      <c r="CF164" s="14"/>
      <c r="CG164" s="14"/>
      <c r="CH164" s="14"/>
      <c r="CI164" s="14"/>
      <c r="CJ164" s="14"/>
      <c r="CK164" s="14"/>
      <c r="CL164" s="14"/>
      <c r="CM164" s="14"/>
      <c r="CN164" s="14"/>
      <c r="CO164" s="14"/>
      <c r="CP164" s="14"/>
      <c r="CQ164" s="14"/>
      <c r="CR164" s="14"/>
      <c r="CS164" s="14"/>
      <c r="CT164" s="14"/>
      <c r="CU164" s="14"/>
      <c r="CV164" s="14"/>
      <c r="CW164" s="14"/>
      <c r="CX164" s="14"/>
      <c r="CY164" s="14"/>
    </row>
    <row r="165" spans="1:103" ht="15.75" customHeight="1">
      <c r="A165" s="14"/>
      <c r="B165" s="14"/>
      <c r="C165" s="14"/>
      <c r="D165" s="14"/>
      <c r="E165" s="15"/>
      <c r="F165" s="14"/>
      <c r="G165" s="16"/>
      <c r="H165" s="14"/>
      <c r="I165" s="14"/>
      <c r="J165" s="14"/>
      <c r="K165" s="14"/>
      <c r="L165" s="14"/>
      <c r="M165" s="14"/>
      <c r="N165" s="14"/>
      <c r="O165" s="14"/>
      <c r="P165" s="14"/>
      <c r="Q165" s="14"/>
      <c r="R165" s="14"/>
      <c r="S165" s="14"/>
      <c r="T165" s="14"/>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c r="AR165" s="14"/>
      <c r="AS165" s="14"/>
      <c r="AT165" s="14"/>
      <c r="AU165" s="14"/>
      <c r="AV165" s="14"/>
      <c r="AW165" s="14"/>
      <c r="AX165" s="14"/>
      <c r="AY165" s="14"/>
      <c r="AZ165" s="14"/>
      <c r="BA165" s="14"/>
      <c r="BB165" s="14"/>
      <c r="BC165" s="14"/>
      <c r="BD165" s="14"/>
      <c r="BE165" s="14"/>
      <c r="BF165" s="14"/>
      <c r="BG165" s="14"/>
      <c r="BH165" s="14"/>
      <c r="BI165" s="14"/>
      <c r="BJ165" s="14"/>
      <c r="BK165" s="14"/>
      <c r="BL165" s="14"/>
      <c r="BM165" s="14"/>
      <c r="BN165" s="14"/>
      <c r="BO165" s="14"/>
      <c r="BP165" s="14"/>
      <c r="BQ165" s="14"/>
      <c r="BR165" s="14"/>
      <c r="BS165" s="14"/>
      <c r="BT165" s="14"/>
      <c r="BU165" s="14"/>
      <c r="BV165" s="14"/>
      <c r="BW165" s="14"/>
      <c r="BX165" s="14"/>
      <c r="BY165" s="14"/>
      <c r="BZ165" s="14"/>
      <c r="CA165" s="14"/>
      <c r="CB165" s="14"/>
      <c r="CC165" s="14"/>
      <c r="CD165" s="14"/>
      <c r="CE165" s="14"/>
      <c r="CF165" s="14"/>
      <c r="CG165" s="14"/>
      <c r="CH165" s="14"/>
      <c r="CI165" s="14"/>
      <c r="CJ165" s="14"/>
      <c r="CK165" s="14"/>
      <c r="CL165" s="14"/>
      <c r="CM165" s="14"/>
      <c r="CN165" s="14"/>
      <c r="CO165" s="14"/>
      <c r="CP165" s="14"/>
      <c r="CQ165" s="14"/>
      <c r="CR165" s="14"/>
      <c r="CS165" s="14"/>
      <c r="CT165" s="14"/>
      <c r="CU165" s="14"/>
      <c r="CV165" s="14"/>
      <c r="CW165" s="14"/>
      <c r="CX165" s="14"/>
      <c r="CY165" s="14"/>
    </row>
    <row r="166" spans="1:103" ht="15.75" customHeight="1">
      <c r="A166" s="14"/>
      <c r="B166" s="14"/>
      <c r="C166" s="14"/>
      <c r="D166" s="14"/>
      <c r="E166" s="15"/>
      <c r="F166" s="14"/>
      <c r="G166" s="16"/>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c r="AR166" s="14"/>
      <c r="AS166" s="14"/>
      <c r="AT166" s="14"/>
      <c r="AU166" s="14"/>
      <c r="AV166" s="14"/>
      <c r="AW166" s="14"/>
      <c r="AX166" s="14"/>
      <c r="AY166" s="14"/>
      <c r="AZ166" s="14"/>
      <c r="BA166" s="14"/>
      <c r="BB166" s="14"/>
      <c r="BC166" s="14"/>
      <c r="BD166" s="14"/>
      <c r="BE166" s="14"/>
      <c r="BF166" s="14"/>
      <c r="BG166" s="14"/>
      <c r="BH166" s="14"/>
      <c r="BI166" s="14"/>
      <c r="BJ166" s="14"/>
      <c r="BK166" s="14"/>
      <c r="BL166" s="14"/>
      <c r="BM166" s="14"/>
      <c r="BN166" s="14"/>
      <c r="BO166" s="14"/>
      <c r="BP166" s="14"/>
      <c r="BQ166" s="14"/>
      <c r="BR166" s="14"/>
      <c r="BS166" s="14"/>
      <c r="BT166" s="14"/>
      <c r="BU166" s="14"/>
      <c r="BV166" s="14"/>
      <c r="BW166" s="14"/>
      <c r="BX166" s="14"/>
      <c r="BY166" s="14"/>
      <c r="BZ166" s="14"/>
      <c r="CA166" s="14"/>
      <c r="CB166" s="14"/>
      <c r="CC166" s="14"/>
      <c r="CD166" s="14"/>
      <c r="CE166" s="14"/>
      <c r="CF166" s="14"/>
      <c r="CG166" s="14"/>
      <c r="CH166" s="14"/>
      <c r="CI166" s="14"/>
      <c r="CJ166" s="14"/>
      <c r="CK166" s="14"/>
      <c r="CL166" s="14"/>
      <c r="CM166" s="14"/>
      <c r="CN166" s="14"/>
      <c r="CO166" s="14"/>
      <c r="CP166" s="14"/>
      <c r="CQ166" s="14"/>
      <c r="CR166" s="14"/>
      <c r="CS166" s="14"/>
      <c r="CT166" s="14"/>
      <c r="CU166" s="14"/>
      <c r="CV166" s="14"/>
      <c r="CW166" s="14"/>
      <c r="CX166" s="14"/>
      <c r="CY166" s="14"/>
    </row>
    <row r="167" spans="1:103" ht="15.75" customHeight="1">
      <c r="A167" s="14"/>
      <c r="B167" s="14"/>
      <c r="C167" s="14"/>
      <c r="D167" s="14"/>
      <c r="E167" s="15"/>
      <c r="F167" s="14"/>
      <c r="G167" s="16"/>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c r="AR167" s="14"/>
      <c r="AS167" s="14"/>
      <c r="AT167" s="14"/>
      <c r="AU167" s="14"/>
      <c r="AV167" s="14"/>
      <c r="AW167" s="14"/>
      <c r="AX167" s="14"/>
      <c r="AY167" s="14"/>
      <c r="AZ167" s="14"/>
      <c r="BA167" s="14"/>
      <c r="BB167" s="14"/>
      <c r="BC167" s="14"/>
      <c r="BD167" s="14"/>
      <c r="BE167" s="14"/>
      <c r="BF167" s="14"/>
      <c r="BG167" s="14"/>
      <c r="BH167" s="14"/>
      <c r="BI167" s="14"/>
      <c r="BJ167" s="14"/>
      <c r="BK167" s="14"/>
      <c r="BL167" s="14"/>
      <c r="BM167" s="14"/>
      <c r="BN167" s="14"/>
      <c r="BO167" s="14"/>
      <c r="BP167" s="14"/>
      <c r="BQ167" s="14"/>
      <c r="BR167" s="14"/>
      <c r="BS167" s="14"/>
      <c r="BT167" s="14"/>
      <c r="BU167" s="14"/>
      <c r="BV167" s="14"/>
      <c r="BW167" s="14"/>
      <c r="BX167" s="14"/>
      <c r="BY167" s="14"/>
      <c r="BZ167" s="14"/>
      <c r="CA167" s="14"/>
      <c r="CB167" s="14"/>
      <c r="CC167" s="14"/>
      <c r="CD167" s="14"/>
      <c r="CE167" s="14"/>
      <c r="CF167" s="14"/>
      <c r="CG167" s="14"/>
      <c r="CH167" s="14"/>
      <c r="CI167" s="14"/>
      <c r="CJ167" s="14"/>
      <c r="CK167" s="14"/>
      <c r="CL167" s="14"/>
      <c r="CM167" s="14"/>
      <c r="CN167" s="14"/>
      <c r="CO167" s="14"/>
      <c r="CP167" s="14"/>
      <c r="CQ167" s="14"/>
      <c r="CR167" s="14"/>
      <c r="CS167" s="14"/>
      <c r="CT167" s="14"/>
      <c r="CU167" s="14"/>
      <c r="CV167" s="14"/>
      <c r="CW167" s="14"/>
      <c r="CX167" s="14"/>
      <c r="CY167" s="14"/>
    </row>
    <row r="168" spans="1:103" ht="15.75" customHeight="1">
      <c r="A168" s="14"/>
      <c r="B168" s="14"/>
      <c r="C168" s="14"/>
      <c r="D168" s="14"/>
      <c r="E168" s="15"/>
      <c r="F168" s="14"/>
      <c r="G168" s="16"/>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c r="AR168" s="14"/>
      <c r="AS168" s="14"/>
      <c r="AT168" s="14"/>
      <c r="AU168" s="14"/>
      <c r="AV168" s="14"/>
      <c r="AW168" s="14"/>
      <c r="AX168" s="14"/>
      <c r="AY168" s="14"/>
      <c r="AZ168" s="14"/>
      <c r="BA168" s="14"/>
      <c r="BB168" s="14"/>
      <c r="BC168" s="14"/>
      <c r="BD168" s="14"/>
      <c r="BE168" s="14"/>
      <c r="BF168" s="14"/>
      <c r="BG168" s="14"/>
      <c r="BH168" s="14"/>
      <c r="BI168" s="14"/>
      <c r="BJ168" s="14"/>
      <c r="BK168" s="14"/>
      <c r="BL168" s="14"/>
      <c r="BM168" s="14"/>
      <c r="BN168" s="14"/>
      <c r="BO168" s="14"/>
      <c r="BP168" s="14"/>
      <c r="BQ168" s="14"/>
      <c r="BR168" s="14"/>
      <c r="BS168" s="14"/>
      <c r="BT168" s="14"/>
      <c r="BU168" s="14"/>
      <c r="BV168" s="14"/>
      <c r="BW168" s="14"/>
      <c r="BX168" s="14"/>
      <c r="BY168" s="14"/>
      <c r="BZ168" s="14"/>
      <c r="CA168" s="14"/>
      <c r="CB168" s="14"/>
      <c r="CC168" s="14"/>
      <c r="CD168" s="14"/>
      <c r="CE168" s="14"/>
      <c r="CF168" s="14"/>
      <c r="CG168" s="14"/>
      <c r="CH168" s="14"/>
      <c r="CI168" s="14"/>
      <c r="CJ168" s="14"/>
      <c r="CK168" s="14"/>
      <c r="CL168" s="14"/>
      <c r="CM168" s="14"/>
      <c r="CN168" s="14"/>
      <c r="CO168" s="14"/>
      <c r="CP168" s="14"/>
      <c r="CQ168" s="14"/>
      <c r="CR168" s="14"/>
      <c r="CS168" s="14"/>
      <c r="CT168" s="14"/>
      <c r="CU168" s="14"/>
      <c r="CV168" s="14"/>
      <c r="CW168" s="14"/>
      <c r="CX168" s="14"/>
      <c r="CY168" s="14"/>
    </row>
    <row r="169" spans="1:103" ht="15.75" customHeight="1">
      <c r="A169" s="14"/>
      <c r="B169" s="14"/>
      <c r="C169" s="14"/>
      <c r="D169" s="14"/>
      <c r="E169" s="15"/>
      <c r="F169" s="14"/>
      <c r="G169" s="16"/>
      <c r="H169" s="14"/>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c r="AR169" s="14"/>
      <c r="AS169" s="14"/>
      <c r="AT169" s="14"/>
      <c r="AU169" s="14"/>
      <c r="AV169" s="14"/>
      <c r="AW169" s="14"/>
      <c r="AX169" s="14"/>
      <c r="AY169" s="14"/>
      <c r="AZ169" s="14"/>
      <c r="BA169" s="14"/>
      <c r="BB169" s="14"/>
      <c r="BC169" s="14"/>
      <c r="BD169" s="14"/>
      <c r="BE169" s="14"/>
      <c r="BF169" s="14"/>
      <c r="BG169" s="14"/>
      <c r="BH169" s="14"/>
      <c r="BI169" s="14"/>
      <c r="BJ169" s="14"/>
      <c r="BK169" s="14"/>
      <c r="BL169" s="14"/>
      <c r="BM169" s="14"/>
      <c r="BN169" s="14"/>
      <c r="BO169" s="14"/>
      <c r="BP169" s="14"/>
      <c r="BQ169" s="14"/>
      <c r="BR169" s="14"/>
      <c r="BS169" s="14"/>
      <c r="BT169" s="14"/>
      <c r="BU169" s="14"/>
      <c r="BV169" s="14"/>
      <c r="BW169" s="14"/>
      <c r="BX169" s="14"/>
      <c r="BY169" s="14"/>
      <c r="BZ169" s="14"/>
      <c r="CA169" s="14"/>
      <c r="CB169" s="14"/>
      <c r="CC169" s="14"/>
      <c r="CD169" s="14"/>
      <c r="CE169" s="14"/>
      <c r="CF169" s="14"/>
      <c r="CG169" s="14"/>
      <c r="CH169" s="14"/>
      <c r="CI169" s="14"/>
      <c r="CJ169" s="14"/>
      <c r="CK169" s="14"/>
      <c r="CL169" s="14"/>
      <c r="CM169" s="14"/>
      <c r="CN169" s="14"/>
      <c r="CO169" s="14"/>
      <c r="CP169" s="14"/>
      <c r="CQ169" s="14"/>
      <c r="CR169" s="14"/>
      <c r="CS169" s="14"/>
      <c r="CT169" s="14"/>
      <c r="CU169" s="14"/>
      <c r="CV169" s="14"/>
      <c r="CW169" s="14"/>
      <c r="CX169" s="14"/>
      <c r="CY169" s="14"/>
    </row>
    <row r="170" spans="1:103" ht="15.75" customHeight="1">
      <c r="A170" s="14"/>
      <c r="B170" s="14"/>
      <c r="C170" s="14"/>
      <c r="D170" s="14"/>
      <c r="E170" s="15"/>
      <c r="F170" s="14"/>
      <c r="G170" s="16"/>
      <c r="H170" s="14"/>
      <c r="I170" s="14"/>
      <c r="J170" s="14"/>
      <c r="K170" s="14"/>
      <c r="L170" s="14"/>
      <c r="M170" s="14"/>
      <c r="N170" s="14"/>
      <c r="O170" s="14"/>
      <c r="P170" s="14"/>
      <c r="Q170" s="14"/>
      <c r="R170" s="14"/>
      <c r="S170" s="14"/>
      <c r="T170" s="14"/>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c r="AR170" s="14"/>
      <c r="AS170" s="14"/>
      <c r="AT170" s="14"/>
      <c r="AU170" s="14"/>
      <c r="AV170" s="14"/>
      <c r="AW170" s="14"/>
      <c r="AX170" s="14"/>
      <c r="AY170" s="14"/>
      <c r="AZ170" s="14"/>
      <c r="BA170" s="14"/>
      <c r="BB170" s="14"/>
      <c r="BC170" s="14"/>
      <c r="BD170" s="14"/>
      <c r="BE170" s="14"/>
      <c r="BF170" s="14"/>
      <c r="BG170" s="14"/>
      <c r="BH170" s="14"/>
      <c r="BI170" s="14"/>
      <c r="BJ170" s="14"/>
      <c r="BK170" s="14"/>
      <c r="BL170" s="14"/>
      <c r="BM170" s="14"/>
      <c r="BN170" s="14"/>
      <c r="BO170" s="14"/>
      <c r="BP170" s="14"/>
      <c r="BQ170" s="14"/>
      <c r="BR170" s="14"/>
      <c r="BS170" s="14"/>
      <c r="BT170" s="14"/>
      <c r="BU170" s="14"/>
      <c r="BV170" s="14"/>
      <c r="BW170" s="14"/>
      <c r="BX170" s="14"/>
      <c r="BY170" s="14"/>
      <c r="BZ170" s="14"/>
      <c r="CA170" s="14"/>
      <c r="CB170" s="14"/>
      <c r="CC170" s="14"/>
      <c r="CD170" s="14"/>
      <c r="CE170" s="14"/>
      <c r="CF170" s="14"/>
      <c r="CG170" s="14"/>
      <c r="CH170" s="14"/>
      <c r="CI170" s="14"/>
      <c r="CJ170" s="14"/>
      <c r="CK170" s="14"/>
      <c r="CL170" s="14"/>
      <c r="CM170" s="14"/>
      <c r="CN170" s="14"/>
      <c r="CO170" s="14"/>
      <c r="CP170" s="14"/>
      <c r="CQ170" s="14"/>
      <c r="CR170" s="14"/>
      <c r="CS170" s="14"/>
      <c r="CT170" s="14"/>
      <c r="CU170" s="14"/>
      <c r="CV170" s="14"/>
      <c r="CW170" s="14"/>
      <c r="CX170" s="14"/>
      <c r="CY170" s="14"/>
    </row>
    <row r="171" spans="1:103" ht="15.75" customHeight="1">
      <c r="A171" s="14"/>
      <c r="B171" s="14"/>
      <c r="C171" s="14"/>
      <c r="D171" s="14"/>
      <c r="E171" s="15"/>
      <c r="F171" s="14"/>
      <c r="G171" s="16"/>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c r="AR171" s="14"/>
      <c r="AS171" s="14"/>
      <c r="AT171" s="14"/>
      <c r="AU171" s="14"/>
      <c r="AV171" s="14"/>
      <c r="AW171" s="14"/>
      <c r="AX171" s="14"/>
      <c r="AY171" s="14"/>
      <c r="AZ171" s="14"/>
      <c r="BA171" s="14"/>
      <c r="BB171" s="14"/>
      <c r="BC171" s="14"/>
      <c r="BD171" s="14"/>
      <c r="BE171" s="14"/>
      <c r="BF171" s="14"/>
      <c r="BG171" s="14"/>
      <c r="BH171" s="14"/>
      <c r="BI171" s="14"/>
      <c r="BJ171" s="14"/>
      <c r="BK171" s="14"/>
      <c r="BL171" s="14"/>
      <c r="BM171" s="14"/>
      <c r="BN171" s="14"/>
      <c r="BO171" s="14"/>
      <c r="BP171" s="14"/>
      <c r="BQ171" s="14"/>
      <c r="BR171" s="14"/>
      <c r="BS171" s="14"/>
      <c r="BT171" s="14"/>
      <c r="BU171" s="14"/>
      <c r="BV171" s="14"/>
      <c r="BW171" s="14"/>
      <c r="BX171" s="14"/>
      <c r="BY171" s="14"/>
      <c r="BZ171" s="14"/>
      <c r="CA171" s="14"/>
      <c r="CB171" s="14"/>
      <c r="CC171" s="14"/>
      <c r="CD171" s="14"/>
      <c r="CE171" s="14"/>
      <c r="CF171" s="14"/>
      <c r="CG171" s="14"/>
      <c r="CH171" s="14"/>
      <c r="CI171" s="14"/>
      <c r="CJ171" s="14"/>
      <c r="CK171" s="14"/>
      <c r="CL171" s="14"/>
      <c r="CM171" s="14"/>
      <c r="CN171" s="14"/>
      <c r="CO171" s="14"/>
      <c r="CP171" s="14"/>
      <c r="CQ171" s="14"/>
      <c r="CR171" s="14"/>
      <c r="CS171" s="14"/>
      <c r="CT171" s="14"/>
      <c r="CU171" s="14"/>
      <c r="CV171" s="14"/>
      <c r="CW171" s="14"/>
      <c r="CX171" s="14"/>
      <c r="CY171" s="14"/>
    </row>
    <row r="172" spans="1:103" ht="15.75" customHeight="1">
      <c r="A172" s="14"/>
      <c r="B172" s="14"/>
      <c r="C172" s="14"/>
      <c r="D172" s="14"/>
      <c r="E172" s="15"/>
      <c r="F172" s="14"/>
      <c r="G172" s="16"/>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4"/>
      <c r="AZ172" s="14"/>
      <c r="BA172" s="14"/>
      <c r="BB172" s="14"/>
      <c r="BC172" s="14"/>
      <c r="BD172" s="14"/>
      <c r="BE172" s="14"/>
      <c r="BF172" s="14"/>
      <c r="BG172" s="14"/>
      <c r="BH172" s="14"/>
      <c r="BI172" s="14"/>
      <c r="BJ172" s="14"/>
      <c r="BK172" s="14"/>
      <c r="BL172" s="14"/>
      <c r="BM172" s="14"/>
      <c r="BN172" s="14"/>
      <c r="BO172" s="14"/>
      <c r="BP172" s="14"/>
      <c r="BQ172" s="14"/>
      <c r="BR172" s="14"/>
      <c r="BS172" s="14"/>
      <c r="BT172" s="14"/>
      <c r="BU172" s="14"/>
      <c r="BV172" s="14"/>
      <c r="BW172" s="14"/>
      <c r="BX172" s="14"/>
      <c r="BY172" s="14"/>
      <c r="BZ172" s="14"/>
      <c r="CA172" s="14"/>
      <c r="CB172" s="14"/>
      <c r="CC172" s="14"/>
      <c r="CD172" s="14"/>
      <c r="CE172" s="14"/>
      <c r="CF172" s="14"/>
      <c r="CG172" s="14"/>
      <c r="CH172" s="14"/>
      <c r="CI172" s="14"/>
      <c r="CJ172" s="14"/>
      <c r="CK172" s="14"/>
      <c r="CL172" s="14"/>
      <c r="CM172" s="14"/>
      <c r="CN172" s="14"/>
      <c r="CO172" s="14"/>
      <c r="CP172" s="14"/>
      <c r="CQ172" s="14"/>
      <c r="CR172" s="14"/>
      <c r="CS172" s="14"/>
      <c r="CT172" s="14"/>
      <c r="CU172" s="14"/>
      <c r="CV172" s="14"/>
      <c r="CW172" s="14"/>
      <c r="CX172" s="14"/>
      <c r="CY172" s="14"/>
    </row>
    <row r="173" spans="1:103" ht="15.75" customHeight="1">
      <c r="A173" s="14"/>
      <c r="B173" s="14"/>
      <c r="C173" s="14"/>
      <c r="D173" s="14"/>
      <c r="E173" s="15"/>
      <c r="F173" s="14"/>
      <c r="G173" s="16"/>
      <c r="H173" s="14"/>
      <c r="I173" s="14"/>
      <c r="J173" s="14"/>
      <c r="K173" s="14"/>
      <c r="L173" s="14"/>
      <c r="M173" s="14"/>
      <c r="N173" s="14"/>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c r="AR173" s="14"/>
      <c r="AS173" s="14"/>
      <c r="AT173" s="14"/>
      <c r="AU173" s="14"/>
      <c r="AV173" s="14"/>
      <c r="AW173" s="14"/>
      <c r="AX173" s="14"/>
      <c r="AY173" s="14"/>
      <c r="AZ173" s="14"/>
      <c r="BA173" s="14"/>
      <c r="BB173" s="14"/>
      <c r="BC173" s="14"/>
      <c r="BD173" s="14"/>
      <c r="BE173" s="14"/>
      <c r="BF173" s="14"/>
      <c r="BG173" s="14"/>
      <c r="BH173" s="14"/>
      <c r="BI173" s="14"/>
      <c r="BJ173" s="14"/>
      <c r="BK173" s="14"/>
      <c r="BL173" s="14"/>
      <c r="BM173" s="14"/>
      <c r="BN173" s="14"/>
      <c r="BO173" s="14"/>
      <c r="BP173" s="14"/>
      <c r="BQ173" s="14"/>
      <c r="BR173" s="14"/>
      <c r="BS173" s="14"/>
      <c r="BT173" s="14"/>
      <c r="BU173" s="14"/>
      <c r="BV173" s="14"/>
      <c r="BW173" s="14"/>
      <c r="BX173" s="14"/>
      <c r="BY173" s="14"/>
      <c r="BZ173" s="14"/>
      <c r="CA173" s="14"/>
      <c r="CB173" s="14"/>
      <c r="CC173" s="14"/>
      <c r="CD173" s="14"/>
      <c r="CE173" s="14"/>
      <c r="CF173" s="14"/>
      <c r="CG173" s="14"/>
      <c r="CH173" s="14"/>
      <c r="CI173" s="14"/>
      <c r="CJ173" s="14"/>
      <c r="CK173" s="14"/>
      <c r="CL173" s="14"/>
      <c r="CM173" s="14"/>
      <c r="CN173" s="14"/>
      <c r="CO173" s="14"/>
      <c r="CP173" s="14"/>
      <c r="CQ173" s="14"/>
      <c r="CR173" s="14"/>
      <c r="CS173" s="14"/>
      <c r="CT173" s="14"/>
      <c r="CU173" s="14"/>
      <c r="CV173" s="14"/>
      <c r="CW173" s="14"/>
      <c r="CX173" s="14"/>
      <c r="CY173" s="14"/>
    </row>
    <row r="174" spans="1:103" ht="15.75" customHeight="1">
      <c r="A174" s="14"/>
      <c r="B174" s="14"/>
      <c r="C174" s="14"/>
      <c r="D174" s="14"/>
      <c r="E174" s="15"/>
      <c r="F174" s="14"/>
      <c r="G174" s="16"/>
      <c r="H174" s="14"/>
      <c r="I174" s="14"/>
      <c r="J174" s="14"/>
      <c r="K174" s="14"/>
      <c r="L174" s="14"/>
      <c r="M174" s="14"/>
      <c r="N174" s="14"/>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c r="AR174" s="14"/>
      <c r="AS174" s="14"/>
      <c r="AT174" s="14"/>
      <c r="AU174" s="14"/>
      <c r="AV174" s="14"/>
      <c r="AW174" s="14"/>
      <c r="AX174" s="14"/>
      <c r="AY174" s="14"/>
      <c r="AZ174" s="14"/>
      <c r="BA174" s="14"/>
      <c r="BB174" s="14"/>
      <c r="BC174" s="14"/>
      <c r="BD174" s="14"/>
      <c r="BE174" s="14"/>
      <c r="BF174" s="14"/>
      <c r="BG174" s="14"/>
      <c r="BH174" s="14"/>
      <c r="BI174" s="14"/>
      <c r="BJ174" s="14"/>
      <c r="BK174" s="14"/>
      <c r="BL174" s="14"/>
      <c r="BM174" s="14"/>
      <c r="BN174" s="14"/>
      <c r="BO174" s="14"/>
      <c r="BP174" s="14"/>
      <c r="BQ174" s="14"/>
      <c r="BR174" s="14"/>
      <c r="BS174" s="14"/>
      <c r="BT174" s="14"/>
      <c r="BU174" s="14"/>
      <c r="BV174" s="14"/>
      <c r="BW174" s="14"/>
      <c r="BX174" s="14"/>
      <c r="BY174" s="14"/>
      <c r="BZ174" s="14"/>
      <c r="CA174" s="14"/>
      <c r="CB174" s="14"/>
      <c r="CC174" s="14"/>
      <c r="CD174" s="14"/>
      <c r="CE174" s="14"/>
      <c r="CF174" s="14"/>
      <c r="CG174" s="14"/>
      <c r="CH174" s="14"/>
      <c r="CI174" s="14"/>
      <c r="CJ174" s="14"/>
      <c r="CK174" s="14"/>
      <c r="CL174" s="14"/>
      <c r="CM174" s="14"/>
      <c r="CN174" s="14"/>
      <c r="CO174" s="14"/>
      <c r="CP174" s="14"/>
      <c r="CQ174" s="14"/>
      <c r="CR174" s="14"/>
      <c r="CS174" s="14"/>
      <c r="CT174" s="14"/>
      <c r="CU174" s="14"/>
      <c r="CV174" s="14"/>
      <c r="CW174" s="14"/>
      <c r="CX174" s="14"/>
      <c r="CY174" s="14"/>
    </row>
    <row r="175" spans="1:103" ht="15.75" customHeight="1">
      <c r="A175" s="14"/>
      <c r="B175" s="14"/>
      <c r="C175" s="14"/>
      <c r="D175" s="14"/>
      <c r="E175" s="15"/>
      <c r="F175" s="14"/>
      <c r="G175" s="16"/>
      <c r="H175" s="14"/>
      <c r="I175" s="14"/>
      <c r="J175" s="14"/>
      <c r="K175" s="14"/>
      <c r="L175" s="14"/>
      <c r="M175" s="14"/>
      <c r="N175" s="14"/>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c r="AR175" s="14"/>
      <c r="AS175" s="14"/>
      <c r="AT175" s="14"/>
      <c r="AU175" s="14"/>
      <c r="AV175" s="14"/>
      <c r="AW175" s="14"/>
      <c r="AX175" s="14"/>
      <c r="AY175" s="14"/>
      <c r="AZ175" s="14"/>
      <c r="BA175" s="14"/>
      <c r="BB175" s="14"/>
      <c r="BC175" s="14"/>
      <c r="BD175" s="14"/>
      <c r="BE175" s="14"/>
      <c r="BF175" s="14"/>
      <c r="BG175" s="14"/>
      <c r="BH175" s="14"/>
      <c r="BI175" s="14"/>
      <c r="BJ175" s="14"/>
      <c r="BK175" s="14"/>
      <c r="BL175" s="14"/>
      <c r="BM175" s="14"/>
      <c r="BN175" s="14"/>
      <c r="BO175" s="14"/>
      <c r="BP175" s="14"/>
      <c r="BQ175" s="14"/>
      <c r="BR175" s="14"/>
      <c r="BS175" s="14"/>
      <c r="BT175" s="14"/>
      <c r="BU175" s="14"/>
      <c r="BV175" s="14"/>
      <c r="BW175" s="14"/>
      <c r="BX175" s="14"/>
      <c r="BY175" s="14"/>
      <c r="BZ175" s="14"/>
      <c r="CA175" s="14"/>
      <c r="CB175" s="14"/>
      <c r="CC175" s="14"/>
      <c r="CD175" s="14"/>
      <c r="CE175" s="14"/>
      <c r="CF175" s="14"/>
      <c r="CG175" s="14"/>
      <c r="CH175" s="14"/>
      <c r="CI175" s="14"/>
      <c r="CJ175" s="14"/>
      <c r="CK175" s="14"/>
      <c r="CL175" s="14"/>
      <c r="CM175" s="14"/>
      <c r="CN175" s="14"/>
      <c r="CO175" s="14"/>
      <c r="CP175" s="14"/>
      <c r="CQ175" s="14"/>
      <c r="CR175" s="14"/>
      <c r="CS175" s="14"/>
      <c r="CT175" s="14"/>
      <c r="CU175" s="14"/>
      <c r="CV175" s="14"/>
      <c r="CW175" s="14"/>
      <c r="CX175" s="14"/>
      <c r="CY175" s="14"/>
    </row>
    <row r="176" spans="1:103" ht="15.75" customHeight="1">
      <c r="A176" s="14"/>
      <c r="B176" s="14"/>
      <c r="C176" s="14"/>
      <c r="D176" s="14"/>
      <c r="E176" s="15"/>
      <c r="F176" s="14"/>
      <c r="G176" s="16"/>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c r="AR176" s="14"/>
      <c r="AS176" s="14"/>
      <c r="AT176" s="14"/>
      <c r="AU176" s="14"/>
      <c r="AV176" s="14"/>
      <c r="AW176" s="14"/>
      <c r="AX176" s="14"/>
      <c r="AY176" s="14"/>
      <c r="AZ176" s="14"/>
      <c r="BA176" s="14"/>
      <c r="BB176" s="14"/>
      <c r="BC176" s="14"/>
      <c r="BD176" s="14"/>
      <c r="BE176" s="14"/>
      <c r="BF176" s="14"/>
      <c r="BG176" s="14"/>
      <c r="BH176" s="14"/>
      <c r="BI176" s="14"/>
      <c r="BJ176" s="14"/>
      <c r="BK176" s="14"/>
      <c r="BL176" s="14"/>
      <c r="BM176" s="14"/>
      <c r="BN176" s="14"/>
      <c r="BO176" s="14"/>
      <c r="BP176" s="14"/>
      <c r="BQ176" s="14"/>
      <c r="BR176" s="14"/>
      <c r="BS176" s="14"/>
      <c r="BT176" s="14"/>
      <c r="BU176" s="14"/>
      <c r="BV176" s="14"/>
      <c r="BW176" s="14"/>
      <c r="BX176" s="14"/>
      <c r="BY176" s="14"/>
      <c r="BZ176" s="14"/>
      <c r="CA176" s="14"/>
      <c r="CB176" s="14"/>
      <c r="CC176" s="14"/>
      <c r="CD176" s="14"/>
      <c r="CE176" s="14"/>
      <c r="CF176" s="14"/>
      <c r="CG176" s="14"/>
      <c r="CH176" s="14"/>
      <c r="CI176" s="14"/>
      <c r="CJ176" s="14"/>
      <c r="CK176" s="14"/>
      <c r="CL176" s="14"/>
      <c r="CM176" s="14"/>
      <c r="CN176" s="14"/>
      <c r="CO176" s="14"/>
      <c r="CP176" s="14"/>
      <c r="CQ176" s="14"/>
      <c r="CR176" s="14"/>
      <c r="CS176" s="14"/>
      <c r="CT176" s="14"/>
      <c r="CU176" s="14"/>
      <c r="CV176" s="14"/>
      <c r="CW176" s="14"/>
      <c r="CX176" s="14"/>
      <c r="CY176" s="14"/>
    </row>
    <row r="177" spans="1:103" ht="15.75" customHeight="1">
      <c r="A177" s="14"/>
      <c r="B177" s="14"/>
      <c r="C177" s="14"/>
      <c r="D177" s="14"/>
      <c r="E177" s="15"/>
      <c r="F177" s="14"/>
      <c r="G177" s="16"/>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c r="AR177" s="14"/>
      <c r="AS177" s="14"/>
      <c r="AT177" s="14"/>
      <c r="AU177" s="14"/>
      <c r="AV177" s="14"/>
      <c r="AW177" s="14"/>
      <c r="AX177" s="14"/>
      <c r="AY177" s="14"/>
      <c r="AZ177" s="14"/>
      <c r="BA177" s="14"/>
      <c r="BB177" s="14"/>
      <c r="BC177" s="14"/>
      <c r="BD177" s="14"/>
      <c r="BE177" s="14"/>
      <c r="BF177" s="14"/>
      <c r="BG177" s="14"/>
      <c r="BH177" s="14"/>
      <c r="BI177" s="14"/>
      <c r="BJ177" s="14"/>
      <c r="BK177" s="14"/>
      <c r="BL177" s="14"/>
      <c r="BM177" s="14"/>
      <c r="BN177" s="14"/>
      <c r="BO177" s="14"/>
      <c r="BP177" s="14"/>
      <c r="BQ177" s="14"/>
      <c r="BR177" s="14"/>
      <c r="BS177" s="14"/>
      <c r="BT177" s="14"/>
      <c r="BU177" s="14"/>
      <c r="BV177" s="14"/>
      <c r="BW177" s="14"/>
      <c r="BX177" s="14"/>
      <c r="BY177" s="14"/>
      <c r="BZ177" s="14"/>
      <c r="CA177" s="14"/>
      <c r="CB177" s="14"/>
      <c r="CC177" s="14"/>
      <c r="CD177" s="14"/>
      <c r="CE177" s="14"/>
      <c r="CF177" s="14"/>
      <c r="CG177" s="14"/>
      <c r="CH177" s="14"/>
      <c r="CI177" s="14"/>
      <c r="CJ177" s="14"/>
      <c r="CK177" s="14"/>
      <c r="CL177" s="14"/>
      <c r="CM177" s="14"/>
      <c r="CN177" s="14"/>
      <c r="CO177" s="14"/>
      <c r="CP177" s="14"/>
      <c r="CQ177" s="14"/>
      <c r="CR177" s="14"/>
      <c r="CS177" s="14"/>
      <c r="CT177" s="14"/>
      <c r="CU177" s="14"/>
      <c r="CV177" s="14"/>
      <c r="CW177" s="14"/>
      <c r="CX177" s="14"/>
      <c r="CY177" s="14"/>
    </row>
    <row r="178" spans="1:103" ht="15.75" customHeight="1">
      <c r="A178" s="14"/>
      <c r="B178" s="14"/>
      <c r="C178" s="14"/>
      <c r="D178" s="14"/>
      <c r="E178" s="15"/>
      <c r="F178" s="14"/>
      <c r="G178" s="16"/>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c r="AR178" s="14"/>
      <c r="AS178" s="14"/>
      <c r="AT178" s="14"/>
      <c r="AU178" s="14"/>
      <c r="AV178" s="14"/>
      <c r="AW178" s="14"/>
      <c r="AX178" s="14"/>
      <c r="AY178" s="14"/>
      <c r="AZ178" s="14"/>
      <c r="BA178" s="14"/>
      <c r="BB178" s="14"/>
      <c r="BC178" s="14"/>
      <c r="BD178" s="14"/>
      <c r="BE178" s="14"/>
      <c r="BF178" s="14"/>
      <c r="BG178" s="14"/>
      <c r="BH178" s="14"/>
      <c r="BI178" s="14"/>
      <c r="BJ178" s="14"/>
      <c r="BK178" s="14"/>
      <c r="BL178" s="14"/>
      <c r="BM178" s="14"/>
      <c r="BN178" s="14"/>
      <c r="BO178" s="14"/>
      <c r="BP178" s="14"/>
      <c r="BQ178" s="14"/>
      <c r="BR178" s="14"/>
      <c r="BS178" s="14"/>
      <c r="BT178" s="14"/>
      <c r="BU178" s="14"/>
      <c r="BV178" s="14"/>
      <c r="BW178" s="14"/>
      <c r="BX178" s="14"/>
      <c r="BY178" s="14"/>
      <c r="BZ178" s="14"/>
      <c r="CA178" s="14"/>
      <c r="CB178" s="14"/>
      <c r="CC178" s="14"/>
      <c r="CD178" s="14"/>
      <c r="CE178" s="14"/>
      <c r="CF178" s="14"/>
      <c r="CG178" s="14"/>
      <c r="CH178" s="14"/>
      <c r="CI178" s="14"/>
      <c r="CJ178" s="14"/>
      <c r="CK178" s="14"/>
      <c r="CL178" s="14"/>
      <c r="CM178" s="14"/>
      <c r="CN178" s="14"/>
      <c r="CO178" s="14"/>
      <c r="CP178" s="14"/>
      <c r="CQ178" s="14"/>
      <c r="CR178" s="14"/>
      <c r="CS178" s="14"/>
      <c r="CT178" s="14"/>
      <c r="CU178" s="14"/>
      <c r="CV178" s="14"/>
      <c r="CW178" s="14"/>
      <c r="CX178" s="14"/>
      <c r="CY178" s="14"/>
    </row>
    <row r="179" spans="1:103" ht="15.75" customHeight="1">
      <c r="A179" s="14"/>
      <c r="B179" s="14"/>
      <c r="C179" s="14"/>
      <c r="D179" s="14"/>
      <c r="E179" s="15"/>
      <c r="F179" s="14"/>
      <c r="G179" s="16"/>
      <c r="H179" s="14"/>
      <c r="I179" s="14"/>
      <c r="J179" s="14"/>
      <c r="K179" s="14"/>
      <c r="L179" s="14"/>
      <c r="M179" s="14"/>
      <c r="N179" s="14"/>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c r="AR179" s="14"/>
      <c r="AS179" s="14"/>
      <c r="AT179" s="14"/>
      <c r="AU179" s="14"/>
      <c r="AV179" s="14"/>
      <c r="AW179" s="14"/>
      <c r="AX179" s="14"/>
      <c r="AY179" s="14"/>
      <c r="AZ179" s="14"/>
      <c r="BA179" s="14"/>
      <c r="BB179" s="14"/>
      <c r="BC179" s="14"/>
      <c r="BD179" s="14"/>
      <c r="BE179" s="14"/>
      <c r="BF179" s="14"/>
      <c r="BG179" s="14"/>
      <c r="BH179" s="14"/>
      <c r="BI179" s="14"/>
      <c r="BJ179" s="14"/>
      <c r="BK179" s="14"/>
      <c r="BL179" s="14"/>
      <c r="BM179" s="14"/>
      <c r="BN179" s="14"/>
      <c r="BO179" s="14"/>
      <c r="BP179" s="14"/>
      <c r="BQ179" s="14"/>
      <c r="BR179" s="14"/>
      <c r="BS179" s="14"/>
      <c r="BT179" s="14"/>
      <c r="BU179" s="14"/>
      <c r="BV179" s="14"/>
      <c r="BW179" s="14"/>
      <c r="BX179" s="14"/>
      <c r="BY179" s="14"/>
      <c r="BZ179" s="14"/>
      <c r="CA179" s="14"/>
      <c r="CB179" s="14"/>
      <c r="CC179" s="14"/>
      <c r="CD179" s="14"/>
      <c r="CE179" s="14"/>
      <c r="CF179" s="14"/>
      <c r="CG179" s="14"/>
      <c r="CH179" s="14"/>
      <c r="CI179" s="14"/>
      <c r="CJ179" s="14"/>
      <c r="CK179" s="14"/>
      <c r="CL179" s="14"/>
      <c r="CM179" s="14"/>
      <c r="CN179" s="14"/>
      <c r="CO179" s="14"/>
      <c r="CP179" s="14"/>
      <c r="CQ179" s="14"/>
      <c r="CR179" s="14"/>
      <c r="CS179" s="14"/>
      <c r="CT179" s="14"/>
      <c r="CU179" s="14"/>
      <c r="CV179" s="14"/>
      <c r="CW179" s="14"/>
      <c r="CX179" s="14"/>
      <c r="CY179" s="14"/>
    </row>
    <row r="180" spans="1:103" ht="15.75" customHeight="1">
      <c r="A180" s="14"/>
      <c r="B180" s="14"/>
      <c r="C180" s="14"/>
      <c r="D180" s="14"/>
      <c r="E180" s="15"/>
      <c r="F180" s="14"/>
      <c r="G180" s="16"/>
      <c r="H180" s="14"/>
      <c r="I180" s="14"/>
      <c r="J180" s="14"/>
      <c r="K180" s="14"/>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4"/>
      <c r="AZ180" s="14"/>
      <c r="BA180" s="14"/>
      <c r="BB180" s="14"/>
      <c r="BC180" s="14"/>
      <c r="BD180" s="14"/>
      <c r="BE180" s="14"/>
      <c r="BF180" s="14"/>
      <c r="BG180" s="14"/>
      <c r="BH180" s="14"/>
      <c r="BI180" s="14"/>
      <c r="BJ180" s="14"/>
      <c r="BK180" s="14"/>
      <c r="BL180" s="14"/>
      <c r="BM180" s="14"/>
      <c r="BN180" s="14"/>
      <c r="BO180" s="14"/>
      <c r="BP180" s="14"/>
      <c r="BQ180" s="14"/>
      <c r="BR180" s="14"/>
      <c r="BS180" s="14"/>
      <c r="BT180" s="14"/>
      <c r="BU180" s="14"/>
      <c r="BV180" s="14"/>
      <c r="BW180" s="14"/>
      <c r="BX180" s="14"/>
      <c r="BY180" s="14"/>
      <c r="BZ180" s="14"/>
      <c r="CA180" s="14"/>
      <c r="CB180" s="14"/>
      <c r="CC180" s="14"/>
      <c r="CD180" s="14"/>
      <c r="CE180" s="14"/>
      <c r="CF180" s="14"/>
      <c r="CG180" s="14"/>
      <c r="CH180" s="14"/>
      <c r="CI180" s="14"/>
      <c r="CJ180" s="14"/>
      <c r="CK180" s="14"/>
      <c r="CL180" s="14"/>
      <c r="CM180" s="14"/>
      <c r="CN180" s="14"/>
      <c r="CO180" s="14"/>
      <c r="CP180" s="14"/>
      <c r="CQ180" s="14"/>
      <c r="CR180" s="14"/>
      <c r="CS180" s="14"/>
      <c r="CT180" s="14"/>
      <c r="CU180" s="14"/>
      <c r="CV180" s="14"/>
      <c r="CW180" s="14"/>
      <c r="CX180" s="14"/>
      <c r="CY180" s="14"/>
    </row>
    <row r="181" spans="1:103" ht="15.75" customHeight="1">
      <c r="A181" s="14"/>
      <c r="B181" s="14"/>
      <c r="C181" s="14"/>
      <c r="D181" s="14"/>
      <c r="E181" s="15"/>
      <c r="F181" s="14"/>
      <c r="G181" s="16"/>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c r="AR181" s="14"/>
      <c r="AS181" s="14"/>
      <c r="AT181" s="14"/>
      <c r="AU181" s="14"/>
      <c r="AV181" s="14"/>
      <c r="AW181" s="14"/>
      <c r="AX181" s="14"/>
      <c r="AY181" s="14"/>
      <c r="AZ181" s="14"/>
      <c r="BA181" s="14"/>
      <c r="BB181" s="14"/>
      <c r="BC181" s="14"/>
      <c r="BD181" s="14"/>
      <c r="BE181" s="14"/>
      <c r="BF181" s="14"/>
      <c r="BG181" s="14"/>
      <c r="BH181" s="14"/>
      <c r="BI181" s="14"/>
      <c r="BJ181" s="14"/>
      <c r="BK181" s="14"/>
      <c r="BL181" s="14"/>
      <c r="BM181" s="14"/>
      <c r="BN181" s="14"/>
      <c r="BO181" s="14"/>
      <c r="BP181" s="14"/>
      <c r="BQ181" s="14"/>
      <c r="BR181" s="14"/>
      <c r="BS181" s="14"/>
      <c r="BT181" s="14"/>
      <c r="BU181" s="14"/>
      <c r="BV181" s="14"/>
      <c r="BW181" s="14"/>
      <c r="BX181" s="14"/>
      <c r="BY181" s="14"/>
      <c r="BZ181" s="14"/>
      <c r="CA181" s="14"/>
      <c r="CB181" s="14"/>
      <c r="CC181" s="14"/>
      <c r="CD181" s="14"/>
      <c r="CE181" s="14"/>
      <c r="CF181" s="14"/>
      <c r="CG181" s="14"/>
      <c r="CH181" s="14"/>
      <c r="CI181" s="14"/>
      <c r="CJ181" s="14"/>
      <c r="CK181" s="14"/>
      <c r="CL181" s="14"/>
      <c r="CM181" s="14"/>
      <c r="CN181" s="14"/>
      <c r="CO181" s="14"/>
      <c r="CP181" s="14"/>
      <c r="CQ181" s="14"/>
      <c r="CR181" s="14"/>
      <c r="CS181" s="14"/>
      <c r="CT181" s="14"/>
      <c r="CU181" s="14"/>
      <c r="CV181" s="14"/>
      <c r="CW181" s="14"/>
      <c r="CX181" s="14"/>
      <c r="CY181" s="14"/>
    </row>
    <row r="182" spans="1:103" ht="15.75" customHeight="1">
      <c r="A182" s="14"/>
      <c r="B182" s="14"/>
      <c r="C182" s="14"/>
      <c r="D182" s="14"/>
      <c r="E182" s="15"/>
      <c r="F182" s="14"/>
      <c r="G182" s="16"/>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c r="AR182" s="14"/>
      <c r="AS182" s="14"/>
      <c r="AT182" s="14"/>
      <c r="AU182" s="14"/>
      <c r="AV182" s="14"/>
      <c r="AW182" s="14"/>
      <c r="AX182" s="14"/>
      <c r="AY182" s="14"/>
      <c r="AZ182" s="14"/>
      <c r="BA182" s="14"/>
      <c r="BB182" s="14"/>
      <c r="BC182" s="14"/>
      <c r="BD182" s="14"/>
      <c r="BE182" s="14"/>
      <c r="BF182" s="14"/>
      <c r="BG182" s="14"/>
      <c r="BH182" s="14"/>
      <c r="BI182" s="14"/>
      <c r="BJ182" s="14"/>
      <c r="BK182" s="14"/>
      <c r="BL182" s="14"/>
      <c r="BM182" s="14"/>
      <c r="BN182" s="14"/>
      <c r="BO182" s="14"/>
      <c r="BP182" s="14"/>
      <c r="BQ182" s="14"/>
      <c r="BR182" s="14"/>
      <c r="BS182" s="14"/>
      <c r="BT182" s="14"/>
      <c r="BU182" s="14"/>
      <c r="BV182" s="14"/>
      <c r="BW182" s="14"/>
      <c r="BX182" s="14"/>
      <c r="BY182" s="14"/>
      <c r="BZ182" s="14"/>
      <c r="CA182" s="14"/>
      <c r="CB182" s="14"/>
      <c r="CC182" s="14"/>
      <c r="CD182" s="14"/>
      <c r="CE182" s="14"/>
      <c r="CF182" s="14"/>
      <c r="CG182" s="14"/>
      <c r="CH182" s="14"/>
      <c r="CI182" s="14"/>
      <c r="CJ182" s="14"/>
      <c r="CK182" s="14"/>
      <c r="CL182" s="14"/>
      <c r="CM182" s="14"/>
      <c r="CN182" s="14"/>
      <c r="CO182" s="14"/>
      <c r="CP182" s="14"/>
      <c r="CQ182" s="14"/>
      <c r="CR182" s="14"/>
      <c r="CS182" s="14"/>
      <c r="CT182" s="14"/>
      <c r="CU182" s="14"/>
      <c r="CV182" s="14"/>
      <c r="CW182" s="14"/>
      <c r="CX182" s="14"/>
      <c r="CY182" s="14"/>
    </row>
    <row r="183" spans="1:103" ht="15.75" customHeight="1">
      <c r="A183" s="14"/>
      <c r="B183" s="14"/>
      <c r="C183" s="14"/>
      <c r="D183" s="14"/>
      <c r="E183" s="15"/>
      <c r="F183" s="14"/>
      <c r="G183" s="16"/>
      <c r="H183" s="14"/>
      <c r="I183" s="14"/>
      <c r="J183" s="14"/>
      <c r="K183" s="14"/>
      <c r="L183" s="14"/>
      <c r="M183" s="14"/>
      <c r="N183" s="14"/>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c r="AR183" s="14"/>
      <c r="AS183" s="14"/>
      <c r="AT183" s="14"/>
      <c r="AU183" s="14"/>
      <c r="AV183" s="14"/>
      <c r="AW183" s="14"/>
      <c r="AX183" s="14"/>
      <c r="AY183" s="14"/>
      <c r="AZ183" s="14"/>
      <c r="BA183" s="14"/>
      <c r="BB183" s="14"/>
      <c r="BC183" s="14"/>
      <c r="BD183" s="14"/>
      <c r="BE183" s="14"/>
      <c r="BF183" s="14"/>
      <c r="BG183" s="14"/>
      <c r="BH183" s="14"/>
      <c r="BI183" s="14"/>
      <c r="BJ183" s="14"/>
      <c r="BK183" s="14"/>
      <c r="BL183" s="14"/>
      <c r="BM183" s="14"/>
      <c r="BN183" s="14"/>
      <c r="BO183" s="14"/>
      <c r="BP183" s="14"/>
      <c r="BQ183" s="14"/>
      <c r="BR183" s="14"/>
      <c r="BS183" s="14"/>
      <c r="BT183" s="14"/>
      <c r="BU183" s="14"/>
      <c r="BV183" s="14"/>
      <c r="BW183" s="14"/>
      <c r="BX183" s="14"/>
      <c r="BY183" s="14"/>
      <c r="BZ183" s="14"/>
      <c r="CA183" s="14"/>
      <c r="CB183" s="14"/>
      <c r="CC183" s="14"/>
      <c r="CD183" s="14"/>
      <c r="CE183" s="14"/>
      <c r="CF183" s="14"/>
      <c r="CG183" s="14"/>
      <c r="CH183" s="14"/>
      <c r="CI183" s="14"/>
      <c r="CJ183" s="14"/>
      <c r="CK183" s="14"/>
      <c r="CL183" s="14"/>
      <c r="CM183" s="14"/>
      <c r="CN183" s="14"/>
      <c r="CO183" s="14"/>
      <c r="CP183" s="14"/>
      <c r="CQ183" s="14"/>
      <c r="CR183" s="14"/>
      <c r="CS183" s="14"/>
      <c r="CT183" s="14"/>
      <c r="CU183" s="14"/>
      <c r="CV183" s="14"/>
      <c r="CW183" s="14"/>
      <c r="CX183" s="14"/>
      <c r="CY183" s="14"/>
    </row>
    <row r="184" spans="1:103" ht="15.75" customHeight="1">
      <c r="A184" s="14"/>
      <c r="B184" s="14"/>
      <c r="C184" s="14"/>
      <c r="D184" s="14"/>
      <c r="E184" s="15"/>
      <c r="F184" s="14"/>
      <c r="G184" s="16"/>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4"/>
      <c r="AP184" s="14"/>
      <c r="AQ184" s="14"/>
      <c r="AR184" s="14"/>
      <c r="AS184" s="14"/>
      <c r="AT184" s="14"/>
      <c r="AU184" s="14"/>
      <c r="AV184" s="14"/>
      <c r="AW184" s="14"/>
      <c r="AX184" s="14"/>
      <c r="AY184" s="14"/>
      <c r="AZ184" s="14"/>
      <c r="BA184" s="14"/>
      <c r="BB184" s="14"/>
      <c r="BC184" s="14"/>
      <c r="BD184" s="14"/>
      <c r="BE184" s="14"/>
      <c r="BF184" s="14"/>
      <c r="BG184" s="14"/>
      <c r="BH184" s="14"/>
      <c r="BI184" s="14"/>
      <c r="BJ184" s="14"/>
      <c r="BK184" s="14"/>
      <c r="BL184" s="14"/>
      <c r="BM184" s="14"/>
      <c r="BN184" s="14"/>
      <c r="BO184" s="14"/>
      <c r="BP184" s="14"/>
      <c r="BQ184" s="14"/>
      <c r="BR184" s="14"/>
      <c r="BS184" s="14"/>
      <c r="BT184" s="14"/>
      <c r="BU184" s="14"/>
      <c r="BV184" s="14"/>
      <c r="BW184" s="14"/>
      <c r="BX184" s="14"/>
      <c r="BY184" s="14"/>
      <c r="BZ184" s="14"/>
      <c r="CA184" s="14"/>
      <c r="CB184" s="14"/>
      <c r="CC184" s="14"/>
      <c r="CD184" s="14"/>
      <c r="CE184" s="14"/>
      <c r="CF184" s="14"/>
      <c r="CG184" s="14"/>
      <c r="CH184" s="14"/>
      <c r="CI184" s="14"/>
      <c r="CJ184" s="14"/>
      <c r="CK184" s="14"/>
      <c r="CL184" s="14"/>
      <c r="CM184" s="14"/>
      <c r="CN184" s="14"/>
      <c r="CO184" s="14"/>
      <c r="CP184" s="14"/>
      <c r="CQ184" s="14"/>
      <c r="CR184" s="14"/>
      <c r="CS184" s="14"/>
      <c r="CT184" s="14"/>
      <c r="CU184" s="14"/>
      <c r="CV184" s="14"/>
      <c r="CW184" s="14"/>
      <c r="CX184" s="14"/>
      <c r="CY184" s="14"/>
    </row>
    <row r="185" spans="1:103" ht="15.75" customHeight="1">
      <c r="A185" s="14"/>
      <c r="B185" s="14"/>
      <c r="C185" s="14"/>
      <c r="D185" s="14"/>
      <c r="E185" s="15"/>
      <c r="F185" s="14"/>
      <c r="G185" s="16"/>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14"/>
      <c r="AH185" s="14"/>
      <c r="AI185" s="14"/>
      <c r="AJ185" s="14"/>
      <c r="AK185" s="14"/>
      <c r="AL185" s="14"/>
      <c r="AM185" s="14"/>
      <c r="AN185" s="14"/>
      <c r="AO185" s="14"/>
      <c r="AP185" s="14"/>
      <c r="AQ185" s="14"/>
      <c r="AR185" s="14"/>
      <c r="AS185" s="14"/>
      <c r="AT185" s="14"/>
      <c r="AU185" s="14"/>
      <c r="AV185" s="14"/>
      <c r="AW185" s="14"/>
      <c r="AX185" s="14"/>
      <c r="AY185" s="14"/>
      <c r="AZ185" s="14"/>
      <c r="BA185" s="14"/>
      <c r="BB185" s="14"/>
      <c r="BC185" s="14"/>
      <c r="BD185" s="14"/>
      <c r="BE185" s="14"/>
      <c r="BF185" s="14"/>
      <c r="BG185" s="14"/>
      <c r="BH185" s="14"/>
      <c r="BI185" s="14"/>
      <c r="BJ185" s="14"/>
      <c r="BK185" s="14"/>
      <c r="BL185" s="14"/>
      <c r="BM185" s="14"/>
      <c r="BN185" s="14"/>
      <c r="BO185" s="14"/>
      <c r="BP185" s="14"/>
      <c r="BQ185" s="14"/>
      <c r="BR185" s="14"/>
      <c r="BS185" s="14"/>
      <c r="BT185" s="14"/>
      <c r="BU185" s="14"/>
      <c r="BV185" s="14"/>
      <c r="BW185" s="14"/>
      <c r="BX185" s="14"/>
      <c r="BY185" s="14"/>
      <c r="BZ185" s="14"/>
      <c r="CA185" s="14"/>
      <c r="CB185" s="14"/>
      <c r="CC185" s="14"/>
      <c r="CD185" s="14"/>
      <c r="CE185" s="14"/>
      <c r="CF185" s="14"/>
      <c r="CG185" s="14"/>
      <c r="CH185" s="14"/>
      <c r="CI185" s="14"/>
      <c r="CJ185" s="14"/>
      <c r="CK185" s="14"/>
      <c r="CL185" s="14"/>
      <c r="CM185" s="14"/>
      <c r="CN185" s="14"/>
      <c r="CO185" s="14"/>
      <c r="CP185" s="14"/>
      <c r="CQ185" s="14"/>
      <c r="CR185" s="14"/>
      <c r="CS185" s="14"/>
      <c r="CT185" s="14"/>
      <c r="CU185" s="14"/>
      <c r="CV185" s="14"/>
      <c r="CW185" s="14"/>
      <c r="CX185" s="14"/>
      <c r="CY185" s="14"/>
    </row>
    <row r="186" spans="1:103" ht="15.75" customHeight="1">
      <c r="A186" s="14"/>
      <c r="B186" s="14"/>
      <c r="C186" s="14"/>
      <c r="D186" s="14"/>
      <c r="E186" s="15"/>
      <c r="F186" s="14"/>
      <c r="G186" s="16"/>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14"/>
      <c r="AH186" s="14"/>
      <c r="AI186" s="14"/>
      <c r="AJ186" s="14"/>
      <c r="AK186" s="14"/>
      <c r="AL186" s="14"/>
      <c r="AM186" s="14"/>
      <c r="AN186" s="14"/>
      <c r="AO186" s="14"/>
      <c r="AP186" s="14"/>
      <c r="AQ186" s="14"/>
      <c r="AR186" s="14"/>
      <c r="AS186" s="14"/>
      <c r="AT186" s="14"/>
      <c r="AU186" s="14"/>
      <c r="AV186" s="14"/>
      <c r="AW186" s="14"/>
      <c r="AX186" s="14"/>
      <c r="AY186" s="14"/>
      <c r="AZ186" s="14"/>
      <c r="BA186" s="14"/>
      <c r="BB186" s="14"/>
      <c r="BC186" s="14"/>
      <c r="BD186" s="14"/>
      <c r="BE186" s="14"/>
      <c r="BF186" s="14"/>
      <c r="BG186" s="14"/>
      <c r="BH186" s="14"/>
      <c r="BI186" s="14"/>
      <c r="BJ186" s="14"/>
      <c r="BK186" s="14"/>
      <c r="BL186" s="14"/>
      <c r="BM186" s="14"/>
      <c r="BN186" s="14"/>
      <c r="BO186" s="14"/>
      <c r="BP186" s="14"/>
      <c r="BQ186" s="14"/>
      <c r="BR186" s="14"/>
      <c r="BS186" s="14"/>
      <c r="BT186" s="14"/>
      <c r="BU186" s="14"/>
      <c r="BV186" s="14"/>
      <c r="BW186" s="14"/>
      <c r="BX186" s="14"/>
      <c r="BY186" s="14"/>
      <c r="BZ186" s="14"/>
      <c r="CA186" s="14"/>
      <c r="CB186" s="14"/>
      <c r="CC186" s="14"/>
      <c r="CD186" s="14"/>
      <c r="CE186" s="14"/>
      <c r="CF186" s="14"/>
      <c r="CG186" s="14"/>
      <c r="CH186" s="14"/>
      <c r="CI186" s="14"/>
      <c r="CJ186" s="14"/>
      <c r="CK186" s="14"/>
      <c r="CL186" s="14"/>
      <c r="CM186" s="14"/>
      <c r="CN186" s="14"/>
      <c r="CO186" s="14"/>
      <c r="CP186" s="14"/>
      <c r="CQ186" s="14"/>
      <c r="CR186" s="14"/>
      <c r="CS186" s="14"/>
      <c r="CT186" s="14"/>
      <c r="CU186" s="14"/>
      <c r="CV186" s="14"/>
      <c r="CW186" s="14"/>
      <c r="CX186" s="14"/>
      <c r="CY186" s="14"/>
    </row>
    <row r="187" spans="1:103" ht="15.75" customHeight="1">
      <c r="A187" s="14"/>
      <c r="B187" s="14"/>
      <c r="C187" s="14"/>
      <c r="D187" s="14"/>
      <c r="E187" s="15"/>
      <c r="F187" s="14"/>
      <c r="G187" s="16"/>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14"/>
      <c r="AH187" s="14"/>
      <c r="AI187" s="14"/>
      <c r="AJ187" s="14"/>
      <c r="AK187" s="14"/>
      <c r="AL187" s="14"/>
      <c r="AM187" s="14"/>
      <c r="AN187" s="14"/>
      <c r="AO187" s="14"/>
      <c r="AP187" s="14"/>
      <c r="AQ187" s="14"/>
      <c r="AR187" s="14"/>
      <c r="AS187" s="14"/>
      <c r="AT187" s="14"/>
      <c r="AU187" s="14"/>
      <c r="AV187" s="14"/>
      <c r="AW187" s="14"/>
      <c r="AX187" s="14"/>
      <c r="AY187" s="14"/>
      <c r="AZ187" s="14"/>
      <c r="BA187" s="14"/>
      <c r="BB187" s="14"/>
      <c r="BC187" s="14"/>
      <c r="BD187" s="14"/>
      <c r="BE187" s="14"/>
      <c r="BF187" s="14"/>
      <c r="BG187" s="14"/>
      <c r="BH187" s="14"/>
      <c r="BI187" s="14"/>
      <c r="BJ187" s="14"/>
      <c r="BK187" s="14"/>
      <c r="BL187" s="14"/>
      <c r="BM187" s="14"/>
      <c r="BN187" s="14"/>
      <c r="BO187" s="14"/>
      <c r="BP187" s="14"/>
      <c r="BQ187" s="14"/>
      <c r="BR187" s="14"/>
      <c r="BS187" s="14"/>
      <c r="BT187" s="14"/>
      <c r="BU187" s="14"/>
      <c r="BV187" s="14"/>
      <c r="BW187" s="14"/>
      <c r="BX187" s="14"/>
      <c r="BY187" s="14"/>
      <c r="BZ187" s="14"/>
      <c r="CA187" s="14"/>
      <c r="CB187" s="14"/>
      <c r="CC187" s="14"/>
      <c r="CD187" s="14"/>
      <c r="CE187" s="14"/>
      <c r="CF187" s="14"/>
      <c r="CG187" s="14"/>
      <c r="CH187" s="14"/>
      <c r="CI187" s="14"/>
      <c r="CJ187" s="14"/>
      <c r="CK187" s="14"/>
      <c r="CL187" s="14"/>
      <c r="CM187" s="14"/>
      <c r="CN187" s="14"/>
      <c r="CO187" s="14"/>
      <c r="CP187" s="14"/>
      <c r="CQ187" s="14"/>
      <c r="CR187" s="14"/>
      <c r="CS187" s="14"/>
      <c r="CT187" s="14"/>
      <c r="CU187" s="14"/>
      <c r="CV187" s="14"/>
      <c r="CW187" s="14"/>
      <c r="CX187" s="14"/>
      <c r="CY187" s="14"/>
    </row>
    <row r="188" spans="1:103" ht="15.75" customHeight="1">
      <c r="A188" s="14"/>
      <c r="B188" s="14"/>
      <c r="C188" s="14"/>
      <c r="D188" s="14"/>
      <c r="E188" s="15"/>
      <c r="F188" s="14"/>
      <c r="G188" s="16"/>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14"/>
      <c r="AH188" s="14"/>
      <c r="AI188" s="14"/>
      <c r="AJ188" s="14"/>
      <c r="AK188" s="14"/>
      <c r="AL188" s="14"/>
      <c r="AM188" s="14"/>
      <c r="AN188" s="14"/>
      <c r="AO188" s="14"/>
      <c r="AP188" s="14"/>
      <c r="AQ188" s="14"/>
      <c r="AR188" s="14"/>
      <c r="AS188" s="14"/>
      <c r="AT188" s="14"/>
      <c r="AU188" s="14"/>
      <c r="AV188" s="14"/>
      <c r="AW188" s="14"/>
      <c r="AX188" s="14"/>
      <c r="AY188" s="14"/>
      <c r="AZ188" s="14"/>
      <c r="BA188" s="14"/>
      <c r="BB188" s="14"/>
      <c r="BC188" s="14"/>
      <c r="BD188" s="14"/>
      <c r="BE188" s="14"/>
      <c r="BF188" s="14"/>
      <c r="BG188" s="14"/>
      <c r="BH188" s="14"/>
      <c r="BI188" s="14"/>
      <c r="BJ188" s="14"/>
      <c r="BK188" s="14"/>
      <c r="BL188" s="14"/>
      <c r="BM188" s="14"/>
      <c r="BN188" s="14"/>
      <c r="BO188" s="14"/>
      <c r="BP188" s="14"/>
      <c r="BQ188" s="14"/>
      <c r="BR188" s="14"/>
      <c r="BS188" s="14"/>
      <c r="BT188" s="14"/>
      <c r="BU188" s="14"/>
      <c r="BV188" s="14"/>
      <c r="BW188" s="14"/>
      <c r="BX188" s="14"/>
      <c r="BY188" s="14"/>
      <c r="BZ188" s="14"/>
      <c r="CA188" s="14"/>
      <c r="CB188" s="14"/>
      <c r="CC188" s="14"/>
      <c r="CD188" s="14"/>
      <c r="CE188" s="14"/>
      <c r="CF188" s="14"/>
      <c r="CG188" s="14"/>
      <c r="CH188" s="14"/>
      <c r="CI188" s="14"/>
      <c r="CJ188" s="14"/>
      <c r="CK188" s="14"/>
      <c r="CL188" s="14"/>
      <c r="CM188" s="14"/>
      <c r="CN188" s="14"/>
      <c r="CO188" s="14"/>
      <c r="CP188" s="14"/>
      <c r="CQ188" s="14"/>
      <c r="CR188" s="14"/>
      <c r="CS188" s="14"/>
      <c r="CT188" s="14"/>
      <c r="CU188" s="14"/>
      <c r="CV188" s="14"/>
      <c r="CW188" s="14"/>
      <c r="CX188" s="14"/>
      <c r="CY188" s="14"/>
    </row>
    <row r="189" spans="1:103" ht="15.75" customHeight="1">
      <c r="A189" s="14"/>
      <c r="B189" s="14"/>
      <c r="C189" s="14"/>
      <c r="D189" s="14"/>
      <c r="E189" s="15"/>
      <c r="F189" s="14"/>
      <c r="G189" s="16"/>
      <c r="H189" s="14"/>
      <c r="I189" s="14"/>
      <c r="J189" s="14"/>
      <c r="K189" s="14"/>
      <c r="L189" s="14"/>
      <c r="M189" s="14"/>
      <c r="N189" s="14"/>
      <c r="O189" s="14"/>
      <c r="P189" s="14"/>
      <c r="Q189" s="14"/>
      <c r="R189" s="14"/>
      <c r="S189" s="14"/>
      <c r="T189" s="14"/>
      <c r="U189" s="14"/>
      <c r="V189" s="14"/>
      <c r="W189" s="14"/>
      <c r="X189" s="14"/>
      <c r="Y189" s="14"/>
      <c r="Z189" s="14"/>
      <c r="AA189" s="14"/>
      <c r="AB189" s="14"/>
      <c r="AC189" s="14"/>
      <c r="AD189" s="14"/>
      <c r="AE189" s="14"/>
      <c r="AF189" s="14"/>
      <c r="AG189" s="14"/>
      <c r="AH189" s="14"/>
      <c r="AI189" s="14"/>
      <c r="AJ189" s="14"/>
      <c r="AK189" s="14"/>
      <c r="AL189" s="14"/>
      <c r="AM189" s="14"/>
      <c r="AN189" s="14"/>
      <c r="AO189" s="14"/>
      <c r="AP189" s="14"/>
      <c r="AQ189" s="14"/>
      <c r="AR189" s="14"/>
      <c r="AS189" s="14"/>
      <c r="AT189" s="14"/>
      <c r="AU189" s="14"/>
      <c r="AV189" s="14"/>
      <c r="AW189" s="14"/>
      <c r="AX189" s="14"/>
      <c r="AY189" s="14"/>
      <c r="AZ189" s="14"/>
      <c r="BA189" s="14"/>
      <c r="BB189" s="14"/>
      <c r="BC189" s="14"/>
      <c r="BD189" s="14"/>
      <c r="BE189" s="14"/>
      <c r="BF189" s="14"/>
      <c r="BG189" s="14"/>
      <c r="BH189" s="14"/>
      <c r="BI189" s="14"/>
      <c r="BJ189" s="14"/>
      <c r="BK189" s="14"/>
      <c r="BL189" s="14"/>
      <c r="BM189" s="14"/>
      <c r="BN189" s="14"/>
      <c r="BO189" s="14"/>
      <c r="BP189" s="14"/>
      <c r="BQ189" s="14"/>
      <c r="BR189" s="14"/>
      <c r="BS189" s="14"/>
      <c r="BT189" s="14"/>
      <c r="BU189" s="14"/>
      <c r="BV189" s="14"/>
      <c r="BW189" s="14"/>
      <c r="BX189" s="14"/>
      <c r="BY189" s="14"/>
      <c r="BZ189" s="14"/>
      <c r="CA189" s="14"/>
      <c r="CB189" s="14"/>
      <c r="CC189" s="14"/>
      <c r="CD189" s="14"/>
      <c r="CE189" s="14"/>
      <c r="CF189" s="14"/>
      <c r="CG189" s="14"/>
      <c r="CH189" s="14"/>
      <c r="CI189" s="14"/>
      <c r="CJ189" s="14"/>
      <c r="CK189" s="14"/>
      <c r="CL189" s="14"/>
      <c r="CM189" s="14"/>
      <c r="CN189" s="14"/>
      <c r="CO189" s="14"/>
      <c r="CP189" s="14"/>
      <c r="CQ189" s="14"/>
      <c r="CR189" s="14"/>
      <c r="CS189" s="14"/>
      <c r="CT189" s="14"/>
      <c r="CU189" s="14"/>
      <c r="CV189" s="14"/>
      <c r="CW189" s="14"/>
      <c r="CX189" s="14"/>
      <c r="CY189" s="14"/>
    </row>
    <row r="190" spans="1:103" ht="15.75" customHeight="1">
      <c r="A190" s="14"/>
      <c r="B190" s="14"/>
      <c r="C190" s="14"/>
      <c r="D190" s="14"/>
      <c r="E190" s="15"/>
      <c r="F190" s="14"/>
      <c r="G190" s="16"/>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14"/>
      <c r="AH190" s="14"/>
      <c r="AI190" s="14"/>
      <c r="AJ190" s="14"/>
      <c r="AK190" s="14"/>
      <c r="AL190" s="14"/>
      <c r="AM190" s="14"/>
      <c r="AN190" s="14"/>
      <c r="AO190" s="14"/>
      <c r="AP190" s="14"/>
      <c r="AQ190" s="14"/>
      <c r="AR190" s="14"/>
      <c r="AS190" s="14"/>
      <c r="AT190" s="14"/>
      <c r="AU190" s="14"/>
      <c r="AV190" s="14"/>
      <c r="AW190" s="14"/>
      <c r="AX190" s="14"/>
      <c r="AY190" s="14"/>
      <c r="AZ190" s="14"/>
      <c r="BA190" s="14"/>
      <c r="BB190" s="14"/>
      <c r="BC190" s="14"/>
      <c r="BD190" s="14"/>
      <c r="BE190" s="14"/>
      <c r="BF190" s="14"/>
      <c r="BG190" s="14"/>
      <c r="BH190" s="14"/>
      <c r="BI190" s="14"/>
      <c r="BJ190" s="14"/>
      <c r="BK190" s="14"/>
      <c r="BL190" s="14"/>
      <c r="BM190" s="14"/>
      <c r="BN190" s="14"/>
      <c r="BO190" s="14"/>
      <c r="BP190" s="14"/>
      <c r="BQ190" s="14"/>
      <c r="BR190" s="14"/>
      <c r="BS190" s="14"/>
      <c r="BT190" s="14"/>
      <c r="BU190" s="14"/>
      <c r="BV190" s="14"/>
      <c r="BW190" s="14"/>
      <c r="BX190" s="14"/>
      <c r="BY190" s="14"/>
      <c r="BZ190" s="14"/>
      <c r="CA190" s="14"/>
      <c r="CB190" s="14"/>
      <c r="CC190" s="14"/>
      <c r="CD190" s="14"/>
      <c r="CE190" s="14"/>
      <c r="CF190" s="14"/>
      <c r="CG190" s="14"/>
      <c r="CH190" s="14"/>
      <c r="CI190" s="14"/>
      <c r="CJ190" s="14"/>
      <c r="CK190" s="14"/>
      <c r="CL190" s="14"/>
      <c r="CM190" s="14"/>
      <c r="CN190" s="14"/>
      <c r="CO190" s="14"/>
      <c r="CP190" s="14"/>
      <c r="CQ190" s="14"/>
      <c r="CR190" s="14"/>
      <c r="CS190" s="14"/>
      <c r="CT190" s="14"/>
      <c r="CU190" s="14"/>
      <c r="CV190" s="14"/>
      <c r="CW190" s="14"/>
      <c r="CX190" s="14"/>
      <c r="CY190" s="14"/>
    </row>
    <row r="191" spans="1:103" ht="15.75" customHeight="1">
      <c r="A191" s="14"/>
      <c r="B191" s="14"/>
      <c r="C191" s="14"/>
      <c r="D191" s="14"/>
      <c r="E191" s="15"/>
      <c r="F191" s="14"/>
      <c r="G191" s="16"/>
      <c r="H191" s="14"/>
      <c r="I191" s="14"/>
      <c r="J191" s="14"/>
      <c r="K191" s="14"/>
      <c r="L191" s="14"/>
      <c r="M191" s="14"/>
      <c r="N191" s="14"/>
      <c r="O191" s="14"/>
      <c r="P191" s="14"/>
      <c r="Q191" s="14"/>
      <c r="R191" s="14"/>
      <c r="S191" s="14"/>
      <c r="T191" s="14"/>
      <c r="U191" s="14"/>
      <c r="V191" s="14"/>
      <c r="W191" s="14"/>
      <c r="X191" s="14"/>
      <c r="Y191" s="14"/>
      <c r="Z191" s="14"/>
      <c r="AA191" s="14"/>
      <c r="AB191" s="14"/>
      <c r="AC191" s="14"/>
      <c r="AD191" s="14"/>
      <c r="AE191" s="14"/>
      <c r="AF191" s="14"/>
      <c r="AG191" s="14"/>
      <c r="AH191" s="14"/>
      <c r="AI191" s="14"/>
      <c r="AJ191" s="14"/>
      <c r="AK191" s="14"/>
      <c r="AL191" s="14"/>
      <c r="AM191" s="14"/>
      <c r="AN191" s="14"/>
      <c r="AO191" s="14"/>
      <c r="AP191" s="14"/>
      <c r="AQ191" s="14"/>
      <c r="AR191" s="14"/>
      <c r="AS191" s="14"/>
      <c r="AT191" s="14"/>
      <c r="AU191" s="14"/>
      <c r="AV191" s="14"/>
      <c r="AW191" s="14"/>
      <c r="AX191" s="14"/>
      <c r="AY191" s="14"/>
      <c r="AZ191" s="14"/>
      <c r="BA191" s="14"/>
      <c r="BB191" s="14"/>
      <c r="BC191" s="14"/>
      <c r="BD191" s="14"/>
      <c r="BE191" s="14"/>
      <c r="BF191" s="14"/>
      <c r="BG191" s="14"/>
      <c r="BH191" s="14"/>
      <c r="BI191" s="14"/>
      <c r="BJ191" s="14"/>
      <c r="BK191" s="14"/>
      <c r="BL191" s="14"/>
      <c r="BM191" s="14"/>
      <c r="BN191" s="14"/>
      <c r="BO191" s="14"/>
      <c r="BP191" s="14"/>
      <c r="BQ191" s="14"/>
      <c r="BR191" s="14"/>
      <c r="BS191" s="14"/>
      <c r="BT191" s="14"/>
      <c r="BU191" s="14"/>
      <c r="BV191" s="14"/>
      <c r="BW191" s="14"/>
      <c r="BX191" s="14"/>
      <c r="BY191" s="14"/>
      <c r="BZ191" s="14"/>
      <c r="CA191" s="14"/>
      <c r="CB191" s="14"/>
      <c r="CC191" s="14"/>
      <c r="CD191" s="14"/>
      <c r="CE191" s="14"/>
      <c r="CF191" s="14"/>
      <c r="CG191" s="14"/>
      <c r="CH191" s="14"/>
      <c r="CI191" s="14"/>
      <c r="CJ191" s="14"/>
      <c r="CK191" s="14"/>
      <c r="CL191" s="14"/>
      <c r="CM191" s="14"/>
      <c r="CN191" s="14"/>
      <c r="CO191" s="14"/>
      <c r="CP191" s="14"/>
      <c r="CQ191" s="14"/>
      <c r="CR191" s="14"/>
      <c r="CS191" s="14"/>
      <c r="CT191" s="14"/>
      <c r="CU191" s="14"/>
      <c r="CV191" s="14"/>
      <c r="CW191" s="14"/>
      <c r="CX191" s="14"/>
      <c r="CY191" s="14"/>
    </row>
    <row r="192" spans="1:103" ht="15.75" customHeight="1">
      <c r="A192" s="14"/>
      <c r="B192" s="14"/>
      <c r="C192" s="14"/>
      <c r="D192" s="14"/>
      <c r="E192" s="15"/>
      <c r="F192" s="14"/>
      <c r="G192" s="16"/>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14"/>
      <c r="AH192" s="14"/>
      <c r="AI192" s="14"/>
      <c r="AJ192" s="14"/>
      <c r="AK192" s="14"/>
      <c r="AL192" s="14"/>
      <c r="AM192" s="14"/>
      <c r="AN192" s="14"/>
      <c r="AO192" s="14"/>
      <c r="AP192" s="14"/>
      <c r="AQ192" s="14"/>
      <c r="AR192" s="14"/>
      <c r="AS192" s="14"/>
      <c r="AT192" s="14"/>
      <c r="AU192" s="14"/>
      <c r="AV192" s="14"/>
      <c r="AW192" s="14"/>
      <c r="AX192" s="14"/>
      <c r="AY192" s="14"/>
      <c r="AZ192" s="14"/>
      <c r="BA192" s="14"/>
      <c r="BB192" s="14"/>
      <c r="BC192" s="14"/>
      <c r="BD192" s="14"/>
      <c r="BE192" s="14"/>
      <c r="BF192" s="14"/>
      <c r="BG192" s="14"/>
      <c r="BH192" s="14"/>
      <c r="BI192" s="14"/>
      <c r="BJ192" s="14"/>
      <c r="BK192" s="14"/>
      <c r="BL192" s="14"/>
      <c r="BM192" s="14"/>
      <c r="BN192" s="14"/>
      <c r="BO192" s="14"/>
      <c r="BP192" s="14"/>
      <c r="BQ192" s="14"/>
      <c r="BR192" s="14"/>
      <c r="BS192" s="14"/>
      <c r="BT192" s="14"/>
      <c r="BU192" s="14"/>
      <c r="BV192" s="14"/>
      <c r="BW192" s="14"/>
      <c r="BX192" s="14"/>
      <c r="BY192" s="14"/>
      <c r="BZ192" s="14"/>
      <c r="CA192" s="14"/>
      <c r="CB192" s="14"/>
      <c r="CC192" s="14"/>
      <c r="CD192" s="14"/>
      <c r="CE192" s="14"/>
      <c r="CF192" s="14"/>
      <c r="CG192" s="14"/>
      <c r="CH192" s="14"/>
      <c r="CI192" s="14"/>
      <c r="CJ192" s="14"/>
      <c r="CK192" s="14"/>
      <c r="CL192" s="14"/>
      <c r="CM192" s="14"/>
      <c r="CN192" s="14"/>
      <c r="CO192" s="14"/>
      <c r="CP192" s="14"/>
      <c r="CQ192" s="14"/>
      <c r="CR192" s="14"/>
      <c r="CS192" s="14"/>
      <c r="CT192" s="14"/>
      <c r="CU192" s="14"/>
      <c r="CV192" s="14"/>
      <c r="CW192" s="14"/>
      <c r="CX192" s="14"/>
      <c r="CY192" s="14"/>
    </row>
    <row r="193" spans="1:103" ht="15.75" customHeight="1">
      <c r="A193" s="14"/>
      <c r="B193" s="14"/>
      <c r="C193" s="14"/>
      <c r="D193" s="14"/>
      <c r="E193" s="15"/>
      <c r="F193" s="14"/>
      <c r="G193" s="16"/>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14"/>
      <c r="AH193" s="14"/>
      <c r="AI193" s="14"/>
      <c r="AJ193" s="14"/>
      <c r="AK193" s="14"/>
      <c r="AL193" s="14"/>
      <c r="AM193" s="14"/>
      <c r="AN193" s="14"/>
      <c r="AO193" s="14"/>
      <c r="AP193" s="14"/>
      <c r="AQ193" s="14"/>
      <c r="AR193" s="14"/>
      <c r="AS193" s="14"/>
      <c r="AT193" s="14"/>
      <c r="AU193" s="14"/>
      <c r="AV193" s="14"/>
      <c r="AW193" s="14"/>
      <c r="AX193" s="14"/>
      <c r="AY193" s="14"/>
      <c r="AZ193" s="14"/>
      <c r="BA193" s="14"/>
      <c r="BB193" s="14"/>
      <c r="BC193" s="14"/>
      <c r="BD193" s="14"/>
      <c r="BE193" s="14"/>
      <c r="BF193" s="14"/>
      <c r="BG193" s="14"/>
      <c r="BH193" s="14"/>
      <c r="BI193" s="14"/>
      <c r="BJ193" s="14"/>
      <c r="BK193" s="14"/>
      <c r="BL193" s="14"/>
      <c r="BM193" s="14"/>
      <c r="BN193" s="14"/>
      <c r="BO193" s="14"/>
      <c r="BP193" s="14"/>
      <c r="BQ193" s="14"/>
      <c r="BR193" s="14"/>
      <c r="BS193" s="14"/>
      <c r="BT193" s="14"/>
      <c r="BU193" s="14"/>
      <c r="BV193" s="14"/>
      <c r="BW193" s="14"/>
      <c r="BX193" s="14"/>
      <c r="BY193" s="14"/>
      <c r="BZ193" s="14"/>
      <c r="CA193" s="14"/>
      <c r="CB193" s="14"/>
      <c r="CC193" s="14"/>
      <c r="CD193" s="14"/>
      <c r="CE193" s="14"/>
      <c r="CF193" s="14"/>
      <c r="CG193" s="14"/>
      <c r="CH193" s="14"/>
      <c r="CI193" s="14"/>
      <c r="CJ193" s="14"/>
      <c r="CK193" s="14"/>
      <c r="CL193" s="14"/>
      <c r="CM193" s="14"/>
      <c r="CN193" s="14"/>
      <c r="CO193" s="14"/>
      <c r="CP193" s="14"/>
      <c r="CQ193" s="14"/>
      <c r="CR193" s="14"/>
      <c r="CS193" s="14"/>
      <c r="CT193" s="14"/>
      <c r="CU193" s="14"/>
      <c r="CV193" s="14"/>
      <c r="CW193" s="14"/>
      <c r="CX193" s="14"/>
      <c r="CY193" s="14"/>
    </row>
    <row r="194" spans="1:103" ht="15.75" customHeight="1">
      <c r="A194" s="14"/>
      <c r="B194" s="14"/>
      <c r="C194" s="14"/>
      <c r="D194" s="14"/>
      <c r="E194" s="15"/>
      <c r="F194" s="14"/>
      <c r="G194" s="16"/>
      <c r="H194" s="14"/>
      <c r="I194" s="14"/>
      <c r="J194" s="14"/>
      <c r="K194" s="14"/>
      <c r="L194" s="14"/>
      <c r="M194" s="14"/>
      <c r="N194" s="14"/>
      <c r="O194" s="14"/>
      <c r="P194" s="14"/>
      <c r="Q194" s="14"/>
      <c r="R194" s="14"/>
      <c r="S194" s="14"/>
      <c r="T194" s="14"/>
      <c r="U194" s="14"/>
      <c r="V194" s="14"/>
      <c r="W194" s="14"/>
      <c r="X194" s="14"/>
      <c r="Y194" s="14"/>
      <c r="Z194" s="14"/>
      <c r="AA194" s="14"/>
      <c r="AB194" s="14"/>
      <c r="AC194" s="14"/>
      <c r="AD194" s="14"/>
      <c r="AE194" s="14"/>
      <c r="AF194" s="14"/>
      <c r="AG194" s="14"/>
      <c r="AH194" s="14"/>
      <c r="AI194" s="14"/>
      <c r="AJ194" s="14"/>
      <c r="AK194" s="14"/>
      <c r="AL194" s="14"/>
      <c r="AM194" s="14"/>
      <c r="AN194" s="14"/>
      <c r="AO194" s="14"/>
      <c r="AP194" s="14"/>
      <c r="AQ194" s="14"/>
      <c r="AR194" s="14"/>
      <c r="AS194" s="14"/>
      <c r="AT194" s="14"/>
      <c r="AU194" s="14"/>
      <c r="AV194" s="14"/>
      <c r="AW194" s="14"/>
      <c r="AX194" s="14"/>
      <c r="AY194" s="14"/>
      <c r="AZ194" s="14"/>
      <c r="BA194" s="14"/>
      <c r="BB194" s="14"/>
      <c r="BC194" s="14"/>
      <c r="BD194" s="14"/>
      <c r="BE194" s="14"/>
      <c r="BF194" s="14"/>
      <c r="BG194" s="14"/>
      <c r="BH194" s="14"/>
      <c r="BI194" s="14"/>
      <c r="BJ194" s="14"/>
      <c r="BK194" s="14"/>
      <c r="BL194" s="14"/>
      <c r="BM194" s="14"/>
      <c r="BN194" s="14"/>
      <c r="BO194" s="14"/>
      <c r="BP194" s="14"/>
      <c r="BQ194" s="14"/>
      <c r="BR194" s="14"/>
      <c r="BS194" s="14"/>
      <c r="BT194" s="14"/>
      <c r="BU194" s="14"/>
      <c r="BV194" s="14"/>
      <c r="BW194" s="14"/>
      <c r="BX194" s="14"/>
      <c r="BY194" s="14"/>
      <c r="BZ194" s="14"/>
      <c r="CA194" s="14"/>
      <c r="CB194" s="14"/>
      <c r="CC194" s="14"/>
      <c r="CD194" s="14"/>
      <c r="CE194" s="14"/>
      <c r="CF194" s="14"/>
      <c r="CG194" s="14"/>
      <c r="CH194" s="14"/>
      <c r="CI194" s="14"/>
      <c r="CJ194" s="14"/>
      <c r="CK194" s="14"/>
      <c r="CL194" s="14"/>
      <c r="CM194" s="14"/>
      <c r="CN194" s="14"/>
      <c r="CO194" s="14"/>
      <c r="CP194" s="14"/>
      <c r="CQ194" s="14"/>
      <c r="CR194" s="14"/>
      <c r="CS194" s="14"/>
      <c r="CT194" s="14"/>
      <c r="CU194" s="14"/>
      <c r="CV194" s="14"/>
      <c r="CW194" s="14"/>
      <c r="CX194" s="14"/>
      <c r="CY194" s="14"/>
    </row>
    <row r="195" spans="1:103" ht="15.75" customHeight="1">
      <c r="A195" s="14"/>
      <c r="B195" s="14"/>
      <c r="C195" s="14"/>
      <c r="D195" s="14"/>
      <c r="E195" s="15"/>
      <c r="F195" s="14"/>
      <c r="G195" s="16"/>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14"/>
      <c r="AH195" s="14"/>
      <c r="AI195" s="14"/>
      <c r="AJ195" s="14"/>
      <c r="AK195" s="14"/>
      <c r="AL195" s="14"/>
      <c r="AM195" s="14"/>
      <c r="AN195" s="14"/>
      <c r="AO195" s="14"/>
      <c r="AP195" s="14"/>
      <c r="AQ195" s="14"/>
      <c r="AR195" s="14"/>
      <c r="AS195" s="14"/>
      <c r="AT195" s="14"/>
      <c r="AU195" s="14"/>
      <c r="AV195" s="14"/>
      <c r="AW195" s="14"/>
      <c r="AX195" s="14"/>
      <c r="AY195" s="14"/>
      <c r="AZ195" s="14"/>
      <c r="BA195" s="14"/>
      <c r="BB195" s="14"/>
      <c r="BC195" s="14"/>
      <c r="BD195" s="14"/>
      <c r="BE195" s="14"/>
      <c r="BF195" s="14"/>
      <c r="BG195" s="14"/>
      <c r="BH195" s="14"/>
      <c r="BI195" s="14"/>
      <c r="BJ195" s="14"/>
      <c r="BK195" s="14"/>
      <c r="BL195" s="14"/>
      <c r="BM195" s="14"/>
      <c r="BN195" s="14"/>
      <c r="BO195" s="14"/>
      <c r="BP195" s="14"/>
      <c r="BQ195" s="14"/>
      <c r="BR195" s="14"/>
      <c r="BS195" s="14"/>
      <c r="BT195" s="14"/>
      <c r="BU195" s="14"/>
      <c r="BV195" s="14"/>
      <c r="BW195" s="14"/>
      <c r="BX195" s="14"/>
      <c r="BY195" s="14"/>
      <c r="BZ195" s="14"/>
      <c r="CA195" s="14"/>
      <c r="CB195" s="14"/>
      <c r="CC195" s="14"/>
      <c r="CD195" s="14"/>
      <c r="CE195" s="14"/>
      <c r="CF195" s="14"/>
      <c r="CG195" s="14"/>
      <c r="CH195" s="14"/>
      <c r="CI195" s="14"/>
      <c r="CJ195" s="14"/>
      <c r="CK195" s="14"/>
      <c r="CL195" s="14"/>
      <c r="CM195" s="14"/>
      <c r="CN195" s="14"/>
      <c r="CO195" s="14"/>
      <c r="CP195" s="14"/>
      <c r="CQ195" s="14"/>
      <c r="CR195" s="14"/>
      <c r="CS195" s="14"/>
      <c r="CT195" s="14"/>
      <c r="CU195" s="14"/>
      <c r="CV195" s="14"/>
      <c r="CW195" s="14"/>
      <c r="CX195" s="14"/>
      <c r="CY195" s="14"/>
    </row>
    <row r="196" spans="1:103" ht="15.75" customHeight="1">
      <c r="A196" s="14"/>
      <c r="B196" s="14"/>
      <c r="C196" s="14"/>
      <c r="D196" s="14"/>
      <c r="E196" s="15"/>
      <c r="F196" s="14"/>
      <c r="G196" s="16"/>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4"/>
      <c r="AZ196" s="14"/>
      <c r="BA196" s="14"/>
      <c r="BB196" s="14"/>
      <c r="BC196" s="14"/>
      <c r="BD196" s="14"/>
      <c r="BE196" s="14"/>
      <c r="BF196" s="14"/>
      <c r="BG196" s="14"/>
      <c r="BH196" s="14"/>
      <c r="BI196" s="14"/>
      <c r="BJ196" s="14"/>
      <c r="BK196" s="14"/>
      <c r="BL196" s="14"/>
      <c r="BM196" s="14"/>
      <c r="BN196" s="14"/>
      <c r="BO196" s="14"/>
      <c r="BP196" s="14"/>
      <c r="BQ196" s="14"/>
      <c r="BR196" s="14"/>
      <c r="BS196" s="14"/>
      <c r="BT196" s="14"/>
      <c r="BU196" s="14"/>
      <c r="BV196" s="14"/>
      <c r="BW196" s="14"/>
      <c r="BX196" s="14"/>
      <c r="BY196" s="14"/>
      <c r="BZ196" s="14"/>
      <c r="CA196" s="14"/>
      <c r="CB196" s="14"/>
      <c r="CC196" s="14"/>
      <c r="CD196" s="14"/>
      <c r="CE196" s="14"/>
      <c r="CF196" s="14"/>
      <c r="CG196" s="14"/>
      <c r="CH196" s="14"/>
      <c r="CI196" s="14"/>
      <c r="CJ196" s="14"/>
      <c r="CK196" s="14"/>
      <c r="CL196" s="14"/>
      <c r="CM196" s="14"/>
      <c r="CN196" s="14"/>
      <c r="CO196" s="14"/>
      <c r="CP196" s="14"/>
      <c r="CQ196" s="14"/>
      <c r="CR196" s="14"/>
      <c r="CS196" s="14"/>
      <c r="CT196" s="14"/>
      <c r="CU196" s="14"/>
      <c r="CV196" s="14"/>
      <c r="CW196" s="14"/>
      <c r="CX196" s="14"/>
      <c r="CY196" s="14"/>
    </row>
    <row r="197" spans="1:103" ht="15.75" customHeight="1">
      <c r="A197" s="14"/>
      <c r="B197" s="14"/>
      <c r="C197" s="14"/>
      <c r="D197" s="14"/>
      <c r="E197" s="15"/>
      <c r="F197" s="14"/>
      <c r="G197" s="16"/>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14"/>
      <c r="AH197" s="14"/>
      <c r="AI197" s="14"/>
      <c r="AJ197" s="14"/>
      <c r="AK197" s="14"/>
      <c r="AL197" s="14"/>
      <c r="AM197" s="14"/>
      <c r="AN197" s="14"/>
      <c r="AO197" s="14"/>
      <c r="AP197" s="14"/>
      <c r="AQ197" s="14"/>
      <c r="AR197" s="14"/>
      <c r="AS197" s="14"/>
      <c r="AT197" s="14"/>
      <c r="AU197" s="14"/>
      <c r="AV197" s="14"/>
      <c r="AW197" s="14"/>
      <c r="AX197" s="14"/>
      <c r="AY197" s="14"/>
      <c r="AZ197" s="14"/>
      <c r="BA197" s="14"/>
      <c r="BB197" s="14"/>
      <c r="BC197" s="14"/>
      <c r="BD197" s="14"/>
      <c r="BE197" s="14"/>
      <c r="BF197" s="14"/>
      <c r="BG197" s="14"/>
      <c r="BH197" s="14"/>
      <c r="BI197" s="14"/>
      <c r="BJ197" s="14"/>
      <c r="BK197" s="14"/>
      <c r="BL197" s="14"/>
      <c r="BM197" s="14"/>
      <c r="BN197" s="14"/>
      <c r="BO197" s="14"/>
      <c r="BP197" s="14"/>
      <c r="BQ197" s="14"/>
      <c r="BR197" s="14"/>
      <c r="BS197" s="14"/>
      <c r="BT197" s="14"/>
      <c r="BU197" s="14"/>
      <c r="BV197" s="14"/>
      <c r="BW197" s="14"/>
      <c r="BX197" s="14"/>
      <c r="BY197" s="14"/>
      <c r="BZ197" s="14"/>
      <c r="CA197" s="14"/>
      <c r="CB197" s="14"/>
      <c r="CC197" s="14"/>
      <c r="CD197" s="14"/>
      <c r="CE197" s="14"/>
      <c r="CF197" s="14"/>
      <c r="CG197" s="14"/>
      <c r="CH197" s="14"/>
      <c r="CI197" s="14"/>
      <c r="CJ197" s="14"/>
      <c r="CK197" s="14"/>
      <c r="CL197" s="14"/>
      <c r="CM197" s="14"/>
      <c r="CN197" s="14"/>
      <c r="CO197" s="14"/>
      <c r="CP197" s="14"/>
      <c r="CQ197" s="14"/>
      <c r="CR197" s="14"/>
      <c r="CS197" s="14"/>
      <c r="CT197" s="14"/>
      <c r="CU197" s="14"/>
      <c r="CV197" s="14"/>
      <c r="CW197" s="14"/>
      <c r="CX197" s="14"/>
      <c r="CY197" s="14"/>
    </row>
    <row r="198" spans="1:103" ht="15.75" customHeight="1">
      <c r="A198" s="14"/>
      <c r="B198" s="14"/>
      <c r="C198" s="14"/>
      <c r="D198" s="14"/>
      <c r="E198" s="15"/>
      <c r="F198" s="14"/>
      <c r="G198" s="16"/>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14"/>
      <c r="AH198" s="14"/>
      <c r="AI198" s="14"/>
      <c r="AJ198" s="14"/>
      <c r="AK198" s="14"/>
      <c r="AL198" s="14"/>
      <c r="AM198" s="14"/>
      <c r="AN198" s="14"/>
      <c r="AO198" s="14"/>
      <c r="AP198" s="14"/>
      <c r="AQ198" s="14"/>
      <c r="AR198" s="14"/>
      <c r="AS198" s="14"/>
      <c r="AT198" s="14"/>
      <c r="AU198" s="14"/>
      <c r="AV198" s="14"/>
      <c r="AW198" s="14"/>
      <c r="AX198" s="14"/>
      <c r="AY198" s="14"/>
      <c r="AZ198" s="14"/>
      <c r="BA198" s="14"/>
      <c r="BB198" s="14"/>
      <c r="BC198" s="14"/>
      <c r="BD198" s="14"/>
      <c r="BE198" s="14"/>
      <c r="BF198" s="14"/>
      <c r="BG198" s="14"/>
      <c r="BH198" s="14"/>
      <c r="BI198" s="14"/>
      <c r="BJ198" s="14"/>
      <c r="BK198" s="14"/>
      <c r="BL198" s="14"/>
      <c r="BM198" s="14"/>
      <c r="BN198" s="14"/>
      <c r="BO198" s="14"/>
      <c r="BP198" s="14"/>
      <c r="BQ198" s="14"/>
      <c r="BR198" s="14"/>
      <c r="BS198" s="14"/>
      <c r="BT198" s="14"/>
      <c r="BU198" s="14"/>
      <c r="BV198" s="14"/>
      <c r="BW198" s="14"/>
      <c r="BX198" s="14"/>
      <c r="BY198" s="14"/>
      <c r="BZ198" s="14"/>
      <c r="CA198" s="14"/>
      <c r="CB198" s="14"/>
      <c r="CC198" s="14"/>
      <c r="CD198" s="14"/>
      <c r="CE198" s="14"/>
      <c r="CF198" s="14"/>
      <c r="CG198" s="14"/>
      <c r="CH198" s="14"/>
      <c r="CI198" s="14"/>
      <c r="CJ198" s="14"/>
      <c r="CK198" s="14"/>
      <c r="CL198" s="14"/>
      <c r="CM198" s="14"/>
      <c r="CN198" s="14"/>
      <c r="CO198" s="14"/>
      <c r="CP198" s="14"/>
      <c r="CQ198" s="14"/>
      <c r="CR198" s="14"/>
      <c r="CS198" s="14"/>
      <c r="CT198" s="14"/>
      <c r="CU198" s="14"/>
      <c r="CV198" s="14"/>
      <c r="CW198" s="14"/>
      <c r="CX198" s="14"/>
      <c r="CY198" s="14"/>
    </row>
    <row r="199" spans="1:103" ht="15.75" customHeight="1">
      <c r="A199" s="14"/>
      <c r="B199" s="14"/>
      <c r="C199" s="14"/>
      <c r="D199" s="14"/>
      <c r="E199" s="15"/>
      <c r="F199" s="14"/>
      <c r="G199" s="16"/>
      <c r="H199" s="14"/>
      <c r="I199" s="14"/>
      <c r="J199" s="14"/>
      <c r="K199" s="14"/>
      <c r="L199" s="14"/>
      <c r="M199" s="14"/>
      <c r="N199" s="14"/>
      <c r="O199" s="14"/>
      <c r="P199" s="14"/>
      <c r="Q199" s="14"/>
      <c r="R199" s="14"/>
      <c r="S199" s="14"/>
      <c r="T199" s="14"/>
      <c r="U199" s="14"/>
      <c r="V199" s="14"/>
      <c r="W199" s="14"/>
      <c r="X199" s="14"/>
      <c r="Y199" s="14"/>
      <c r="Z199" s="14"/>
      <c r="AA199" s="14"/>
      <c r="AB199" s="14"/>
      <c r="AC199" s="14"/>
      <c r="AD199" s="14"/>
      <c r="AE199" s="14"/>
      <c r="AF199" s="14"/>
      <c r="AG199" s="14"/>
      <c r="AH199" s="14"/>
      <c r="AI199" s="14"/>
      <c r="AJ199" s="14"/>
      <c r="AK199" s="14"/>
      <c r="AL199" s="14"/>
      <c r="AM199" s="14"/>
      <c r="AN199" s="14"/>
      <c r="AO199" s="14"/>
      <c r="AP199" s="14"/>
      <c r="AQ199" s="14"/>
      <c r="AR199" s="14"/>
      <c r="AS199" s="14"/>
      <c r="AT199" s="14"/>
      <c r="AU199" s="14"/>
      <c r="AV199" s="14"/>
      <c r="AW199" s="14"/>
      <c r="AX199" s="14"/>
      <c r="AY199" s="14"/>
      <c r="AZ199" s="14"/>
      <c r="BA199" s="14"/>
      <c r="BB199" s="14"/>
      <c r="BC199" s="14"/>
      <c r="BD199" s="14"/>
      <c r="BE199" s="14"/>
      <c r="BF199" s="14"/>
      <c r="BG199" s="14"/>
      <c r="BH199" s="14"/>
      <c r="BI199" s="14"/>
      <c r="BJ199" s="14"/>
      <c r="BK199" s="14"/>
      <c r="BL199" s="14"/>
      <c r="BM199" s="14"/>
      <c r="BN199" s="14"/>
      <c r="BO199" s="14"/>
      <c r="BP199" s="14"/>
      <c r="BQ199" s="14"/>
      <c r="BR199" s="14"/>
      <c r="BS199" s="14"/>
      <c r="BT199" s="14"/>
      <c r="BU199" s="14"/>
      <c r="BV199" s="14"/>
      <c r="BW199" s="14"/>
      <c r="BX199" s="14"/>
      <c r="BY199" s="14"/>
      <c r="BZ199" s="14"/>
      <c r="CA199" s="14"/>
      <c r="CB199" s="14"/>
      <c r="CC199" s="14"/>
      <c r="CD199" s="14"/>
      <c r="CE199" s="14"/>
      <c r="CF199" s="14"/>
      <c r="CG199" s="14"/>
      <c r="CH199" s="14"/>
      <c r="CI199" s="14"/>
      <c r="CJ199" s="14"/>
      <c r="CK199" s="14"/>
      <c r="CL199" s="14"/>
      <c r="CM199" s="14"/>
      <c r="CN199" s="14"/>
      <c r="CO199" s="14"/>
      <c r="CP199" s="14"/>
      <c r="CQ199" s="14"/>
      <c r="CR199" s="14"/>
      <c r="CS199" s="14"/>
      <c r="CT199" s="14"/>
      <c r="CU199" s="14"/>
      <c r="CV199" s="14"/>
      <c r="CW199" s="14"/>
      <c r="CX199" s="14"/>
      <c r="CY199" s="14"/>
    </row>
    <row r="200" spans="1:103" ht="15.75" customHeight="1">
      <c r="A200" s="14"/>
      <c r="B200" s="14"/>
      <c r="C200" s="14"/>
      <c r="D200" s="14"/>
      <c r="E200" s="15"/>
      <c r="F200" s="14"/>
      <c r="G200" s="16"/>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c r="BN200" s="14"/>
      <c r="BO200" s="14"/>
      <c r="BP200" s="14"/>
      <c r="BQ200" s="14"/>
      <c r="BR200" s="14"/>
      <c r="BS200" s="14"/>
      <c r="BT200" s="14"/>
      <c r="BU200" s="14"/>
      <c r="BV200" s="14"/>
      <c r="BW200" s="14"/>
      <c r="BX200" s="14"/>
      <c r="BY200" s="14"/>
      <c r="BZ200" s="14"/>
      <c r="CA200" s="14"/>
      <c r="CB200" s="14"/>
      <c r="CC200" s="14"/>
      <c r="CD200" s="14"/>
      <c r="CE200" s="14"/>
      <c r="CF200" s="14"/>
      <c r="CG200" s="14"/>
      <c r="CH200" s="14"/>
      <c r="CI200" s="14"/>
      <c r="CJ200" s="14"/>
      <c r="CK200" s="14"/>
      <c r="CL200" s="14"/>
      <c r="CM200" s="14"/>
      <c r="CN200" s="14"/>
      <c r="CO200" s="14"/>
      <c r="CP200" s="14"/>
      <c r="CQ200" s="14"/>
      <c r="CR200" s="14"/>
      <c r="CS200" s="14"/>
      <c r="CT200" s="14"/>
      <c r="CU200" s="14"/>
      <c r="CV200" s="14"/>
      <c r="CW200" s="14"/>
      <c r="CX200" s="14"/>
      <c r="CY200" s="14"/>
    </row>
    <row r="201" spans="1:103" ht="15.75" customHeight="1">
      <c r="A201" s="14"/>
      <c r="B201" s="14"/>
      <c r="C201" s="14"/>
      <c r="D201" s="14"/>
      <c r="E201" s="15"/>
      <c r="F201" s="14"/>
      <c r="G201" s="16"/>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c r="BN201" s="14"/>
      <c r="BO201" s="14"/>
      <c r="BP201" s="14"/>
      <c r="BQ201" s="14"/>
      <c r="BR201" s="14"/>
      <c r="BS201" s="14"/>
      <c r="BT201" s="14"/>
      <c r="BU201" s="14"/>
      <c r="BV201" s="14"/>
      <c r="BW201" s="14"/>
      <c r="BX201" s="14"/>
      <c r="BY201" s="14"/>
      <c r="BZ201" s="14"/>
      <c r="CA201" s="14"/>
      <c r="CB201" s="14"/>
      <c r="CC201" s="14"/>
      <c r="CD201" s="14"/>
      <c r="CE201" s="14"/>
      <c r="CF201" s="14"/>
      <c r="CG201" s="14"/>
      <c r="CH201" s="14"/>
      <c r="CI201" s="14"/>
      <c r="CJ201" s="14"/>
      <c r="CK201" s="14"/>
      <c r="CL201" s="14"/>
      <c r="CM201" s="14"/>
      <c r="CN201" s="14"/>
      <c r="CO201" s="14"/>
      <c r="CP201" s="14"/>
      <c r="CQ201" s="14"/>
      <c r="CR201" s="14"/>
      <c r="CS201" s="14"/>
      <c r="CT201" s="14"/>
      <c r="CU201" s="14"/>
      <c r="CV201" s="14"/>
      <c r="CW201" s="14"/>
      <c r="CX201" s="14"/>
      <c r="CY201" s="14"/>
    </row>
    <row r="202" spans="1:103" ht="15.75" customHeight="1">
      <c r="A202" s="14"/>
      <c r="B202" s="14"/>
      <c r="C202" s="14"/>
      <c r="D202" s="14"/>
      <c r="E202" s="15"/>
      <c r="F202" s="14"/>
      <c r="G202" s="16"/>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c r="BN202" s="14"/>
      <c r="BO202" s="14"/>
      <c r="BP202" s="14"/>
      <c r="BQ202" s="14"/>
      <c r="BR202" s="14"/>
      <c r="BS202" s="14"/>
      <c r="BT202" s="14"/>
      <c r="BU202" s="14"/>
      <c r="BV202" s="14"/>
      <c r="BW202" s="14"/>
      <c r="BX202" s="14"/>
      <c r="BY202" s="14"/>
      <c r="BZ202" s="14"/>
      <c r="CA202" s="14"/>
      <c r="CB202" s="14"/>
      <c r="CC202" s="14"/>
      <c r="CD202" s="14"/>
      <c r="CE202" s="14"/>
      <c r="CF202" s="14"/>
      <c r="CG202" s="14"/>
      <c r="CH202" s="14"/>
      <c r="CI202" s="14"/>
      <c r="CJ202" s="14"/>
      <c r="CK202" s="14"/>
      <c r="CL202" s="14"/>
      <c r="CM202" s="14"/>
      <c r="CN202" s="14"/>
      <c r="CO202" s="14"/>
      <c r="CP202" s="14"/>
      <c r="CQ202" s="14"/>
      <c r="CR202" s="14"/>
      <c r="CS202" s="14"/>
      <c r="CT202" s="14"/>
      <c r="CU202" s="14"/>
      <c r="CV202" s="14"/>
      <c r="CW202" s="14"/>
      <c r="CX202" s="14"/>
      <c r="CY202" s="14"/>
    </row>
    <row r="203" spans="1:103" ht="15.75" customHeight="1">
      <c r="A203" s="14"/>
      <c r="B203" s="14"/>
      <c r="C203" s="14"/>
      <c r="D203" s="14"/>
      <c r="E203" s="15"/>
      <c r="F203" s="14"/>
      <c r="G203" s="16"/>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c r="BN203" s="14"/>
      <c r="BO203" s="14"/>
      <c r="BP203" s="14"/>
      <c r="BQ203" s="14"/>
      <c r="BR203" s="14"/>
      <c r="BS203" s="14"/>
      <c r="BT203" s="14"/>
      <c r="BU203" s="14"/>
      <c r="BV203" s="14"/>
      <c r="BW203" s="14"/>
      <c r="BX203" s="14"/>
      <c r="BY203" s="14"/>
      <c r="BZ203" s="14"/>
      <c r="CA203" s="14"/>
      <c r="CB203" s="14"/>
      <c r="CC203" s="14"/>
      <c r="CD203" s="14"/>
      <c r="CE203" s="14"/>
      <c r="CF203" s="14"/>
      <c r="CG203" s="14"/>
      <c r="CH203" s="14"/>
      <c r="CI203" s="14"/>
      <c r="CJ203" s="14"/>
      <c r="CK203" s="14"/>
      <c r="CL203" s="14"/>
      <c r="CM203" s="14"/>
      <c r="CN203" s="14"/>
      <c r="CO203" s="14"/>
      <c r="CP203" s="14"/>
      <c r="CQ203" s="14"/>
      <c r="CR203" s="14"/>
      <c r="CS203" s="14"/>
      <c r="CT203" s="14"/>
      <c r="CU203" s="14"/>
      <c r="CV203" s="14"/>
      <c r="CW203" s="14"/>
      <c r="CX203" s="14"/>
      <c r="CY203" s="14"/>
    </row>
    <row r="204" spans="1:103" ht="15.75" customHeight="1">
      <c r="A204" s="14"/>
      <c r="B204" s="14"/>
      <c r="C204" s="14"/>
      <c r="D204" s="14"/>
      <c r="E204" s="15"/>
      <c r="F204" s="14"/>
      <c r="G204" s="16"/>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c r="BN204" s="14"/>
      <c r="BO204" s="14"/>
      <c r="BP204" s="14"/>
      <c r="BQ204" s="14"/>
      <c r="BR204" s="14"/>
      <c r="BS204" s="14"/>
      <c r="BT204" s="14"/>
      <c r="BU204" s="14"/>
      <c r="BV204" s="14"/>
      <c r="BW204" s="14"/>
      <c r="BX204" s="14"/>
      <c r="BY204" s="14"/>
      <c r="BZ204" s="14"/>
      <c r="CA204" s="14"/>
      <c r="CB204" s="14"/>
      <c r="CC204" s="14"/>
      <c r="CD204" s="14"/>
      <c r="CE204" s="14"/>
      <c r="CF204" s="14"/>
      <c r="CG204" s="14"/>
      <c r="CH204" s="14"/>
      <c r="CI204" s="14"/>
      <c r="CJ204" s="14"/>
      <c r="CK204" s="14"/>
      <c r="CL204" s="14"/>
      <c r="CM204" s="14"/>
      <c r="CN204" s="14"/>
      <c r="CO204" s="14"/>
      <c r="CP204" s="14"/>
      <c r="CQ204" s="14"/>
      <c r="CR204" s="14"/>
      <c r="CS204" s="14"/>
      <c r="CT204" s="14"/>
      <c r="CU204" s="14"/>
      <c r="CV204" s="14"/>
      <c r="CW204" s="14"/>
      <c r="CX204" s="14"/>
      <c r="CY204" s="14"/>
    </row>
    <row r="205" spans="1:103" ht="15.75" customHeight="1">
      <c r="A205" s="14"/>
      <c r="B205" s="14"/>
      <c r="C205" s="14"/>
      <c r="D205" s="14"/>
      <c r="E205" s="15"/>
      <c r="F205" s="14"/>
      <c r="G205" s="16"/>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c r="BN205" s="14"/>
      <c r="BO205" s="14"/>
      <c r="BP205" s="14"/>
      <c r="BQ205" s="14"/>
      <c r="BR205" s="14"/>
      <c r="BS205" s="14"/>
      <c r="BT205" s="14"/>
      <c r="BU205" s="14"/>
      <c r="BV205" s="14"/>
      <c r="BW205" s="14"/>
      <c r="BX205" s="14"/>
      <c r="BY205" s="14"/>
      <c r="BZ205" s="14"/>
      <c r="CA205" s="14"/>
      <c r="CB205" s="14"/>
      <c r="CC205" s="14"/>
      <c r="CD205" s="14"/>
      <c r="CE205" s="14"/>
      <c r="CF205" s="14"/>
      <c r="CG205" s="14"/>
      <c r="CH205" s="14"/>
      <c r="CI205" s="14"/>
      <c r="CJ205" s="14"/>
      <c r="CK205" s="14"/>
      <c r="CL205" s="14"/>
      <c r="CM205" s="14"/>
      <c r="CN205" s="14"/>
      <c r="CO205" s="14"/>
      <c r="CP205" s="14"/>
      <c r="CQ205" s="14"/>
      <c r="CR205" s="14"/>
      <c r="CS205" s="14"/>
      <c r="CT205" s="14"/>
      <c r="CU205" s="14"/>
      <c r="CV205" s="14"/>
      <c r="CW205" s="14"/>
      <c r="CX205" s="14"/>
      <c r="CY205" s="14"/>
    </row>
    <row r="206" spans="1:103" ht="15.75" customHeight="1">
      <c r="A206" s="14"/>
      <c r="B206" s="14"/>
      <c r="C206" s="14"/>
      <c r="D206" s="14"/>
      <c r="E206" s="15"/>
      <c r="F206" s="14"/>
      <c r="G206" s="16"/>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4"/>
      <c r="AP206" s="14"/>
      <c r="AQ206" s="14"/>
      <c r="AR206" s="14"/>
      <c r="AS206" s="14"/>
      <c r="AT206" s="14"/>
      <c r="AU206" s="14"/>
      <c r="AV206" s="14"/>
      <c r="AW206" s="14"/>
      <c r="AX206" s="14"/>
      <c r="AY206" s="14"/>
      <c r="AZ206" s="14"/>
      <c r="BA206" s="14"/>
      <c r="BB206" s="14"/>
      <c r="BC206" s="14"/>
      <c r="BD206" s="14"/>
      <c r="BE206" s="14"/>
      <c r="BF206" s="14"/>
      <c r="BG206" s="14"/>
      <c r="BH206" s="14"/>
      <c r="BI206" s="14"/>
      <c r="BJ206" s="14"/>
      <c r="BK206" s="14"/>
      <c r="BL206" s="14"/>
      <c r="BM206" s="14"/>
      <c r="BN206" s="14"/>
      <c r="BO206" s="14"/>
      <c r="BP206" s="14"/>
      <c r="BQ206" s="14"/>
      <c r="BR206" s="14"/>
      <c r="BS206" s="14"/>
      <c r="BT206" s="14"/>
      <c r="BU206" s="14"/>
      <c r="BV206" s="14"/>
      <c r="BW206" s="14"/>
      <c r="BX206" s="14"/>
      <c r="BY206" s="14"/>
      <c r="BZ206" s="14"/>
      <c r="CA206" s="14"/>
      <c r="CB206" s="14"/>
      <c r="CC206" s="14"/>
      <c r="CD206" s="14"/>
      <c r="CE206" s="14"/>
      <c r="CF206" s="14"/>
      <c r="CG206" s="14"/>
      <c r="CH206" s="14"/>
      <c r="CI206" s="14"/>
      <c r="CJ206" s="14"/>
      <c r="CK206" s="14"/>
      <c r="CL206" s="14"/>
      <c r="CM206" s="14"/>
      <c r="CN206" s="14"/>
      <c r="CO206" s="14"/>
      <c r="CP206" s="14"/>
      <c r="CQ206" s="14"/>
      <c r="CR206" s="14"/>
      <c r="CS206" s="14"/>
      <c r="CT206" s="14"/>
      <c r="CU206" s="14"/>
      <c r="CV206" s="14"/>
      <c r="CW206" s="14"/>
      <c r="CX206" s="14"/>
      <c r="CY206" s="14"/>
    </row>
    <row r="207" spans="1:103" ht="15.75" customHeight="1">
      <c r="A207" s="14"/>
      <c r="B207" s="14"/>
      <c r="C207" s="14"/>
      <c r="D207" s="14"/>
      <c r="E207" s="15"/>
      <c r="F207" s="14"/>
      <c r="G207" s="16"/>
      <c r="H207" s="14"/>
      <c r="I207" s="14"/>
      <c r="J207" s="14"/>
      <c r="K207" s="14"/>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4"/>
      <c r="AZ207" s="14"/>
      <c r="BA207" s="14"/>
      <c r="BB207" s="14"/>
      <c r="BC207" s="14"/>
      <c r="BD207" s="14"/>
      <c r="BE207" s="14"/>
      <c r="BF207" s="14"/>
      <c r="BG207" s="14"/>
      <c r="BH207" s="14"/>
      <c r="BI207" s="14"/>
      <c r="BJ207" s="14"/>
      <c r="BK207" s="14"/>
      <c r="BL207" s="14"/>
      <c r="BM207" s="14"/>
      <c r="BN207" s="14"/>
      <c r="BO207" s="14"/>
      <c r="BP207" s="14"/>
      <c r="BQ207" s="14"/>
      <c r="BR207" s="14"/>
      <c r="BS207" s="14"/>
      <c r="BT207" s="14"/>
      <c r="BU207" s="14"/>
      <c r="BV207" s="14"/>
      <c r="BW207" s="14"/>
      <c r="BX207" s="14"/>
      <c r="BY207" s="14"/>
      <c r="BZ207" s="14"/>
      <c r="CA207" s="14"/>
      <c r="CB207" s="14"/>
      <c r="CC207" s="14"/>
      <c r="CD207" s="14"/>
      <c r="CE207" s="14"/>
      <c r="CF207" s="14"/>
      <c r="CG207" s="14"/>
      <c r="CH207" s="14"/>
      <c r="CI207" s="14"/>
      <c r="CJ207" s="14"/>
      <c r="CK207" s="14"/>
      <c r="CL207" s="14"/>
      <c r="CM207" s="14"/>
      <c r="CN207" s="14"/>
      <c r="CO207" s="14"/>
      <c r="CP207" s="14"/>
      <c r="CQ207" s="14"/>
      <c r="CR207" s="14"/>
      <c r="CS207" s="14"/>
      <c r="CT207" s="14"/>
      <c r="CU207" s="14"/>
      <c r="CV207" s="14"/>
      <c r="CW207" s="14"/>
      <c r="CX207" s="14"/>
      <c r="CY207" s="14"/>
    </row>
    <row r="208" spans="1:103" ht="15.75" customHeight="1">
      <c r="A208" s="14"/>
      <c r="B208" s="14"/>
      <c r="C208" s="14"/>
      <c r="D208" s="14"/>
      <c r="E208" s="15"/>
      <c r="F208" s="14"/>
      <c r="G208" s="16"/>
      <c r="H208" s="14"/>
      <c r="I208" s="14"/>
      <c r="J208" s="14"/>
      <c r="K208" s="14"/>
      <c r="L208" s="14"/>
      <c r="M208" s="14"/>
      <c r="N208" s="14"/>
      <c r="O208" s="14"/>
      <c r="P208" s="14"/>
      <c r="Q208" s="14"/>
      <c r="R208" s="14"/>
      <c r="S208" s="14"/>
      <c r="T208" s="14"/>
      <c r="U208" s="14"/>
      <c r="V208" s="14"/>
      <c r="W208" s="14"/>
      <c r="X208" s="14"/>
      <c r="Y208" s="14"/>
      <c r="Z208" s="14"/>
      <c r="AA208" s="14"/>
      <c r="AB208" s="14"/>
      <c r="AC208" s="14"/>
      <c r="AD208" s="14"/>
      <c r="AE208" s="14"/>
      <c r="AF208" s="14"/>
      <c r="AG208" s="14"/>
      <c r="AH208" s="14"/>
      <c r="AI208" s="14"/>
      <c r="AJ208" s="14"/>
      <c r="AK208" s="14"/>
      <c r="AL208" s="14"/>
      <c r="AM208" s="14"/>
      <c r="AN208" s="14"/>
      <c r="AO208" s="14"/>
      <c r="AP208" s="14"/>
      <c r="AQ208" s="14"/>
      <c r="AR208" s="14"/>
      <c r="AS208" s="14"/>
      <c r="AT208" s="14"/>
      <c r="AU208" s="14"/>
      <c r="AV208" s="14"/>
      <c r="AW208" s="14"/>
      <c r="AX208" s="14"/>
      <c r="AY208" s="14"/>
      <c r="AZ208" s="14"/>
      <c r="BA208" s="14"/>
      <c r="BB208" s="14"/>
      <c r="BC208" s="14"/>
      <c r="BD208" s="14"/>
      <c r="BE208" s="14"/>
      <c r="BF208" s="14"/>
      <c r="BG208" s="14"/>
      <c r="BH208" s="14"/>
      <c r="BI208" s="14"/>
      <c r="BJ208" s="14"/>
      <c r="BK208" s="14"/>
      <c r="BL208" s="14"/>
      <c r="BM208" s="14"/>
      <c r="BN208" s="14"/>
      <c r="BO208" s="14"/>
      <c r="BP208" s="14"/>
      <c r="BQ208" s="14"/>
      <c r="BR208" s="14"/>
      <c r="BS208" s="14"/>
      <c r="BT208" s="14"/>
      <c r="BU208" s="14"/>
      <c r="BV208" s="14"/>
      <c r="BW208" s="14"/>
      <c r="BX208" s="14"/>
      <c r="BY208" s="14"/>
      <c r="BZ208" s="14"/>
      <c r="CA208" s="14"/>
      <c r="CB208" s="14"/>
      <c r="CC208" s="14"/>
      <c r="CD208" s="14"/>
      <c r="CE208" s="14"/>
      <c r="CF208" s="14"/>
      <c r="CG208" s="14"/>
      <c r="CH208" s="14"/>
      <c r="CI208" s="14"/>
      <c r="CJ208" s="14"/>
      <c r="CK208" s="14"/>
      <c r="CL208" s="14"/>
      <c r="CM208" s="14"/>
      <c r="CN208" s="14"/>
      <c r="CO208" s="14"/>
      <c r="CP208" s="14"/>
      <c r="CQ208" s="14"/>
      <c r="CR208" s="14"/>
      <c r="CS208" s="14"/>
      <c r="CT208" s="14"/>
      <c r="CU208" s="14"/>
      <c r="CV208" s="14"/>
      <c r="CW208" s="14"/>
      <c r="CX208" s="14"/>
      <c r="CY208" s="14"/>
    </row>
    <row r="209" spans="1:103" ht="15.75" customHeight="1">
      <c r="A209" s="14"/>
      <c r="B209" s="14"/>
      <c r="C209" s="14"/>
      <c r="D209" s="14"/>
      <c r="E209" s="15"/>
      <c r="F209" s="14"/>
      <c r="G209" s="16"/>
      <c r="H209" s="14"/>
      <c r="I209" s="14"/>
      <c r="J209" s="14"/>
      <c r="K209" s="14"/>
      <c r="L209" s="14"/>
      <c r="M209" s="14"/>
      <c r="N209" s="14"/>
      <c r="O209" s="14"/>
      <c r="P209" s="14"/>
      <c r="Q209" s="14"/>
      <c r="R209" s="14"/>
      <c r="S209" s="14"/>
      <c r="T209" s="14"/>
      <c r="U209" s="14"/>
      <c r="V209" s="14"/>
      <c r="W209" s="14"/>
      <c r="X209" s="14"/>
      <c r="Y209" s="14"/>
      <c r="Z209" s="14"/>
      <c r="AA209" s="14"/>
      <c r="AB209" s="14"/>
      <c r="AC209" s="14"/>
      <c r="AD209" s="14"/>
      <c r="AE209" s="14"/>
      <c r="AF209" s="14"/>
      <c r="AG209" s="14"/>
      <c r="AH209" s="14"/>
      <c r="AI209" s="14"/>
      <c r="AJ209" s="14"/>
      <c r="AK209" s="14"/>
      <c r="AL209" s="14"/>
      <c r="AM209" s="14"/>
      <c r="AN209" s="14"/>
      <c r="AO209" s="14"/>
      <c r="AP209" s="14"/>
      <c r="AQ209" s="14"/>
      <c r="AR209" s="14"/>
      <c r="AS209" s="14"/>
      <c r="AT209" s="14"/>
      <c r="AU209" s="14"/>
      <c r="AV209" s="14"/>
      <c r="AW209" s="14"/>
      <c r="AX209" s="14"/>
      <c r="AY209" s="14"/>
      <c r="AZ209" s="14"/>
      <c r="BA209" s="14"/>
      <c r="BB209" s="14"/>
      <c r="BC209" s="14"/>
      <c r="BD209" s="14"/>
      <c r="BE209" s="14"/>
      <c r="BF209" s="14"/>
      <c r="BG209" s="14"/>
      <c r="BH209" s="14"/>
      <c r="BI209" s="14"/>
      <c r="BJ209" s="14"/>
      <c r="BK209" s="14"/>
      <c r="BL209" s="14"/>
      <c r="BM209" s="14"/>
      <c r="BN209" s="14"/>
      <c r="BO209" s="14"/>
      <c r="BP209" s="14"/>
      <c r="BQ209" s="14"/>
      <c r="BR209" s="14"/>
      <c r="BS209" s="14"/>
      <c r="BT209" s="14"/>
      <c r="BU209" s="14"/>
      <c r="BV209" s="14"/>
      <c r="BW209" s="14"/>
      <c r="BX209" s="14"/>
      <c r="BY209" s="14"/>
      <c r="BZ209" s="14"/>
      <c r="CA209" s="14"/>
      <c r="CB209" s="14"/>
      <c r="CC209" s="14"/>
      <c r="CD209" s="14"/>
      <c r="CE209" s="14"/>
      <c r="CF209" s="14"/>
      <c r="CG209" s="14"/>
      <c r="CH209" s="14"/>
      <c r="CI209" s="14"/>
      <c r="CJ209" s="14"/>
      <c r="CK209" s="14"/>
      <c r="CL209" s="14"/>
      <c r="CM209" s="14"/>
      <c r="CN209" s="14"/>
      <c r="CO209" s="14"/>
      <c r="CP209" s="14"/>
      <c r="CQ209" s="14"/>
      <c r="CR209" s="14"/>
      <c r="CS209" s="14"/>
      <c r="CT209" s="14"/>
      <c r="CU209" s="14"/>
      <c r="CV209" s="14"/>
      <c r="CW209" s="14"/>
      <c r="CX209" s="14"/>
      <c r="CY209" s="14"/>
    </row>
    <row r="210" spans="1:103" ht="15.75" customHeight="1">
      <c r="A210" s="14"/>
      <c r="B210" s="14"/>
      <c r="C210" s="14"/>
      <c r="D210" s="14"/>
      <c r="E210" s="15"/>
      <c r="F210" s="14"/>
      <c r="G210" s="16"/>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14"/>
      <c r="AH210" s="14"/>
      <c r="AI210" s="14"/>
      <c r="AJ210" s="14"/>
      <c r="AK210" s="14"/>
      <c r="AL210" s="14"/>
      <c r="AM210" s="14"/>
      <c r="AN210" s="14"/>
      <c r="AO210" s="14"/>
      <c r="AP210" s="14"/>
      <c r="AQ210" s="14"/>
      <c r="AR210" s="14"/>
      <c r="AS210" s="14"/>
      <c r="AT210" s="14"/>
      <c r="AU210" s="14"/>
      <c r="AV210" s="14"/>
      <c r="AW210" s="14"/>
      <c r="AX210" s="14"/>
      <c r="AY210" s="14"/>
      <c r="AZ210" s="14"/>
      <c r="BA210" s="14"/>
      <c r="BB210" s="14"/>
      <c r="BC210" s="14"/>
      <c r="BD210" s="14"/>
      <c r="BE210" s="14"/>
      <c r="BF210" s="14"/>
      <c r="BG210" s="14"/>
      <c r="BH210" s="14"/>
      <c r="BI210" s="14"/>
      <c r="BJ210" s="14"/>
      <c r="BK210" s="14"/>
      <c r="BL210" s="14"/>
      <c r="BM210" s="14"/>
      <c r="BN210" s="14"/>
      <c r="BO210" s="14"/>
      <c r="BP210" s="14"/>
      <c r="BQ210" s="14"/>
      <c r="BR210" s="14"/>
      <c r="BS210" s="14"/>
      <c r="BT210" s="14"/>
      <c r="BU210" s="14"/>
      <c r="BV210" s="14"/>
      <c r="BW210" s="14"/>
      <c r="BX210" s="14"/>
      <c r="BY210" s="14"/>
      <c r="BZ210" s="14"/>
      <c r="CA210" s="14"/>
      <c r="CB210" s="14"/>
      <c r="CC210" s="14"/>
      <c r="CD210" s="14"/>
      <c r="CE210" s="14"/>
      <c r="CF210" s="14"/>
      <c r="CG210" s="14"/>
      <c r="CH210" s="14"/>
      <c r="CI210" s="14"/>
      <c r="CJ210" s="14"/>
      <c r="CK210" s="14"/>
      <c r="CL210" s="14"/>
      <c r="CM210" s="14"/>
      <c r="CN210" s="14"/>
      <c r="CO210" s="14"/>
      <c r="CP210" s="14"/>
      <c r="CQ210" s="14"/>
      <c r="CR210" s="14"/>
      <c r="CS210" s="14"/>
      <c r="CT210" s="14"/>
      <c r="CU210" s="14"/>
      <c r="CV210" s="14"/>
      <c r="CW210" s="14"/>
      <c r="CX210" s="14"/>
      <c r="CY210" s="14"/>
    </row>
    <row r="211" spans="1:103" ht="15.75" customHeight="1">
      <c r="A211" s="14"/>
      <c r="B211" s="14"/>
      <c r="C211" s="14"/>
      <c r="D211" s="14"/>
      <c r="E211" s="15"/>
      <c r="F211" s="14"/>
      <c r="G211" s="16"/>
      <c r="H211" s="14"/>
      <c r="I211" s="14"/>
      <c r="J211" s="14"/>
      <c r="K211" s="14"/>
      <c r="L211" s="14"/>
      <c r="M211" s="14"/>
      <c r="N211" s="14"/>
      <c r="O211" s="14"/>
      <c r="P211" s="14"/>
      <c r="Q211" s="14"/>
      <c r="R211" s="14"/>
      <c r="S211" s="14"/>
      <c r="T211" s="14"/>
      <c r="U211" s="14"/>
      <c r="V211" s="14"/>
      <c r="W211" s="14"/>
      <c r="X211" s="14"/>
      <c r="Y211" s="14"/>
      <c r="Z211" s="14"/>
      <c r="AA211" s="14"/>
      <c r="AB211" s="14"/>
      <c r="AC211" s="14"/>
      <c r="AD211" s="14"/>
      <c r="AE211" s="14"/>
      <c r="AF211" s="14"/>
      <c r="AG211" s="14"/>
      <c r="AH211" s="14"/>
      <c r="AI211" s="14"/>
      <c r="AJ211" s="14"/>
      <c r="AK211" s="14"/>
      <c r="AL211" s="14"/>
      <c r="AM211" s="14"/>
      <c r="AN211" s="14"/>
      <c r="AO211" s="14"/>
      <c r="AP211" s="14"/>
      <c r="AQ211" s="14"/>
      <c r="AR211" s="14"/>
      <c r="AS211" s="14"/>
      <c r="AT211" s="14"/>
      <c r="AU211" s="14"/>
      <c r="AV211" s="14"/>
      <c r="AW211" s="14"/>
      <c r="AX211" s="14"/>
      <c r="AY211" s="14"/>
      <c r="AZ211" s="14"/>
      <c r="BA211" s="14"/>
      <c r="BB211" s="14"/>
      <c r="BC211" s="14"/>
      <c r="BD211" s="14"/>
      <c r="BE211" s="14"/>
      <c r="BF211" s="14"/>
      <c r="BG211" s="14"/>
      <c r="BH211" s="14"/>
      <c r="BI211" s="14"/>
      <c r="BJ211" s="14"/>
      <c r="BK211" s="14"/>
      <c r="BL211" s="14"/>
      <c r="BM211" s="14"/>
      <c r="BN211" s="14"/>
      <c r="BO211" s="14"/>
      <c r="BP211" s="14"/>
      <c r="BQ211" s="14"/>
      <c r="BR211" s="14"/>
      <c r="BS211" s="14"/>
      <c r="BT211" s="14"/>
      <c r="BU211" s="14"/>
      <c r="BV211" s="14"/>
      <c r="BW211" s="14"/>
      <c r="BX211" s="14"/>
      <c r="BY211" s="14"/>
      <c r="BZ211" s="14"/>
      <c r="CA211" s="14"/>
      <c r="CB211" s="14"/>
      <c r="CC211" s="14"/>
      <c r="CD211" s="14"/>
      <c r="CE211" s="14"/>
      <c r="CF211" s="14"/>
      <c r="CG211" s="14"/>
      <c r="CH211" s="14"/>
      <c r="CI211" s="14"/>
      <c r="CJ211" s="14"/>
      <c r="CK211" s="14"/>
      <c r="CL211" s="14"/>
      <c r="CM211" s="14"/>
      <c r="CN211" s="14"/>
      <c r="CO211" s="14"/>
      <c r="CP211" s="14"/>
      <c r="CQ211" s="14"/>
      <c r="CR211" s="14"/>
      <c r="CS211" s="14"/>
      <c r="CT211" s="14"/>
      <c r="CU211" s="14"/>
      <c r="CV211" s="14"/>
      <c r="CW211" s="14"/>
      <c r="CX211" s="14"/>
      <c r="CY211" s="14"/>
    </row>
    <row r="212" spans="1:103" ht="15.75" customHeight="1">
      <c r="A212" s="14"/>
      <c r="B212" s="14"/>
      <c r="C212" s="14"/>
      <c r="D212" s="14"/>
      <c r="E212" s="15"/>
      <c r="F212" s="14"/>
      <c r="G212" s="16"/>
      <c r="H212" s="14"/>
      <c r="I212" s="14"/>
      <c r="J212" s="14"/>
      <c r="K212" s="14"/>
      <c r="L212" s="14"/>
      <c r="M212" s="14"/>
      <c r="N212" s="14"/>
      <c r="O212" s="14"/>
      <c r="P212" s="14"/>
      <c r="Q212" s="14"/>
      <c r="R212" s="14"/>
      <c r="S212" s="14"/>
      <c r="T212" s="14"/>
      <c r="U212" s="14"/>
      <c r="V212" s="14"/>
      <c r="W212" s="14"/>
      <c r="X212" s="14"/>
      <c r="Y212" s="14"/>
      <c r="Z212" s="14"/>
      <c r="AA212" s="14"/>
      <c r="AB212" s="14"/>
      <c r="AC212" s="14"/>
      <c r="AD212" s="14"/>
      <c r="AE212" s="14"/>
      <c r="AF212" s="14"/>
      <c r="AG212" s="14"/>
      <c r="AH212" s="14"/>
      <c r="AI212" s="14"/>
      <c r="AJ212" s="14"/>
      <c r="AK212" s="14"/>
      <c r="AL212" s="14"/>
      <c r="AM212" s="14"/>
      <c r="AN212" s="14"/>
      <c r="AO212" s="14"/>
      <c r="AP212" s="14"/>
      <c r="AQ212" s="14"/>
      <c r="AR212" s="14"/>
      <c r="AS212" s="14"/>
      <c r="AT212" s="14"/>
      <c r="AU212" s="14"/>
      <c r="AV212" s="14"/>
      <c r="AW212" s="14"/>
      <c r="AX212" s="14"/>
      <c r="AY212" s="14"/>
      <c r="AZ212" s="14"/>
      <c r="BA212" s="14"/>
      <c r="BB212" s="14"/>
      <c r="BC212" s="14"/>
      <c r="BD212" s="14"/>
      <c r="BE212" s="14"/>
      <c r="BF212" s="14"/>
      <c r="BG212" s="14"/>
      <c r="BH212" s="14"/>
      <c r="BI212" s="14"/>
      <c r="BJ212" s="14"/>
      <c r="BK212" s="14"/>
      <c r="BL212" s="14"/>
      <c r="BM212" s="14"/>
      <c r="BN212" s="14"/>
      <c r="BO212" s="14"/>
      <c r="BP212" s="14"/>
      <c r="BQ212" s="14"/>
      <c r="BR212" s="14"/>
      <c r="BS212" s="14"/>
      <c r="BT212" s="14"/>
      <c r="BU212" s="14"/>
      <c r="BV212" s="14"/>
      <c r="BW212" s="14"/>
      <c r="BX212" s="14"/>
      <c r="BY212" s="14"/>
      <c r="BZ212" s="14"/>
      <c r="CA212" s="14"/>
      <c r="CB212" s="14"/>
      <c r="CC212" s="14"/>
      <c r="CD212" s="14"/>
      <c r="CE212" s="14"/>
      <c r="CF212" s="14"/>
      <c r="CG212" s="14"/>
      <c r="CH212" s="14"/>
      <c r="CI212" s="14"/>
      <c r="CJ212" s="14"/>
      <c r="CK212" s="14"/>
      <c r="CL212" s="14"/>
      <c r="CM212" s="14"/>
      <c r="CN212" s="14"/>
      <c r="CO212" s="14"/>
      <c r="CP212" s="14"/>
      <c r="CQ212" s="14"/>
      <c r="CR212" s="14"/>
      <c r="CS212" s="14"/>
      <c r="CT212" s="14"/>
      <c r="CU212" s="14"/>
      <c r="CV212" s="14"/>
      <c r="CW212" s="14"/>
      <c r="CX212" s="14"/>
      <c r="CY212" s="14"/>
    </row>
    <row r="213" spans="1:103" ht="15.75" customHeight="1">
      <c r="A213" s="14"/>
      <c r="B213" s="14"/>
      <c r="C213" s="14"/>
      <c r="D213" s="14"/>
      <c r="E213" s="15"/>
      <c r="F213" s="14"/>
      <c r="G213" s="16"/>
      <c r="H213" s="14"/>
      <c r="I213" s="14"/>
      <c r="J213" s="14"/>
      <c r="K213" s="14"/>
      <c r="L213" s="14"/>
      <c r="M213" s="14"/>
      <c r="N213" s="14"/>
      <c r="O213" s="14"/>
      <c r="P213" s="14"/>
      <c r="Q213" s="14"/>
      <c r="R213" s="14"/>
      <c r="S213" s="14"/>
      <c r="T213" s="14"/>
      <c r="U213" s="14"/>
      <c r="V213" s="14"/>
      <c r="W213" s="14"/>
      <c r="X213" s="14"/>
      <c r="Y213" s="14"/>
      <c r="Z213" s="14"/>
      <c r="AA213" s="14"/>
      <c r="AB213" s="14"/>
      <c r="AC213" s="14"/>
      <c r="AD213" s="14"/>
      <c r="AE213" s="14"/>
      <c r="AF213" s="14"/>
      <c r="AG213" s="14"/>
      <c r="AH213" s="14"/>
      <c r="AI213" s="14"/>
      <c r="AJ213" s="14"/>
      <c r="AK213" s="14"/>
      <c r="AL213" s="14"/>
      <c r="AM213" s="14"/>
      <c r="AN213" s="14"/>
      <c r="AO213" s="14"/>
      <c r="AP213" s="14"/>
      <c r="AQ213" s="14"/>
      <c r="AR213" s="14"/>
      <c r="AS213" s="14"/>
      <c r="AT213" s="14"/>
      <c r="AU213" s="14"/>
      <c r="AV213" s="14"/>
      <c r="AW213" s="14"/>
      <c r="AX213" s="14"/>
      <c r="AY213" s="14"/>
      <c r="AZ213" s="14"/>
      <c r="BA213" s="14"/>
      <c r="BB213" s="14"/>
      <c r="BC213" s="14"/>
      <c r="BD213" s="14"/>
      <c r="BE213" s="14"/>
      <c r="BF213" s="14"/>
      <c r="BG213" s="14"/>
      <c r="BH213" s="14"/>
      <c r="BI213" s="14"/>
      <c r="BJ213" s="14"/>
      <c r="BK213" s="14"/>
      <c r="BL213" s="14"/>
      <c r="BM213" s="14"/>
      <c r="BN213" s="14"/>
      <c r="BO213" s="14"/>
      <c r="BP213" s="14"/>
      <c r="BQ213" s="14"/>
      <c r="BR213" s="14"/>
      <c r="BS213" s="14"/>
      <c r="BT213" s="14"/>
      <c r="BU213" s="14"/>
      <c r="BV213" s="14"/>
      <c r="BW213" s="14"/>
      <c r="BX213" s="14"/>
      <c r="BY213" s="14"/>
      <c r="BZ213" s="14"/>
      <c r="CA213" s="14"/>
      <c r="CB213" s="14"/>
      <c r="CC213" s="14"/>
      <c r="CD213" s="14"/>
      <c r="CE213" s="14"/>
      <c r="CF213" s="14"/>
      <c r="CG213" s="14"/>
      <c r="CH213" s="14"/>
      <c r="CI213" s="14"/>
      <c r="CJ213" s="14"/>
      <c r="CK213" s="14"/>
      <c r="CL213" s="14"/>
      <c r="CM213" s="14"/>
      <c r="CN213" s="14"/>
      <c r="CO213" s="14"/>
      <c r="CP213" s="14"/>
      <c r="CQ213" s="14"/>
      <c r="CR213" s="14"/>
      <c r="CS213" s="14"/>
      <c r="CT213" s="14"/>
      <c r="CU213" s="14"/>
      <c r="CV213" s="14"/>
      <c r="CW213" s="14"/>
      <c r="CX213" s="14"/>
      <c r="CY213" s="14"/>
    </row>
    <row r="214" spans="1:103" ht="15.75" customHeight="1">
      <c r="A214" s="14"/>
      <c r="B214" s="14"/>
      <c r="C214" s="14"/>
      <c r="D214" s="14"/>
      <c r="E214" s="15"/>
      <c r="F214" s="14"/>
      <c r="G214" s="16"/>
      <c r="H214" s="14"/>
      <c r="I214" s="14"/>
      <c r="J214" s="14"/>
      <c r="K214" s="14"/>
      <c r="L214" s="14"/>
      <c r="M214" s="14"/>
      <c r="N214" s="14"/>
      <c r="O214" s="14"/>
      <c r="P214" s="14"/>
      <c r="Q214" s="14"/>
      <c r="R214" s="14"/>
      <c r="S214" s="14"/>
      <c r="T214" s="14"/>
      <c r="U214" s="14"/>
      <c r="V214" s="14"/>
      <c r="W214" s="14"/>
      <c r="X214" s="14"/>
      <c r="Y214" s="14"/>
      <c r="Z214" s="14"/>
      <c r="AA214" s="14"/>
      <c r="AB214" s="14"/>
      <c r="AC214" s="14"/>
      <c r="AD214" s="14"/>
      <c r="AE214" s="14"/>
      <c r="AF214" s="14"/>
      <c r="AG214" s="14"/>
      <c r="AH214" s="14"/>
      <c r="AI214" s="14"/>
      <c r="AJ214" s="14"/>
      <c r="AK214" s="14"/>
      <c r="AL214" s="14"/>
      <c r="AM214" s="14"/>
      <c r="AN214" s="14"/>
      <c r="AO214" s="14"/>
      <c r="AP214" s="14"/>
      <c r="AQ214" s="14"/>
      <c r="AR214" s="14"/>
      <c r="AS214" s="14"/>
      <c r="AT214" s="14"/>
      <c r="AU214" s="14"/>
      <c r="AV214" s="14"/>
      <c r="AW214" s="14"/>
      <c r="AX214" s="14"/>
      <c r="AY214" s="14"/>
      <c r="AZ214" s="14"/>
      <c r="BA214" s="14"/>
      <c r="BB214" s="14"/>
      <c r="BC214" s="14"/>
      <c r="BD214" s="14"/>
      <c r="BE214" s="14"/>
      <c r="BF214" s="14"/>
      <c r="BG214" s="14"/>
      <c r="BH214" s="14"/>
      <c r="BI214" s="14"/>
      <c r="BJ214" s="14"/>
      <c r="BK214" s="14"/>
      <c r="BL214" s="14"/>
      <c r="BM214" s="14"/>
      <c r="BN214" s="14"/>
      <c r="BO214" s="14"/>
      <c r="BP214" s="14"/>
      <c r="BQ214" s="14"/>
      <c r="BR214" s="14"/>
      <c r="BS214" s="14"/>
      <c r="BT214" s="14"/>
      <c r="BU214" s="14"/>
      <c r="BV214" s="14"/>
      <c r="BW214" s="14"/>
      <c r="BX214" s="14"/>
      <c r="BY214" s="14"/>
      <c r="BZ214" s="14"/>
      <c r="CA214" s="14"/>
      <c r="CB214" s="14"/>
      <c r="CC214" s="14"/>
      <c r="CD214" s="14"/>
      <c r="CE214" s="14"/>
      <c r="CF214" s="14"/>
      <c r="CG214" s="14"/>
      <c r="CH214" s="14"/>
      <c r="CI214" s="14"/>
      <c r="CJ214" s="14"/>
      <c r="CK214" s="14"/>
      <c r="CL214" s="14"/>
      <c r="CM214" s="14"/>
      <c r="CN214" s="14"/>
      <c r="CO214" s="14"/>
      <c r="CP214" s="14"/>
      <c r="CQ214" s="14"/>
      <c r="CR214" s="14"/>
      <c r="CS214" s="14"/>
      <c r="CT214" s="14"/>
      <c r="CU214" s="14"/>
      <c r="CV214" s="14"/>
      <c r="CW214" s="14"/>
      <c r="CX214" s="14"/>
      <c r="CY214" s="14"/>
    </row>
    <row r="215" spans="1:103" ht="15.75" customHeight="1">
      <c r="A215" s="14"/>
      <c r="B215" s="14"/>
      <c r="C215" s="14"/>
      <c r="D215" s="14"/>
      <c r="E215" s="15"/>
      <c r="F215" s="14"/>
      <c r="G215" s="16"/>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14"/>
      <c r="AH215" s="14"/>
      <c r="AI215" s="14"/>
      <c r="AJ215" s="14"/>
      <c r="AK215" s="14"/>
      <c r="AL215" s="14"/>
      <c r="AM215" s="14"/>
      <c r="AN215" s="14"/>
      <c r="AO215" s="14"/>
      <c r="AP215" s="14"/>
      <c r="AQ215" s="14"/>
      <c r="AR215" s="14"/>
      <c r="AS215" s="14"/>
      <c r="AT215" s="14"/>
      <c r="AU215" s="14"/>
      <c r="AV215" s="14"/>
      <c r="AW215" s="14"/>
      <c r="AX215" s="14"/>
      <c r="AY215" s="14"/>
      <c r="AZ215" s="14"/>
      <c r="BA215" s="14"/>
      <c r="BB215" s="14"/>
      <c r="BC215" s="14"/>
      <c r="BD215" s="14"/>
      <c r="BE215" s="14"/>
      <c r="BF215" s="14"/>
      <c r="BG215" s="14"/>
      <c r="BH215" s="14"/>
      <c r="BI215" s="14"/>
      <c r="BJ215" s="14"/>
      <c r="BK215" s="14"/>
      <c r="BL215" s="14"/>
      <c r="BM215" s="14"/>
      <c r="BN215" s="14"/>
      <c r="BO215" s="14"/>
      <c r="BP215" s="14"/>
      <c r="BQ215" s="14"/>
      <c r="BR215" s="14"/>
      <c r="BS215" s="14"/>
      <c r="BT215" s="14"/>
      <c r="BU215" s="14"/>
      <c r="BV215" s="14"/>
      <c r="BW215" s="14"/>
      <c r="BX215" s="14"/>
      <c r="BY215" s="14"/>
      <c r="BZ215" s="14"/>
      <c r="CA215" s="14"/>
      <c r="CB215" s="14"/>
      <c r="CC215" s="14"/>
      <c r="CD215" s="14"/>
      <c r="CE215" s="14"/>
      <c r="CF215" s="14"/>
      <c r="CG215" s="14"/>
      <c r="CH215" s="14"/>
      <c r="CI215" s="14"/>
      <c r="CJ215" s="14"/>
      <c r="CK215" s="14"/>
      <c r="CL215" s="14"/>
      <c r="CM215" s="14"/>
      <c r="CN215" s="14"/>
      <c r="CO215" s="14"/>
      <c r="CP215" s="14"/>
      <c r="CQ215" s="14"/>
      <c r="CR215" s="14"/>
      <c r="CS215" s="14"/>
      <c r="CT215" s="14"/>
      <c r="CU215" s="14"/>
      <c r="CV215" s="14"/>
      <c r="CW215" s="14"/>
      <c r="CX215" s="14"/>
      <c r="CY215" s="14"/>
    </row>
    <row r="216" spans="1:103" ht="15.75" customHeight="1">
      <c r="A216" s="14"/>
      <c r="B216" s="14"/>
      <c r="C216" s="14"/>
      <c r="D216" s="14"/>
      <c r="E216" s="15"/>
      <c r="F216" s="14"/>
      <c r="G216" s="16"/>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c r="AQ216" s="14"/>
      <c r="AR216" s="14"/>
      <c r="AS216" s="14"/>
      <c r="AT216" s="14"/>
      <c r="AU216" s="14"/>
      <c r="AV216" s="14"/>
      <c r="AW216" s="14"/>
      <c r="AX216" s="14"/>
      <c r="AY216" s="14"/>
      <c r="AZ216" s="14"/>
      <c r="BA216" s="14"/>
      <c r="BB216" s="14"/>
      <c r="BC216" s="14"/>
      <c r="BD216" s="14"/>
      <c r="BE216" s="14"/>
      <c r="BF216" s="14"/>
      <c r="BG216" s="14"/>
      <c r="BH216" s="14"/>
      <c r="BI216" s="14"/>
      <c r="BJ216" s="14"/>
      <c r="BK216" s="14"/>
      <c r="BL216" s="14"/>
      <c r="BM216" s="14"/>
      <c r="BN216" s="14"/>
      <c r="BO216" s="14"/>
      <c r="BP216" s="14"/>
      <c r="BQ216" s="14"/>
      <c r="BR216" s="14"/>
      <c r="BS216" s="14"/>
      <c r="BT216" s="14"/>
      <c r="BU216" s="14"/>
      <c r="BV216" s="14"/>
      <c r="BW216" s="14"/>
      <c r="BX216" s="14"/>
      <c r="BY216" s="14"/>
      <c r="BZ216" s="14"/>
      <c r="CA216" s="14"/>
      <c r="CB216" s="14"/>
      <c r="CC216" s="14"/>
      <c r="CD216" s="14"/>
      <c r="CE216" s="14"/>
      <c r="CF216" s="14"/>
      <c r="CG216" s="14"/>
      <c r="CH216" s="14"/>
      <c r="CI216" s="14"/>
      <c r="CJ216" s="14"/>
      <c r="CK216" s="14"/>
      <c r="CL216" s="14"/>
      <c r="CM216" s="14"/>
      <c r="CN216" s="14"/>
      <c r="CO216" s="14"/>
      <c r="CP216" s="14"/>
      <c r="CQ216" s="14"/>
      <c r="CR216" s="14"/>
      <c r="CS216" s="14"/>
      <c r="CT216" s="14"/>
      <c r="CU216" s="14"/>
      <c r="CV216" s="14"/>
      <c r="CW216" s="14"/>
      <c r="CX216" s="14"/>
      <c r="CY216" s="14"/>
    </row>
    <row r="217" spans="1:103" ht="15.75" customHeight="1">
      <c r="A217" s="14"/>
      <c r="B217" s="14"/>
      <c r="C217" s="14"/>
      <c r="D217" s="14"/>
      <c r="E217" s="15"/>
      <c r="F217" s="14"/>
      <c r="G217" s="16"/>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c r="AQ217" s="14"/>
      <c r="AR217" s="14"/>
      <c r="AS217" s="14"/>
      <c r="AT217" s="14"/>
      <c r="AU217" s="14"/>
      <c r="AV217" s="14"/>
      <c r="AW217" s="14"/>
      <c r="AX217" s="14"/>
      <c r="AY217" s="14"/>
      <c r="AZ217" s="14"/>
      <c r="BA217" s="14"/>
      <c r="BB217" s="14"/>
      <c r="BC217" s="14"/>
      <c r="BD217" s="14"/>
      <c r="BE217" s="14"/>
      <c r="BF217" s="14"/>
      <c r="BG217" s="14"/>
      <c r="BH217" s="14"/>
      <c r="BI217" s="14"/>
      <c r="BJ217" s="14"/>
      <c r="BK217" s="14"/>
      <c r="BL217" s="14"/>
      <c r="BM217" s="14"/>
      <c r="BN217" s="14"/>
      <c r="BO217" s="14"/>
      <c r="BP217" s="14"/>
      <c r="BQ217" s="14"/>
      <c r="BR217" s="14"/>
      <c r="BS217" s="14"/>
      <c r="BT217" s="14"/>
      <c r="BU217" s="14"/>
      <c r="BV217" s="14"/>
      <c r="BW217" s="14"/>
      <c r="BX217" s="14"/>
      <c r="BY217" s="14"/>
      <c r="BZ217" s="14"/>
      <c r="CA217" s="14"/>
      <c r="CB217" s="14"/>
      <c r="CC217" s="14"/>
      <c r="CD217" s="14"/>
      <c r="CE217" s="14"/>
      <c r="CF217" s="14"/>
      <c r="CG217" s="14"/>
      <c r="CH217" s="14"/>
      <c r="CI217" s="14"/>
      <c r="CJ217" s="14"/>
      <c r="CK217" s="14"/>
      <c r="CL217" s="14"/>
      <c r="CM217" s="14"/>
      <c r="CN217" s="14"/>
      <c r="CO217" s="14"/>
      <c r="CP217" s="14"/>
      <c r="CQ217" s="14"/>
      <c r="CR217" s="14"/>
      <c r="CS217" s="14"/>
      <c r="CT217" s="14"/>
      <c r="CU217" s="14"/>
      <c r="CV217" s="14"/>
      <c r="CW217" s="14"/>
      <c r="CX217" s="14"/>
      <c r="CY217" s="14"/>
    </row>
    <row r="218" spans="1:103" ht="15.75" customHeight="1">
      <c r="A218" s="14"/>
      <c r="B218" s="14"/>
      <c r="C218" s="14"/>
      <c r="D218" s="14"/>
      <c r="E218" s="15"/>
      <c r="F218" s="14"/>
      <c r="G218" s="16"/>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c r="AQ218" s="14"/>
      <c r="AR218" s="14"/>
      <c r="AS218" s="14"/>
      <c r="AT218" s="14"/>
      <c r="AU218" s="14"/>
      <c r="AV218" s="14"/>
      <c r="AW218" s="14"/>
      <c r="AX218" s="14"/>
      <c r="AY218" s="14"/>
      <c r="AZ218" s="14"/>
      <c r="BA218" s="14"/>
      <c r="BB218" s="14"/>
      <c r="BC218" s="14"/>
      <c r="BD218" s="14"/>
      <c r="BE218" s="14"/>
      <c r="BF218" s="14"/>
      <c r="BG218" s="14"/>
      <c r="BH218" s="14"/>
      <c r="BI218" s="14"/>
      <c r="BJ218" s="14"/>
      <c r="BK218" s="14"/>
      <c r="BL218" s="14"/>
      <c r="BM218" s="14"/>
      <c r="BN218" s="14"/>
      <c r="BO218" s="14"/>
      <c r="BP218" s="14"/>
      <c r="BQ218" s="14"/>
      <c r="BR218" s="14"/>
      <c r="BS218" s="14"/>
      <c r="BT218" s="14"/>
      <c r="BU218" s="14"/>
      <c r="BV218" s="14"/>
      <c r="BW218" s="14"/>
      <c r="BX218" s="14"/>
      <c r="BY218" s="14"/>
      <c r="BZ218" s="14"/>
      <c r="CA218" s="14"/>
      <c r="CB218" s="14"/>
      <c r="CC218" s="14"/>
      <c r="CD218" s="14"/>
      <c r="CE218" s="14"/>
      <c r="CF218" s="14"/>
      <c r="CG218" s="14"/>
      <c r="CH218" s="14"/>
      <c r="CI218" s="14"/>
      <c r="CJ218" s="14"/>
      <c r="CK218" s="14"/>
      <c r="CL218" s="14"/>
      <c r="CM218" s="14"/>
      <c r="CN218" s="14"/>
      <c r="CO218" s="14"/>
      <c r="CP218" s="14"/>
      <c r="CQ218" s="14"/>
      <c r="CR218" s="14"/>
      <c r="CS218" s="14"/>
      <c r="CT218" s="14"/>
      <c r="CU218" s="14"/>
      <c r="CV218" s="14"/>
      <c r="CW218" s="14"/>
      <c r="CX218" s="14"/>
      <c r="CY218" s="14"/>
    </row>
    <row r="219" spans="1:103" ht="15.75" customHeight="1">
      <c r="A219" s="14"/>
      <c r="B219" s="14"/>
      <c r="C219" s="14"/>
      <c r="D219" s="14"/>
      <c r="E219" s="15"/>
      <c r="F219" s="14"/>
      <c r="G219" s="16"/>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c r="AQ219" s="14"/>
      <c r="AR219" s="14"/>
      <c r="AS219" s="14"/>
      <c r="AT219" s="14"/>
      <c r="AU219" s="14"/>
      <c r="AV219" s="14"/>
      <c r="AW219" s="14"/>
      <c r="AX219" s="14"/>
      <c r="AY219" s="14"/>
      <c r="AZ219" s="14"/>
      <c r="BA219" s="14"/>
      <c r="BB219" s="14"/>
      <c r="BC219" s="14"/>
      <c r="BD219" s="14"/>
      <c r="BE219" s="14"/>
      <c r="BF219" s="14"/>
      <c r="BG219" s="14"/>
      <c r="BH219" s="14"/>
      <c r="BI219" s="14"/>
      <c r="BJ219" s="14"/>
      <c r="BK219" s="14"/>
      <c r="BL219" s="14"/>
      <c r="BM219" s="14"/>
      <c r="BN219" s="14"/>
      <c r="BO219" s="14"/>
      <c r="BP219" s="14"/>
      <c r="BQ219" s="14"/>
      <c r="BR219" s="14"/>
      <c r="BS219" s="14"/>
      <c r="BT219" s="14"/>
      <c r="BU219" s="14"/>
      <c r="BV219" s="14"/>
      <c r="BW219" s="14"/>
      <c r="BX219" s="14"/>
      <c r="BY219" s="14"/>
      <c r="BZ219" s="14"/>
      <c r="CA219" s="14"/>
      <c r="CB219" s="14"/>
      <c r="CC219" s="14"/>
      <c r="CD219" s="14"/>
      <c r="CE219" s="14"/>
      <c r="CF219" s="14"/>
      <c r="CG219" s="14"/>
      <c r="CH219" s="14"/>
      <c r="CI219" s="14"/>
      <c r="CJ219" s="14"/>
      <c r="CK219" s="14"/>
      <c r="CL219" s="14"/>
      <c r="CM219" s="14"/>
      <c r="CN219" s="14"/>
      <c r="CO219" s="14"/>
      <c r="CP219" s="14"/>
      <c r="CQ219" s="14"/>
      <c r="CR219" s="14"/>
      <c r="CS219" s="14"/>
      <c r="CT219" s="14"/>
      <c r="CU219" s="14"/>
      <c r="CV219" s="14"/>
      <c r="CW219" s="14"/>
      <c r="CX219" s="14"/>
      <c r="CY219" s="14"/>
    </row>
    <row r="220" spans="1:103" ht="15.75" customHeight="1">
      <c r="A220" s="14"/>
      <c r="B220" s="14"/>
      <c r="C220" s="14"/>
      <c r="D220" s="14"/>
      <c r="E220" s="15"/>
      <c r="F220" s="14"/>
      <c r="G220" s="16"/>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c r="AQ220" s="14"/>
      <c r="AR220" s="14"/>
      <c r="AS220" s="14"/>
      <c r="AT220" s="14"/>
      <c r="AU220" s="14"/>
      <c r="AV220" s="14"/>
      <c r="AW220" s="14"/>
      <c r="AX220" s="14"/>
      <c r="AY220" s="14"/>
      <c r="AZ220" s="14"/>
      <c r="BA220" s="14"/>
      <c r="BB220" s="14"/>
      <c r="BC220" s="14"/>
      <c r="BD220" s="14"/>
      <c r="BE220" s="14"/>
      <c r="BF220" s="14"/>
      <c r="BG220" s="14"/>
      <c r="BH220" s="14"/>
      <c r="BI220" s="14"/>
      <c r="BJ220" s="14"/>
      <c r="BK220" s="14"/>
      <c r="BL220" s="14"/>
      <c r="BM220" s="14"/>
      <c r="BN220" s="14"/>
      <c r="BO220" s="14"/>
      <c r="BP220" s="14"/>
      <c r="BQ220" s="14"/>
      <c r="BR220" s="14"/>
      <c r="BS220" s="14"/>
      <c r="BT220" s="14"/>
      <c r="BU220" s="14"/>
      <c r="BV220" s="14"/>
      <c r="BW220" s="14"/>
      <c r="BX220" s="14"/>
      <c r="BY220" s="14"/>
      <c r="BZ220" s="14"/>
      <c r="CA220" s="14"/>
      <c r="CB220" s="14"/>
      <c r="CC220" s="14"/>
      <c r="CD220" s="14"/>
      <c r="CE220" s="14"/>
      <c r="CF220" s="14"/>
      <c r="CG220" s="14"/>
      <c r="CH220" s="14"/>
      <c r="CI220" s="14"/>
      <c r="CJ220" s="14"/>
      <c r="CK220" s="14"/>
      <c r="CL220" s="14"/>
      <c r="CM220" s="14"/>
      <c r="CN220" s="14"/>
      <c r="CO220" s="14"/>
      <c r="CP220" s="14"/>
      <c r="CQ220" s="14"/>
      <c r="CR220" s="14"/>
      <c r="CS220" s="14"/>
      <c r="CT220" s="14"/>
      <c r="CU220" s="14"/>
      <c r="CV220" s="14"/>
      <c r="CW220" s="14"/>
      <c r="CX220" s="14"/>
      <c r="CY220" s="14"/>
    </row>
    <row r="221" spans="1:103" ht="15.75" customHeight="1">
      <c r="A221" s="14"/>
      <c r="B221" s="14"/>
      <c r="C221" s="14"/>
      <c r="D221" s="14"/>
      <c r="E221" s="15"/>
      <c r="F221" s="14"/>
      <c r="G221" s="16"/>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c r="AQ221" s="14"/>
      <c r="AR221" s="14"/>
      <c r="AS221" s="14"/>
      <c r="AT221" s="14"/>
      <c r="AU221" s="14"/>
      <c r="AV221" s="14"/>
      <c r="AW221" s="14"/>
      <c r="AX221" s="14"/>
      <c r="AY221" s="14"/>
      <c r="AZ221" s="14"/>
      <c r="BA221" s="14"/>
      <c r="BB221" s="14"/>
      <c r="BC221" s="14"/>
      <c r="BD221" s="14"/>
      <c r="BE221" s="14"/>
      <c r="BF221" s="14"/>
      <c r="BG221" s="14"/>
      <c r="BH221" s="14"/>
      <c r="BI221" s="14"/>
      <c r="BJ221" s="14"/>
      <c r="BK221" s="14"/>
      <c r="BL221" s="14"/>
      <c r="BM221" s="14"/>
      <c r="BN221" s="14"/>
      <c r="BO221" s="14"/>
      <c r="BP221" s="14"/>
      <c r="BQ221" s="14"/>
      <c r="BR221" s="14"/>
      <c r="BS221" s="14"/>
      <c r="BT221" s="14"/>
      <c r="BU221" s="14"/>
      <c r="BV221" s="14"/>
      <c r="BW221" s="14"/>
      <c r="BX221" s="14"/>
      <c r="BY221" s="14"/>
      <c r="BZ221" s="14"/>
      <c r="CA221" s="14"/>
      <c r="CB221" s="14"/>
      <c r="CC221" s="14"/>
      <c r="CD221" s="14"/>
      <c r="CE221" s="14"/>
      <c r="CF221" s="14"/>
      <c r="CG221" s="14"/>
      <c r="CH221" s="14"/>
      <c r="CI221" s="14"/>
      <c r="CJ221" s="14"/>
      <c r="CK221" s="14"/>
      <c r="CL221" s="14"/>
      <c r="CM221" s="14"/>
      <c r="CN221" s="14"/>
      <c r="CO221" s="14"/>
      <c r="CP221" s="14"/>
      <c r="CQ221" s="14"/>
      <c r="CR221" s="14"/>
      <c r="CS221" s="14"/>
      <c r="CT221" s="14"/>
      <c r="CU221" s="14"/>
      <c r="CV221" s="14"/>
      <c r="CW221" s="14"/>
      <c r="CX221" s="14"/>
      <c r="CY221" s="14"/>
    </row>
    <row r="222" spans="1:103" ht="15.75" customHeight="1">
      <c r="A222" s="14"/>
      <c r="B222" s="14"/>
      <c r="C222" s="14"/>
      <c r="D222" s="14"/>
      <c r="E222" s="15"/>
      <c r="F222" s="14"/>
      <c r="G222" s="16"/>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c r="AQ222" s="14"/>
      <c r="AR222" s="14"/>
      <c r="AS222" s="14"/>
      <c r="AT222" s="14"/>
      <c r="AU222" s="14"/>
      <c r="AV222" s="14"/>
      <c r="AW222" s="14"/>
      <c r="AX222" s="14"/>
      <c r="AY222" s="14"/>
      <c r="AZ222" s="14"/>
      <c r="BA222" s="14"/>
      <c r="BB222" s="14"/>
      <c r="BC222" s="14"/>
      <c r="BD222" s="14"/>
      <c r="BE222" s="14"/>
      <c r="BF222" s="14"/>
      <c r="BG222" s="14"/>
      <c r="BH222" s="14"/>
      <c r="BI222" s="14"/>
      <c r="BJ222" s="14"/>
      <c r="BK222" s="14"/>
      <c r="BL222" s="14"/>
      <c r="BM222" s="14"/>
      <c r="BN222" s="14"/>
      <c r="BO222" s="14"/>
      <c r="BP222" s="14"/>
      <c r="BQ222" s="14"/>
      <c r="BR222" s="14"/>
      <c r="BS222" s="14"/>
      <c r="BT222" s="14"/>
      <c r="BU222" s="14"/>
      <c r="BV222" s="14"/>
      <c r="BW222" s="14"/>
      <c r="BX222" s="14"/>
      <c r="BY222" s="14"/>
      <c r="BZ222" s="14"/>
      <c r="CA222" s="14"/>
      <c r="CB222" s="14"/>
      <c r="CC222" s="14"/>
      <c r="CD222" s="14"/>
      <c r="CE222" s="14"/>
      <c r="CF222" s="14"/>
      <c r="CG222" s="14"/>
      <c r="CH222" s="14"/>
      <c r="CI222" s="14"/>
      <c r="CJ222" s="14"/>
      <c r="CK222" s="14"/>
      <c r="CL222" s="14"/>
      <c r="CM222" s="14"/>
      <c r="CN222" s="14"/>
      <c r="CO222" s="14"/>
      <c r="CP222" s="14"/>
      <c r="CQ222" s="14"/>
      <c r="CR222" s="14"/>
      <c r="CS222" s="14"/>
      <c r="CT222" s="14"/>
      <c r="CU222" s="14"/>
      <c r="CV222" s="14"/>
      <c r="CW222" s="14"/>
      <c r="CX222" s="14"/>
      <c r="CY222" s="14"/>
    </row>
    <row r="223" spans="1:103" ht="15.75" customHeight="1">
      <c r="A223" s="14"/>
      <c r="B223" s="14"/>
      <c r="C223" s="14"/>
      <c r="D223" s="14"/>
      <c r="E223" s="15"/>
      <c r="F223" s="14"/>
      <c r="G223" s="16"/>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c r="AQ223" s="14"/>
      <c r="AR223" s="14"/>
      <c r="AS223" s="14"/>
      <c r="AT223" s="14"/>
      <c r="AU223" s="14"/>
      <c r="AV223" s="14"/>
      <c r="AW223" s="14"/>
      <c r="AX223" s="14"/>
      <c r="AY223" s="14"/>
      <c r="AZ223" s="14"/>
      <c r="BA223" s="14"/>
      <c r="BB223" s="14"/>
      <c r="BC223" s="14"/>
      <c r="BD223" s="14"/>
      <c r="BE223" s="14"/>
      <c r="BF223" s="14"/>
      <c r="BG223" s="14"/>
      <c r="BH223" s="14"/>
      <c r="BI223" s="14"/>
      <c r="BJ223" s="14"/>
      <c r="BK223" s="14"/>
      <c r="BL223" s="14"/>
      <c r="BM223" s="14"/>
      <c r="BN223" s="14"/>
      <c r="BO223" s="14"/>
      <c r="BP223" s="14"/>
      <c r="BQ223" s="14"/>
      <c r="BR223" s="14"/>
      <c r="BS223" s="14"/>
      <c r="BT223" s="14"/>
      <c r="BU223" s="14"/>
      <c r="BV223" s="14"/>
      <c r="BW223" s="14"/>
      <c r="BX223" s="14"/>
      <c r="BY223" s="14"/>
      <c r="BZ223" s="14"/>
      <c r="CA223" s="14"/>
      <c r="CB223" s="14"/>
      <c r="CC223" s="14"/>
      <c r="CD223" s="14"/>
      <c r="CE223" s="14"/>
      <c r="CF223" s="14"/>
      <c r="CG223" s="14"/>
      <c r="CH223" s="14"/>
      <c r="CI223" s="14"/>
      <c r="CJ223" s="14"/>
      <c r="CK223" s="14"/>
      <c r="CL223" s="14"/>
      <c r="CM223" s="14"/>
      <c r="CN223" s="14"/>
      <c r="CO223" s="14"/>
      <c r="CP223" s="14"/>
      <c r="CQ223" s="14"/>
      <c r="CR223" s="14"/>
      <c r="CS223" s="14"/>
      <c r="CT223" s="14"/>
      <c r="CU223" s="14"/>
      <c r="CV223" s="14"/>
      <c r="CW223" s="14"/>
      <c r="CX223" s="14"/>
      <c r="CY223" s="14"/>
    </row>
    <row r="224" spans="1:103" ht="15.75" customHeight="1">
      <c r="A224" s="14"/>
      <c r="B224" s="14"/>
      <c r="C224" s="14"/>
      <c r="D224" s="14"/>
      <c r="E224" s="15"/>
      <c r="F224" s="14"/>
      <c r="G224" s="16"/>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c r="AQ224" s="14"/>
      <c r="AR224" s="14"/>
      <c r="AS224" s="14"/>
      <c r="AT224" s="14"/>
      <c r="AU224" s="14"/>
      <c r="AV224" s="14"/>
      <c r="AW224" s="14"/>
      <c r="AX224" s="14"/>
      <c r="AY224" s="14"/>
      <c r="AZ224" s="14"/>
      <c r="BA224" s="14"/>
      <c r="BB224" s="14"/>
      <c r="BC224" s="14"/>
      <c r="BD224" s="14"/>
      <c r="BE224" s="14"/>
      <c r="BF224" s="14"/>
      <c r="BG224" s="14"/>
      <c r="BH224" s="14"/>
      <c r="BI224" s="14"/>
      <c r="BJ224" s="14"/>
      <c r="BK224" s="14"/>
      <c r="BL224" s="14"/>
      <c r="BM224" s="14"/>
      <c r="BN224" s="14"/>
      <c r="BO224" s="14"/>
      <c r="BP224" s="14"/>
      <c r="BQ224" s="14"/>
      <c r="BR224" s="14"/>
      <c r="BS224" s="14"/>
      <c r="BT224" s="14"/>
      <c r="BU224" s="14"/>
      <c r="BV224" s="14"/>
      <c r="BW224" s="14"/>
      <c r="BX224" s="14"/>
      <c r="BY224" s="14"/>
      <c r="BZ224" s="14"/>
      <c r="CA224" s="14"/>
      <c r="CB224" s="14"/>
      <c r="CC224" s="14"/>
      <c r="CD224" s="14"/>
      <c r="CE224" s="14"/>
      <c r="CF224" s="14"/>
      <c r="CG224" s="14"/>
      <c r="CH224" s="14"/>
      <c r="CI224" s="14"/>
      <c r="CJ224" s="14"/>
      <c r="CK224" s="14"/>
      <c r="CL224" s="14"/>
      <c r="CM224" s="14"/>
      <c r="CN224" s="14"/>
      <c r="CO224" s="14"/>
      <c r="CP224" s="14"/>
      <c r="CQ224" s="14"/>
      <c r="CR224" s="14"/>
      <c r="CS224" s="14"/>
      <c r="CT224" s="14"/>
      <c r="CU224" s="14"/>
      <c r="CV224" s="14"/>
      <c r="CW224" s="14"/>
      <c r="CX224" s="14"/>
      <c r="CY224" s="14"/>
    </row>
    <row r="225" spans="1:103" ht="15.75" customHeight="1">
      <c r="A225" s="14"/>
      <c r="B225" s="14"/>
      <c r="C225" s="14"/>
      <c r="D225" s="14"/>
      <c r="E225" s="15"/>
      <c r="F225" s="14"/>
      <c r="G225" s="16"/>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4"/>
      <c r="AZ225" s="14"/>
      <c r="BA225" s="14"/>
      <c r="BB225" s="14"/>
      <c r="BC225" s="14"/>
      <c r="BD225" s="14"/>
      <c r="BE225" s="14"/>
      <c r="BF225" s="14"/>
      <c r="BG225" s="14"/>
      <c r="BH225" s="14"/>
      <c r="BI225" s="14"/>
      <c r="BJ225" s="14"/>
      <c r="BK225" s="14"/>
      <c r="BL225" s="14"/>
      <c r="BM225" s="14"/>
      <c r="BN225" s="14"/>
      <c r="BO225" s="14"/>
      <c r="BP225" s="14"/>
      <c r="BQ225" s="14"/>
      <c r="BR225" s="14"/>
      <c r="BS225" s="14"/>
      <c r="BT225" s="14"/>
      <c r="BU225" s="14"/>
      <c r="BV225" s="14"/>
      <c r="BW225" s="14"/>
      <c r="BX225" s="14"/>
      <c r="BY225" s="14"/>
      <c r="BZ225" s="14"/>
      <c r="CA225" s="14"/>
      <c r="CB225" s="14"/>
      <c r="CC225" s="14"/>
      <c r="CD225" s="14"/>
      <c r="CE225" s="14"/>
      <c r="CF225" s="14"/>
      <c r="CG225" s="14"/>
      <c r="CH225" s="14"/>
      <c r="CI225" s="14"/>
      <c r="CJ225" s="14"/>
      <c r="CK225" s="14"/>
      <c r="CL225" s="14"/>
      <c r="CM225" s="14"/>
      <c r="CN225" s="14"/>
      <c r="CO225" s="14"/>
      <c r="CP225" s="14"/>
      <c r="CQ225" s="14"/>
      <c r="CR225" s="14"/>
      <c r="CS225" s="14"/>
      <c r="CT225" s="14"/>
      <c r="CU225" s="14"/>
      <c r="CV225" s="14"/>
      <c r="CW225" s="14"/>
      <c r="CX225" s="14"/>
      <c r="CY225" s="14"/>
    </row>
    <row r="226" spans="1:103" ht="15.75" customHeight="1">
      <c r="A226" s="14"/>
      <c r="B226" s="14"/>
      <c r="C226" s="14"/>
      <c r="D226" s="14"/>
      <c r="E226" s="15"/>
      <c r="F226" s="14"/>
      <c r="G226" s="16"/>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c r="AQ226" s="14"/>
      <c r="AR226" s="14"/>
      <c r="AS226" s="14"/>
      <c r="AT226" s="14"/>
      <c r="AU226" s="14"/>
      <c r="AV226" s="14"/>
      <c r="AW226" s="14"/>
      <c r="AX226" s="14"/>
      <c r="AY226" s="14"/>
      <c r="AZ226" s="14"/>
      <c r="BA226" s="14"/>
      <c r="BB226" s="14"/>
      <c r="BC226" s="14"/>
      <c r="BD226" s="14"/>
      <c r="BE226" s="14"/>
      <c r="BF226" s="14"/>
      <c r="BG226" s="14"/>
      <c r="BH226" s="14"/>
      <c r="BI226" s="14"/>
      <c r="BJ226" s="14"/>
      <c r="BK226" s="14"/>
      <c r="BL226" s="14"/>
      <c r="BM226" s="14"/>
      <c r="BN226" s="14"/>
      <c r="BO226" s="14"/>
      <c r="BP226" s="14"/>
      <c r="BQ226" s="14"/>
      <c r="BR226" s="14"/>
      <c r="BS226" s="14"/>
      <c r="BT226" s="14"/>
      <c r="BU226" s="14"/>
      <c r="BV226" s="14"/>
      <c r="BW226" s="14"/>
      <c r="BX226" s="14"/>
      <c r="BY226" s="14"/>
      <c r="BZ226" s="14"/>
      <c r="CA226" s="14"/>
      <c r="CB226" s="14"/>
      <c r="CC226" s="14"/>
      <c r="CD226" s="14"/>
      <c r="CE226" s="14"/>
      <c r="CF226" s="14"/>
      <c r="CG226" s="14"/>
      <c r="CH226" s="14"/>
      <c r="CI226" s="14"/>
      <c r="CJ226" s="14"/>
      <c r="CK226" s="14"/>
      <c r="CL226" s="14"/>
      <c r="CM226" s="14"/>
      <c r="CN226" s="14"/>
      <c r="CO226" s="14"/>
      <c r="CP226" s="14"/>
      <c r="CQ226" s="14"/>
      <c r="CR226" s="14"/>
      <c r="CS226" s="14"/>
      <c r="CT226" s="14"/>
      <c r="CU226" s="14"/>
      <c r="CV226" s="14"/>
      <c r="CW226" s="14"/>
      <c r="CX226" s="14"/>
      <c r="CY226" s="14"/>
    </row>
    <row r="227" spans="1:103" ht="15.75" customHeight="1">
      <c r="A227" s="14"/>
      <c r="B227" s="14"/>
      <c r="C227" s="14"/>
      <c r="D227" s="14"/>
      <c r="E227" s="15"/>
      <c r="F227" s="14"/>
      <c r="G227" s="16"/>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c r="AQ227" s="14"/>
      <c r="AR227" s="14"/>
      <c r="AS227" s="14"/>
      <c r="AT227" s="14"/>
      <c r="AU227" s="14"/>
      <c r="AV227" s="14"/>
      <c r="AW227" s="14"/>
      <c r="AX227" s="14"/>
      <c r="AY227" s="14"/>
      <c r="AZ227" s="14"/>
      <c r="BA227" s="14"/>
      <c r="BB227" s="14"/>
      <c r="BC227" s="14"/>
      <c r="BD227" s="14"/>
      <c r="BE227" s="14"/>
      <c r="BF227" s="14"/>
      <c r="BG227" s="14"/>
      <c r="BH227" s="14"/>
      <c r="BI227" s="14"/>
      <c r="BJ227" s="14"/>
      <c r="BK227" s="14"/>
      <c r="BL227" s="14"/>
      <c r="BM227" s="14"/>
      <c r="BN227" s="14"/>
      <c r="BO227" s="14"/>
      <c r="BP227" s="14"/>
      <c r="BQ227" s="14"/>
      <c r="BR227" s="14"/>
      <c r="BS227" s="14"/>
      <c r="BT227" s="14"/>
      <c r="BU227" s="14"/>
      <c r="BV227" s="14"/>
      <c r="BW227" s="14"/>
      <c r="BX227" s="14"/>
      <c r="BY227" s="14"/>
      <c r="BZ227" s="14"/>
      <c r="CA227" s="14"/>
      <c r="CB227" s="14"/>
      <c r="CC227" s="14"/>
      <c r="CD227" s="14"/>
      <c r="CE227" s="14"/>
      <c r="CF227" s="14"/>
      <c r="CG227" s="14"/>
      <c r="CH227" s="14"/>
      <c r="CI227" s="14"/>
      <c r="CJ227" s="14"/>
      <c r="CK227" s="14"/>
      <c r="CL227" s="14"/>
      <c r="CM227" s="14"/>
      <c r="CN227" s="14"/>
      <c r="CO227" s="14"/>
      <c r="CP227" s="14"/>
      <c r="CQ227" s="14"/>
      <c r="CR227" s="14"/>
      <c r="CS227" s="14"/>
      <c r="CT227" s="14"/>
      <c r="CU227" s="14"/>
      <c r="CV227" s="14"/>
      <c r="CW227" s="14"/>
      <c r="CX227" s="14"/>
      <c r="CY227" s="14"/>
    </row>
    <row r="228" spans="1:103" ht="15.75" customHeight="1">
      <c r="A228" s="14"/>
      <c r="B228" s="14"/>
      <c r="C228" s="14"/>
      <c r="D228" s="14"/>
      <c r="E228" s="15"/>
      <c r="F228" s="14"/>
      <c r="G228" s="16"/>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c r="AQ228" s="14"/>
      <c r="AR228" s="14"/>
      <c r="AS228" s="14"/>
      <c r="AT228" s="14"/>
      <c r="AU228" s="14"/>
      <c r="AV228" s="14"/>
      <c r="AW228" s="14"/>
      <c r="AX228" s="14"/>
      <c r="AY228" s="14"/>
      <c r="AZ228" s="14"/>
      <c r="BA228" s="14"/>
      <c r="BB228" s="14"/>
      <c r="BC228" s="14"/>
      <c r="BD228" s="14"/>
      <c r="BE228" s="14"/>
      <c r="BF228" s="14"/>
      <c r="BG228" s="14"/>
      <c r="BH228" s="14"/>
      <c r="BI228" s="14"/>
      <c r="BJ228" s="14"/>
      <c r="BK228" s="14"/>
      <c r="BL228" s="14"/>
      <c r="BM228" s="14"/>
      <c r="BN228" s="14"/>
      <c r="BO228" s="14"/>
      <c r="BP228" s="14"/>
      <c r="BQ228" s="14"/>
      <c r="BR228" s="14"/>
      <c r="BS228" s="14"/>
      <c r="BT228" s="14"/>
      <c r="BU228" s="14"/>
      <c r="BV228" s="14"/>
      <c r="BW228" s="14"/>
      <c r="BX228" s="14"/>
      <c r="BY228" s="14"/>
      <c r="BZ228" s="14"/>
      <c r="CA228" s="14"/>
      <c r="CB228" s="14"/>
      <c r="CC228" s="14"/>
      <c r="CD228" s="14"/>
      <c r="CE228" s="14"/>
      <c r="CF228" s="14"/>
      <c r="CG228" s="14"/>
      <c r="CH228" s="14"/>
      <c r="CI228" s="14"/>
      <c r="CJ228" s="14"/>
      <c r="CK228" s="14"/>
      <c r="CL228" s="14"/>
      <c r="CM228" s="14"/>
      <c r="CN228" s="14"/>
      <c r="CO228" s="14"/>
      <c r="CP228" s="14"/>
      <c r="CQ228" s="14"/>
      <c r="CR228" s="14"/>
      <c r="CS228" s="14"/>
      <c r="CT228" s="14"/>
      <c r="CU228" s="14"/>
      <c r="CV228" s="14"/>
      <c r="CW228" s="14"/>
      <c r="CX228" s="14"/>
      <c r="CY228" s="14"/>
    </row>
    <row r="229" spans="1:103" ht="15.75" customHeight="1">
      <c r="A229" s="14"/>
      <c r="B229" s="14"/>
      <c r="C229" s="14"/>
      <c r="D229" s="14"/>
      <c r="E229" s="15"/>
      <c r="F229" s="14"/>
      <c r="G229" s="16"/>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c r="AQ229" s="14"/>
      <c r="AR229" s="14"/>
      <c r="AS229" s="14"/>
      <c r="AT229" s="14"/>
      <c r="AU229" s="14"/>
      <c r="AV229" s="14"/>
      <c r="AW229" s="14"/>
      <c r="AX229" s="14"/>
      <c r="AY229" s="14"/>
      <c r="AZ229" s="14"/>
      <c r="BA229" s="14"/>
      <c r="BB229" s="14"/>
      <c r="BC229" s="14"/>
      <c r="BD229" s="14"/>
      <c r="BE229" s="14"/>
      <c r="BF229" s="14"/>
      <c r="BG229" s="14"/>
      <c r="BH229" s="14"/>
      <c r="BI229" s="14"/>
      <c r="BJ229" s="14"/>
      <c r="BK229" s="14"/>
      <c r="BL229" s="14"/>
      <c r="BM229" s="14"/>
      <c r="BN229" s="14"/>
      <c r="BO229" s="14"/>
      <c r="BP229" s="14"/>
      <c r="BQ229" s="14"/>
      <c r="BR229" s="14"/>
      <c r="BS229" s="14"/>
      <c r="BT229" s="14"/>
      <c r="BU229" s="14"/>
      <c r="BV229" s="14"/>
      <c r="BW229" s="14"/>
      <c r="BX229" s="14"/>
      <c r="BY229" s="14"/>
      <c r="BZ229" s="14"/>
      <c r="CA229" s="14"/>
      <c r="CB229" s="14"/>
      <c r="CC229" s="14"/>
      <c r="CD229" s="14"/>
      <c r="CE229" s="14"/>
      <c r="CF229" s="14"/>
      <c r="CG229" s="14"/>
      <c r="CH229" s="14"/>
      <c r="CI229" s="14"/>
      <c r="CJ229" s="14"/>
      <c r="CK229" s="14"/>
      <c r="CL229" s="14"/>
      <c r="CM229" s="14"/>
      <c r="CN229" s="14"/>
      <c r="CO229" s="14"/>
      <c r="CP229" s="14"/>
      <c r="CQ229" s="14"/>
      <c r="CR229" s="14"/>
      <c r="CS229" s="14"/>
      <c r="CT229" s="14"/>
      <c r="CU229" s="14"/>
      <c r="CV229" s="14"/>
      <c r="CW229" s="14"/>
      <c r="CX229" s="14"/>
      <c r="CY229" s="14"/>
    </row>
    <row r="230" spans="1:103" ht="15.75" customHeight="1">
      <c r="A230" s="14"/>
      <c r="B230" s="14"/>
      <c r="C230" s="14"/>
      <c r="D230" s="14"/>
      <c r="E230" s="15"/>
      <c r="F230" s="14"/>
      <c r="G230" s="16"/>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c r="AQ230" s="14"/>
      <c r="AR230" s="14"/>
      <c r="AS230" s="14"/>
      <c r="AT230" s="14"/>
      <c r="AU230" s="14"/>
      <c r="AV230" s="14"/>
      <c r="AW230" s="14"/>
      <c r="AX230" s="14"/>
      <c r="AY230" s="14"/>
      <c r="AZ230" s="14"/>
      <c r="BA230" s="14"/>
      <c r="BB230" s="14"/>
      <c r="BC230" s="14"/>
      <c r="BD230" s="14"/>
      <c r="BE230" s="14"/>
      <c r="BF230" s="14"/>
      <c r="BG230" s="14"/>
      <c r="BH230" s="14"/>
      <c r="BI230" s="14"/>
      <c r="BJ230" s="14"/>
      <c r="BK230" s="14"/>
      <c r="BL230" s="14"/>
      <c r="BM230" s="14"/>
      <c r="BN230" s="14"/>
      <c r="BO230" s="14"/>
      <c r="BP230" s="14"/>
      <c r="BQ230" s="14"/>
      <c r="BR230" s="14"/>
      <c r="BS230" s="14"/>
      <c r="BT230" s="14"/>
      <c r="BU230" s="14"/>
      <c r="BV230" s="14"/>
      <c r="BW230" s="14"/>
      <c r="BX230" s="14"/>
      <c r="BY230" s="14"/>
      <c r="BZ230" s="14"/>
      <c r="CA230" s="14"/>
      <c r="CB230" s="14"/>
      <c r="CC230" s="14"/>
      <c r="CD230" s="14"/>
      <c r="CE230" s="14"/>
      <c r="CF230" s="14"/>
      <c r="CG230" s="14"/>
      <c r="CH230" s="14"/>
      <c r="CI230" s="14"/>
      <c r="CJ230" s="14"/>
      <c r="CK230" s="14"/>
      <c r="CL230" s="14"/>
      <c r="CM230" s="14"/>
      <c r="CN230" s="14"/>
      <c r="CO230" s="14"/>
      <c r="CP230" s="14"/>
      <c r="CQ230" s="14"/>
      <c r="CR230" s="14"/>
      <c r="CS230" s="14"/>
      <c r="CT230" s="14"/>
      <c r="CU230" s="14"/>
      <c r="CV230" s="14"/>
      <c r="CW230" s="14"/>
      <c r="CX230" s="14"/>
      <c r="CY230" s="14"/>
    </row>
    <row r="231" spans="1:103" ht="15.75" customHeight="1">
      <c r="A231" s="14"/>
      <c r="B231" s="14"/>
      <c r="C231" s="14"/>
      <c r="D231" s="14"/>
      <c r="E231" s="15"/>
      <c r="F231" s="14"/>
      <c r="G231" s="16"/>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4"/>
      <c r="AZ231" s="14"/>
      <c r="BA231" s="14"/>
      <c r="BB231" s="14"/>
      <c r="BC231" s="14"/>
      <c r="BD231" s="14"/>
      <c r="BE231" s="14"/>
      <c r="BF231" s="14"/>
      <c r="BG231" s="14"/>
      <c r="BH231" s="14"/>
      <c r="BI231" s="14"/>
      <c r="BJ231" s="14"/>
      <c r="BK231" s="14"/>
      <c r="BL231" s="14"/>
      <c r="BM231" s="14"/>
      <c r="BN231" s="14"/>
      <c r="BO231" s="14"/>
      <c r="BP231" s="14"/>
      <c r="BQ231" s="14"/>
      <c r="BR231" s="14"/>
      <c r="BS231" s="14"/>
      <c r="BT231" s="14"/>
      <c r="BU231" s="14"/>
      <c r="BV231" s="14"/>
      <c r="BW231" s="14"/>
      <c r="BX231" s="14"/>
      <c r="BY231" s="14"/>
      <c r="BZ231" s="14"/>
      <c r="CA231" s="14"/>
      <c r="CB231" s="14"/>
      <c r="CC231" s="14"/>
      <c r="CD231" s="14"/>
      <c r="CE231" s="14"/>
      <c r="CF231" s="14"/>
      <c r="CG231" s="14"/>
      <c r="CH231" s="14"/>
      <c r="CI231" s="14"/>
      <c r="CJ231" s="14"/>
      <c r="CK231" s="14"/>
      <c r="CL231" s="14"/>
      <c r="CM231" s="14"/>
      <c r="CN231" s="14"/>
      <c r="CO231" s="14"/>
      <c r="CP231" s="14"/>
      <c r="CQ231" s="14"/>
      <c r="CR231" s="14"/>
      <c r="CS231" s="14"/>
      <c r="CT231" s="14"/>
      <c r="CU231" s="14"/>
      <c r="CV231" s="14"/>
      <c r="CW231" s="14"/>
      <c r="CX231" s="14"/>
      <c r="CY231" s="14"/>
    </row>
    <row r="232" spans="1:103" ht="15.75" customHeight="1">
      <c r="A232" s="14"/>
      <c r="B232" s="14"/>
      <c r="C232" s="14"/>
      <c r="D232" s="14"/>
      <c r="E232" s="15"/>
      <c r="F232" s="14"/>
      <c r="G232" s="16"/>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c r="AQ232" s="14"/>
      <c r="AR232" s="14"/>
      <c r="AS232" s="14"/>
      <c r="AT232" s="14"/>
      <c r="AU232" s="14"/>
      <c r="AV232" s="14"/>
      <c r="AW232" s="14"/>
      <c r="AX232" s="14"/>
      <c r="AY232" s="14"/>
      <c r="AZ232" s="14"/>
      <c r="BA232" s="14"/>
      <c r="BB232" s="14"/>
      <c r="BC232" s="14"/>
      <c r="BD232" s="14"/>
      <c r="BE232" s="14"/>
      <c r="BF232" s="14"/>
      <c r="BG232" s="14"/>
      <c r="BH232" s="14"/>
      <c r="BI232" s="14"/>
      <c r="BJ232" s="14"/>
      <c r="BK232" s="14"/>
      <c r="BL232" s="14"/>
      <c r="BM232" s="14"/>
      <c r="BN232" s="14"/>
      <c r="BO232" s="14"/>
      <c r="BP232" s="14"/>
      <c r="BQ232" s="14"/>
      <c r="BR232" s="14"/>
      <c r="BS232" s="14"/>
      <c r="BT232" s="14"/>
      <c r="BU232" s="14"/>
      <c r="BV232" s="14"/>
      <c r="BW232" s="14"/>
      <c r="BX232" s="14"/>
      <c r="BY232" s="14"/>
      <c r="BZ232" s="14"/>
      <c r="CA232" s="14"/>
      <c r="CB232" s="14"/>
      <c r="CC232" s="14"/>
      <c r="CD232" s="14"/>
      <c r="CE232" s="14"/>
      <c r="CF232" s="14"/>
      <c r="CG232" s="14"/>
      <c r="CH232" s="14"/>
      <c r="CI232" s="14"/>
      <c r="CJ232" s="14"/>
      <c r="CK232" s="14"/>
      <c r="CL232" s="14"/>
      <c r="CM232" s="14"/>
      <c r="CN232" s="14"/>
      <c r="CO232" s="14"/>
      <c r="CP232" s="14"/>
      <c r="CQ232" s="14"/>
      <c r="CR232" s="14"/>
      <c r="CS232" s="14"/>
      <c r="CT232" s="14"/>
      <c r="CU232" s="14"/>
      <c r="CV232" s="14"/>
      <c r="CW232" s="14"/>
      <c r="CX232" s="14"/>
      <c r="CY232" s="14"/>
    </row>
    <row r="233" spans="1:103" ht="15.75" customHeight="1">
      <c r="A233" s="14"/>
      <c r="B233" s="14"/>
      <c r="C233" s="14"/>
      <c r="D233" s="14"/>
      <c r="E233" s="15"/>
      <c r="F233" s="14"/>
      <c r="G233" s="16"/>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c r="AQ233" s="14"/>
      <c r="AR233" s="14"/>
      <c r="AS233" s="14"/>
      <c r="AT233" s="14"/>
      <c r="AU233" s="14"/>
      <c r="AV233" s="14"/>
      <c r="AW233" s="14"/>
      <c r="AX233" s="14"/>
      <c r="AY233" s="14"/>
      <c r="AZ233" s="14"/>
      <c r="BA233" s="14"/>
      <c r="BB233" s="14"/>
      <c r="BC233" s="14"/>
      <c r="BD233" s="14"/>
      <c r="BE233" s="14"/>
      <c r="BF233" s="14"/>
      <c r="BG233" s="14"/>
      <c r="BH233" s="14"/>
      <c r="BI233" s="14"/>
      <c r="BJ233" s="14"/>
      <c r="BK233" s="14"/>
      <c r="BL233" s="14"/>
      <c r="BM233" s="14"/>
      <c r="BN233" s="14"/>
      <c r="BO233" s="14"/>
      <c r="BP233" s="14"/>
      <c r="BQ233" s="14"/>
      <c r="BR233" s="14"/>
      <c r="BS233" s="14"/>
      <c r="BT233" s="14"/>
      <c r="BU233" s="14"/>
      <c r="BV233" s="14"/>
      <c r="BW233" s="14"/>
      <c r="BX233" s="14"/>
      <c r="BY233" s="14"/>
      <c r="BZ233" s="14"/>
      <c r="CA233" s="14"/>
      <c r="CB233" s="14"/>
      <c r="CC233" s="14"/>
      <c r="CD233" s="14"/>
      <c r="CE233" s="14"/>
      <c r="CF233" s="14"/>
      <c r="CG233" s="14"/>
      <c r="CH233" s="14"/>
      <c r="CI233" s="14"/>
      <c r="CJ233" s="14"/>
      <c r="CK233" s="14"/>
      <c r="CL233" s="14"/>
      <c r="CM233" s="14"/>
      <c r="CN233" s="14"/>
      <c r="CO233" s="14"/>
      <c r="CP233" s="14"/>
      <c r="CQ233" s="14"/>
      <c r="CR233" s="14"/>
      <c r="CS233" s="14"/>
      <c r="CT233" s="14"/>
      <c r="CU233" s="14"/>
      <c r="CV233" s="14"/>
      <c r="CW233" s="14"/>
      <c r="CX233" s="14"/>
      <c r="CY233" s="14"/>
    </row>
    <row r="234" spans="1:103" ht="15.75" customHeight="1">
      <c r="A234" s="14"/>
      <c r="B234" s="14"/>
      <c r="C234" s="14"/>
      <c r="D234" s="14"/>
      <c r="E234" s="15"/>
      <c r="F234" s="14"/>
      <c r="G234" s="16"/>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c r="AQ234" s="14"/>
      <c r="AR234" s="14"/>
      <c r="AS234" s="14"/>
      <c r="AT234" s="14"/>
      <c r="AU234" s="14"/>
      <c r="AV234" s="14"/>
      <c r="AW234" s="14"/>
      <c r="AX234" s="14"/>
      <c r="AY234" s="14"/>
      <c r="AZ234" s="14"/>
      <c r="BA234" s="14"/>
      <c r="BB234" s="14"/>
      <c r="BC234" s="14"/>
      <c r="BD234" s="14"/>
      <c r="BE234" s="14"/>
      <c r="BF234" s="14"/>
      <c r="BG234" s="14"/>
      <c r="BH234" s="14"/>
      <c r="BI234" s="14"/>
      <c r="BJ234" s="14"/>
      <c r="BK234" s="14"/>
      <c r="BL234" s="14"/>
      <c r="BM234" s="14"/>
      <c r="BN234" s="14"/>
      <c r="BO234" s="14"/>
      <c r="BP234" s="14"/>
      <c r="BQ234" s="14"/>
      <c r="BR234" s="14"/>
      <c r="BS234" s="14"/>
      <c r="BT234" s="14"/>
      <c r="BU234" s="14"/>
      <c r="BV234" s="14"/>
      <c r="BW234" s="14"/>
      <c r="BX234" s="14"/>
      <c r="BY234" s="14"/>
      <c r="BZ234" s="14"/>
      <c r="CA234" s="14"/>
      <c r="CB234" s="14"/>
      <c r="CC234" s="14"/>
      <c r="CD234" s="14"/>
      <c r="CE234" s="14"/>
      <c r="CF234" s="14"/>
      <c r="CG234" s="14"/>
      <c r="CH234" s="14"/>
      <c r="CI234" s="14"/>
      <c r="CJ234" s="14"/>
      <c r="CK234" s="14"/>
      <c r="CL234" s="14"/>
      <c r="CM234" s="14"/>
      <c r="CN234" s="14"/>
      <c r="CO234" s="14"/>
      <c r="CP234" s="14"/>
      <c r="CQ234" s="14"/>
      <c r="CR234" s="14"/>
      <c r="CS234" s="14"/>
      <c r="CT234" s="14"/>
      <c r="CU234" s="14"/>
      <c r="CV234" s="14"/>
      <c r="CW234" s="14"/>
      <c r="CX234" s="14"/>
      <c r="CY234" s="14"/>
    </row>
    <row r="235" spans="1:103" ht="15.75" customHeight="1">
      <c r="A235" s="14"/>
      <c r="B235" s="14"/>
      <c r="C235" s="14"/>
      <c r="D235" s="14"/>
      <c r="E235" s="15"/>
      <c r="F235" s="14"/>
      <c r="G235" s="16"/>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c r="AQ235" s="14"/>
      <c r="AR235" s="14"/>
      <c r="AS235" s="14"/>
      <c r="AT235" s="14"/>
      <c r="AU235" s="14"/>
      <c r="AV235" s="14"/>
      <c r="AW235" s="14"/>
      <c r="AX235" s="14"/>
      <c r="AY235" s="14"/>
      <c r="AZ235" s="14"/>
      <c r="BA235" s="14"/>
      <c r="BB235" s="14"/>
      <c r="BC235" s="14"/>
      <c r="BD235" s="14"/>
      <c r="BE235" s="14"/>
      <c r="BF235" s="14"/>
      <c r="BG235" s="14"/>
      <c r="BH235" s="14"/>
      <c r="BI235" s="14"/>
      <c r="BJ235" s="14"/>
      <c r="BK235" s="14"/>
      <c r="BL235" s="14"/>
      <c r="BM235" s="14"/>
      <c r="BN235" s="14"/>
      <c r="BO235" s="14"/>
      <c r="BP235" s="14"/>
      <c r="BQ235" s="14"/>
      <c r="BR235" s="14"/>
      <c r="BS235" s="14"/>
      <c r="BT235" s="14"/>
      <c r="BU235" s="14"/>
      <c r="BV235" s="14"/>
      <c r="BW235" s="14"/>
      <c r="BX235" s="14"/>
      <c r="BY235" s="14"/>
      <c r="BZ235" s="14"/>
      <c r="CA235" s="14"/>
      <c r="CB235" s="14"/>
      <c r="CC235" s="14"/>
      <c r="CD235" s="14"/>
      <c r="CE235" s="14"/>
      <c r="CF235" s="14"/>
      <c r="CG235" s="14"/>
      <c r="CH235" s="14"/>
      <c r="CI235" s="14"/>
      <c r="CJ235" s="14"/>
      <c r="CK235" s="14"/>
      <c r="CL235" s="14"/>
      <c r="CM235" s="14"/>
      <c r="CN235" s="14"/>
      <c r="CO235" s="14"/>
      <c r="CP235" s="14"/>
      <c r="CQ235" s="14"/>
      <c r="CR235" s="14"/>
      <c r="CS235" s="14"/>
      <c r="CT235" s="14"/>
      <c r="CU235" s="14"/>
      <c r="CV235" s="14"/>
      <c r="CW235" s="14"/>
      <c r="CX235" s="14"/>
      <c r="CY235" s="14"/>
    </row>
    <row r="236" spans="1:103" ht="15.75" customHeight="1">
      <c r="A236" s="14"/>
      <c r="B236" s="14"/>
      <c r="C236" s="14"/>
      <c r="D236" s="14"/>
      <c r="E236" s="15"/>
      <c r="F236" s="14"/>
      <c r="G236" s="16"/>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c r="AQ236" s="14"/>
      <c r="AR236" s="14"/>
      <c r="AS236" s="14"/>
      <c r="AT236" s="14"/>
      <c r="AU236" s="14"/>
      <c r="AV236" s="14"/>
      <c r="AW236" s="14"/>
      <c r="AX236" s="14"/>
      <c r="AY236" s="14"/>
      <c r="AZ236" s="14"/>
      <c r="BA236" s="14"/>
      <c r="BB236" s="14"/>
      <c r="BC236" s="14"/>
      <c r="BD236" s="14"/>
      <c r="BE236" s="14"/>
      <c r="BF236" s="14"/>
      <c r="BG236" s="14"/>
      <c r="BH236" s="14"/>
      <c r="BI236" s="14"/>
      <c r="BJ236" s="14"/>
      <c r="BK236" s="14"/>
      <c r="BL236" s="14"/>
      <c r="BM236" s="14"/>
      <c r="BN236" s="14"/>
      <c r="BO236" s="14"/>
      <c r="BP236" s="14"/>
      <c r="BQ236" s="14"/>
      <c r="BR236" s="14"/>
      <c r="BS236" s="14"/>
      <c r="BT236" s="14"/>
      <c r="BU236" s="14"/>
      <c r="BV236" s="14"/>
      <c r="BW236" s="14"/>
      <c r="BX236" s="14"/>
      <c r="BY236" s="14"/>
      <c r="BZ236" s="14"/>
      <c r="CA236" s="14"/>
      <c r="CB236" s="14"/>
      <c r="CC236" s="14"/>
      <c r="CD236" s="14"/>
      <c r="CE236" s="14"/>
      <c r="CF236" s="14"/>
      <c r="CG236" s="14"/>
      <c r="CH236" s="14"/>
      <c r="CI236" s="14"/>
      <c r="CJ236" s="14"/>
      <c r="CK236" s="14"/>
      <c r="CL236" s="14"/>
      <c r="CM236" s="14"/>
      <c r="CN236" s="14"/>
      <c r="CO236" s="14"/>
      <c r="CP236" s="14"/>
      <c r="CQ236" s="14"/>
      <c r="CR236" s="14"/>
      <c r="CS236" s="14"/>
      <c r="CT236" s="14"/>
      <c r="CU236" s="14"/>
      <c r="CV236" s="14"/>
      <c r="CW236" s="14"/>
      <c r="CX236" s="14"/>
      <c r="CY236" s="14"/>
    </row>
    <row r="237" spans="1:103" ht="15.75" customHeight="1">
      <c r="A237" s="14"/>
      <c r="B237" s="14"/>
      <c r="C237" s="14"/>
      <c r="D237" s="14"/>
      <c r="E237" s="15"/>
      <c r="F237" s="14"/>
      <c r="G237" s="16"/>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c r="AQ237" s="14"/>
      <c r="AR237" s="14"/>
      <c r="AS237" s="14"/>
      <c r="AT237" s="14"/>
      <c r="AU237" s="14"/>
      <c r="AV237" s="14"/>
      <c r="AW237" s="14"/>
      <c r="AX237" s="14"/>
      <c r="AY237" s="14"/>
      <c r="AZ237" s="14"/>
      <c r="BA237" s="14"/>
      <c r="BB237" s="14"/>
      <c r="BC237" s="14"/>
      <c r="BD237" s="14"/>
      <c r="BE237" s="14"/>
      <c r="BF237" s="14"/>
      <c r="BG237" s="14"/>
      <c r="BH237" s="14"/>
      <c r="BI237" s="14"/>
      <c r="BJ237" s="14"/>
      <c r="BK237" s="14"/>
      <c r="BL237" s="14"/>
      <c r="BM237" s="14"/>
      <c r="BN237" s="14"/>
      <c r="BO237" s="14"/>
      <c r="BP237" s="14"/>
      <c r="BQ237" s="14"/>
      <c r="BR237" s="14"/>
      <c r="BS237" s="14"/>
      <c r="BT237" s="14"/>
      <c r="BU237" s="14"/>
      <c r="BV237" s="14"/>
      <c r="BW237" s="14"/>
      <c r="BX237" s="14"/>
      <c r="BY237" s="14"/>
      <c r="BZ237" s="14"/>
      <c r="CA237" s="14"/>
      <c r="CB237" s="14"/>
      <c r="CC237" s="14"/>
      <c r="CD237" s="14"/>
      <c r="CE237" s="14"/>
      <c r="CF237" s="14"/>
      <c r="CG237" s="14"/>
      <c r="CH237" s="14"/>
      <c r="CI237" s="14"/>
      <c r="CJ237" s="14"/>
      <c r="CK237" s="14"/>
      <c r="CL237" s="14"/>
      <c r="CM237" s="14"/>
      <c r="CN237" s="14"/>
      <c r="CO237" s="14"/>
      <c r="CP237" s="14"/>
      <c r="CQ237" s="14"/>
      <c r="CR237" s="14"/>
      <c r="CS237" s="14"/>
      <c r="CT237" s="14"/>
      <c r="CU237" s="14"/>
      <c r="CV237" s="14"/>
      <c r="CW237" s="14"/>
      <c r="CX237" s="14"/>
      <c r="CY237" s="14"/>
    </row>
    <row r="238" spans="1:103" ht="15.75" customHeight="1">
      <c r="A238" s="14"/>
      <c r="B238" s="14"/>
      <c r="C238" s="14"/>
      <c r="D238" s="14"/>
      <c r="E238" s="15"/>
      <c r="F238" s="14"/>
      <c r="G238" s="16"/>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c r="AQ238" s="14"/>
      <c r="AR238" s="14"/>
      <c r="AS238" s="14"/>
      <c r="AT238" s="14"/>
      <c r="AU238" s="14"/>
      <c r="AV238" s="14"/>
      <c r="AW238" s="14"/>
      <c r="AX238" s="14"/>
      <c r="AY238" s="14"/>
      <c r="AZ238" s="14"/>
      <c r="BA238" s="14"/>
      <c r="BB238" s="14"/>
      <c r="BC238" s="14"/>
      <c r="BD238" s="14"/>
      <c r="BE238" s="14"/>
      <c r="BF238" s="14"/>
      <c r="BG238" s="14"/>
      <c r="BH238" s="14"/>
      <c r="BI238" s="14"/>
      <c r="BJ238" s="14"/>
      <c r="BK238" s="14"/>
      <c r="BL238" s="14"/>
      <c r="BM238" s="14"/>
      <c r="BN238" s="14"/>
      <c r="BO238" s="14"/>
      <c r="BP238" s="14"/>
      <c r="BQ238" s="14"/>
      <c r="BR238" s="14"/>
      <c r="BS238" s="14"/>
      <c r="BT238" s="14"/>
      <c r="BU238" s="14"/>
      <c r="BV238" s="14"/>
      <c r="BW238" s="14"/>
      <c r="BX238" s="14"/>
      <c r="BY238" s="14"/>
      <c r="BZ238" s="14"/>
      <c r="CA238" s="14"/>
      <c r="CB238" s="14"/>
      <c r="CC238" s="14"/>
      <c r="CD238" s="14"/>
      <c r="CE238" s="14"/>
      <c r="CF238" s="14"/>
      <c r="CG238" s="14"/>
      <c r="CH238" s="14"/>
      <c r="CI238" s="14"/>
      <c r="CJ238" s="14"/>
      <c r="CK238" s="14"/>
      <c r="CL238" s="14"/>
      <c r="CM238" s="14"/>
      <c r="CN238" s="14"/>
      <c r="CO238" s="14"/>
      <c r="CP238" s="14"/>
      <c r="CQ238" s="14"/>
      <c r="CR238" s="14"/>
      <c r="CS238" s="14"/>
      <c r="CT238" s="14"/>
      <c r="CU238" s="14"/>
      <c r="CV238" s="14"/>
      <c r="CW238" s="14"/>
      <c r="CX238" s="14"/>
      <c r="CY238" s="14"/>
    </row>
    <row r="239" spans="1:103" ht="15.75" customHeight="1">
      <c r="A239" s="14"/>
      <c r="B239" s="14"/>
      <c r="C239" s="14"/>
      <c r="D239" s="14"/>
      <c r="E239" s="15"/>
      <c r="F239" s="14"/>
      <c r="G239" s="16"/>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c r="AQ239" s="14"/>
      <c r="AR239" s="14"/>
      <c r="AS239" s="14"/>
      <c r="AT239" s="14"/>
      <c r="AU239" s="14"/>
      <c r="AV239" s="14"/>
      <c r="AW239" s="14"/>
      <c r="AX239" s="14"/>
      <c r="AY239" s="14"/>
      <c r="AZ239" s="14"/>
      <c r="BA239" s="14"/>
      <c r="BB239" s="14"/>
      <c r="BC239" s="14"/>
      <c r="BD239" s="14"/>
      <c r="BE239" s="14"/>
      <c r="BF239" s="14"/>
      <c r="BG239" s="14"/>
      <c r="BH239" s="14"/>
      <c r="BI239" s="14"/>
      <c r="BJ239" s="14"/>
      <c r="BK239" s="14"/>
      <c r="BL239" s="14"/>
      <c r="BM239" s="14"/>
      <c r="BN239" s="14"/>
      <c r="BO239" s="14"/>
      <c r="BP239" s="14"/>
      <c r="BQ239" s="14"/>
      <c r="BR239" s="14"/>
      <c r="BS239" s="14"/>
      <c r="BT239" s="14"/>
      <c r="BU239" s="14"/>
      <c r="BV239" s="14"/>
      <c r="BW239" s="14"/>
      <c r="BX239" s="14"/>
      <c r="BY239" s="14"/>
      <c r="BZ239" s="14"/>
      <c r="CA239" s="14"/>
      <c r="CB239" s="14"/>
      <c r="CC239" s="14"/>
      <c r="CD239" s="14"/>
      <c r="CE239" s="14"/>
      <c r="CF239" s="14"/>
      <c r="CG239" s="14"/>
      <c r="CH239" s="14"/>
      <c r="CI239" s="14"/>
      <c r="CJ239" s="14"/>
      <c r="CK239" s="14"/>
      <c r="CL239" s="14"/>
      <c r="CM239" s="14"/>
      <c r="CN239" s="14"/>
      <c r="CO239" s="14"/>
      <c r="CP239" s="14"/>
      <c r="CQ239" s="14"/>
      <c r="CR239" s="14"/>
      <c r="CS239" s="14"/>
      <c r="CT239" s="14"/>
      <c r="CU239" s="14"/>
      <c r="CV239" s="14"/>
      <c r="CW239" s="14"/>
      <c r="CX239" s="14"/>
      <c r="CY239" s="14"/>
    </row>
    <row r="240" spans="1:103" ht="15.75" customHeight="1">
      <c r="A240" s="14"/>
      <c r="B240" s="14"/>
      <c r="C240" s="14"/>
      <c r="D240" s="14"/>
      <c r="E240" s="15"/>
      <c r="F240" s="14"/>
      <c r="G240" s="16"/>
      <c r="H240" s="14"/>
      <c r="I240" s="14"/>
      <c r="J240" s="14"/>
      <c r="K240" s="14"/>
      <c r="L240" s="14"/>
      <c r="M240" s="14"/>
      <c r="N240" s="14"/>
      <c r="O240" s="14"/>
      <c r="P240" s="14"/>
      <c r="Q240" s="14"/>
      <c r="R240" s="14"/>
      <c r="S240" s="14"/>
      <c r="T240" s="14"/>
      <c r="U240" s="14"/>
      <c r="V240" s="14"/>
      <c r="W240" s="14"/>
      <c r="X240" s="14"/>
      <c r="Y240" s="14"/>
      <c r="Z240" s="14"/>
      <c r="AA240" s="14"/>
      <c r="AB240" s="14"/>
      <c r="AC240" s="14"/>
      <c r="AD240" s="14"/>
      <c r="AE240" s="14"/>
      <c r="AF240" s="14"/>
      <c r="AG240" s="14"/>
      <c r="AH240" s="14"/>
      <c r="AI240" s="14"/>
      <c r="AJ240" s="14"/>
      <c r="AK240" s="14"/>
      <c r="AL240" s="14"/>
      <c r="AM240" s="14"/>
      <c r="AN240" s="14"/>
      <c r="AO240" s="14"/>
      <c r="AP240" s="14"/>
      <c r="AQ240" s="14"/>
      <c r="AR240" s="14"/>
      <c r="AS240" s="14"/>
      <c r="AT240" s="14"/>
      <c r="AU240" s="14"/>
      <c r="AV240" s="14"/>
      <c r="AW240" s="14"/>
      <c r="AX240" s="14"/>
      <c r="AY240" s="14"/>
      <c r="AZ240" s="14"/>
      <c r="BA240" s="14"/>
      <c r="BB240" s="14"/>
      <c r="BC240" s="14"/>
      <c r="BD240" s="14"/>
      <c r="BE240" s="14"/>
      <c r="BF240" s="14"/>
      <c r="BG240" s="14"/>
      <c r="BH240" s="14"/>
      <c r="BI240" s="14"/>
      <c r="BJ240" s="14"/>
      <c r="BK240" s="14"/>
      <c r="BL240" s="14"/>
      <c r="BM240" s="14"/>
      <c r="BN240" s="14"/>
      <c r="BO240" s="14"/>
      <c r="BP240" s="14"/>
      <c r="BQ240" s="14"/>
      <c r="BR240" s="14"/>
      <c r="BS240" s="14"/>
      <c r="BT240" s="14"/>
      <c r="BU240" s="14"/>
      <c r="BV240" s="14"/>
      <c r="BW240" s="14"/>
      <c r="BX240" s="14"/>
      <c r="BY240" s="14"/>
      <c r="BZ240" s="14"/>
      <c r="CA240" s="14"/>
      <c r="CB240" s="14"/>
      <c r="CC240" s="14"/>
      <c r="CD240" s="14"/>
      <c r="CE240" s="14"/>
      <c r="CF240" s="14"/>
      <c r="CG240" s="14"/>
      <c r="CH240" s="14"/>
      <c r="CI240" s="14"/>
      <c r="CJ240" s="14"/>
      <c r="CK240" s="14"/>
      <c r="CL240" s="14"/>
      <c r="CM240" s="14"/>
      <c r="CN240" s="14"/>
      <c r="CO240" s="14"/>
      <c r="CP240" s="14"/>
      <c r="CQ240" s="14"/>
      <c r="CR240" s="14"/>
      <c r="CS240" s="14"/>
      <c r="CT240" s="14"/>
      <c r="CU240" s="14"/>
      <c r="CV240" s="14"/>
      <c r="CW240" s="14"/>
      <c r="CX240" s="14"/>
      <c r="CY240" s="14"/>
    </row>
    <row r="241" spans="1:103" ht="15.75" customHeight="1">
      <c r="A241" s="14"/>
      <c r="B241" s="14"/>
      <c r="C241" s="14"/>
      <c r="D241" s="14"/>
      <c r="E241" s="15"/>
      <c r="F241" s="14"/>
      <c r="G241" s="16"/>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c r="AQ241" s="14"/>
      <c r="AR241" s="14"/>
      <c r="AS241" s="14"/>
      <c r="AT241" s="14"/>
      <c r="AU241" s="14"/>
      <c r="AV241" s="14"/>
      <c r="AW241" s="14"/>
      <c r="AX241" s="14"/>
      <c r="AY241" s="14"/>
      <c r="AZ241" s="14"/>
      <c r="BA241" s="14"/>
      <c r="BB241" s="14"/>
      <c r="BC241" s="14"/>
      <c r="BD241" s="14"/>
      <c r="BE241" s="14"/>
      <c r="BF241" s="14"/>
      <c r="BG241" s="14"/>
      <c r="BH241" s="14"/>
      <c r="BI241" s="14"/>
      <c r="BJ241" s="14"/>
      <c r="BK241" s="14"/>
      <c r="BL241" s="14"/>
      <c r="BM241" s="14"/>
      <c r="BN241" s="14"/>
      <c r="BO241" s="14"/>
      <c r="BP241" s="14"/>
      <c r="BQ241" s="14"/>
      <c r="BR241" s="14"/>
      <c r="BS241" s="14"/>
      <c r="BT241" s="14"/>
      <c r="BU241" s="14"/>
      <c r="BV241" s="14"/>
      <c r="BW241" s="14"/>
      <c r="BX241" s="14"/>
      <c r="BY241" s="14"/>
      <c r="BZ241" s="14"/>
      <c r="CA241" s="14"/>
      <c r="CB241" s="14"/>
      <c r="CC241" s="14"/>
      <c r="CD241" s="14"/>
      <c r="CE241" s="14"/>
      <c r="CF241" s="14"/>
      <c r="CG241" s="14"/>
      <c r="CH241" s="14"/>
      <c r="CI241" s="14"/>
      <c r="CJ241" s="14"/>
      <c r="CK241" s="14"/>
      <c r="CL241" s="14"/>
      <c r="CM241" s="14"/>
      <c r="CN241" s="14"/>
      <c r="CO241" s="14"/>
      <c r="CP241" s="14"/>
      <c r="CQ241" s="14"/>
      <c r="CR241" s="14"/>
      <c r="CS241" s="14"/>
      <c r="CT241" s="14"/>
      <c r="CU241" s="14"/>
      <c r="CV241" s="14"/>
      <c r="CW241" s="14"/>
      <c r="CX241" s="14"/>
      <c r="CY241" s="14"/>
    </row>
    <row r="242" spans="1:103" ht="15.75" customHeight="1">
      <c r="A242" s="14"/>
      <c r="B242" s="14"/>
      <c r="C242" s="14"/>
      <c r="D242" s="14"/>
      <c r="E242" s="15"/>
      <c r="F242" s="14"/>
      <c r="G242" s="16"/>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E242" s="14"/>
      <c r="AF242" s="14"/>
      <c r="AG242" s="14"/>
      <c r="AH242" s="14"/>
      <c r="AI242" s="14"/>
      <c r="AJ242" s="14"/>
      <c r="AK242" s="14"/>
      <c r="AL242" s="14"/>
      <c r="AM242" s="14"/>
      <c r="AN242" s="14"/>
      <c r="AO242" s="14"/>
      <c r="AP242" s="14"/>
      <c r="AQ242" s="14"/>
      <c r="AR242" s="14"/>
      <c r="AS242" s="14"/>
      <c r="AT242" s="14"/>
      <c r="AU242" s="14"/>
      <c r="AV242" s="14"/>
      <c r="AW242" s="14"/>
      <c r="AX242" s="14"/>
      <c r="AY242" s="14"/>
      <c r="AZ242" s="14"/>
      <c r="BA242" s="14"/>
      <c r="BB242" s="14"/>
      <c r="BC242" s="14"/>
      <c r="BD242" s="14"/>
      <c r="BE242" s="14"/>
      <c r="BF242" s="14"/>
      <c r="BG242" s="14"/>
      <c r="BH242" s="14"/>
      <c r="BI242" s="14"/>
      <c r="BJ242" s="14"/>
      <c r="BK242" s="14"/>
      <c r="BL242" s="14"/>
      <c r="BM242" s="14"/>
      <c r="BN242" s="14"/>
      <c r="BO242" s="14"/>
      <c r="BP242" s="14"/>
      <c r="BQ242" s="14"/>
      <c r="BR242" s="14"/>
      <c r="BS242" s="14"/>
      <c r="BT242" s="14"/>
      <c r="BU242" s="14"/>
      <c r="BV242" s="14"/>
      <c r="BW242" s="14"/>
      <c r="BX242" s="14"/>
      <c r="BY242" s="14"/>
      <c r="BZ242" s="14"/>
      <c r="CA242" s="14"/>
      <c r="CB242" s="14"/>
      <c r="CC242" s="14"/>
      <c r="CD242" s="14"/>
      <c r="CE242" s="14"/>
      <c r="CF242" s="14"/>
      <c r="CG242" s="14"/>
      <c r="CH242" s="14"/>
      <c r="CI242" s="14"/>
      <c r="CJ242" s="14"/>
      <c r="CK242" s="14"/>
      <c r="CL242" s="14"/>
      <c r="CM242" s="14"/>
      <c r="CN242" s="14"/>
      <c r="CO242" s="14"/>
      <c r="CP242" s="14"/>
      <c r="CQ242" s="14"/>
      <c r="CR242" s="14"/>
      <c r="CS242" s="14"/>
      <c r="CT242" s="14"/>
      <c r="CU242" s="14"/>
      <c r="CV242" s="14"/>
      <c r="CW242" s="14"/>
      <c r="CX242" s="14"/>
      <c r="CY242" s="14"/>
    </row>
    <row r="243" spans="1:103" ht="15.75" customHeight="1">
      <c r="A243" s="14"/>
      <c r="B243" s="14"/>
      <c r="C243" s="14"/>
      <c r="D243" s="14"/>
      <c r="E243" s="15"/>
      <c r="F243" s="14"/>
      <c r="G243" s="16"/>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E243" s="14"/>
      <c r="AF243" s="14"/>
      <c r="AG243" s="14"/>
      <c r="AH243" s="14"/>
      <c r="AI243" s="14"/>
      <c r="AJ243" s="14"/>
      <c r="AK243" s="14"/>
      <c r="AL243" s="14"/>
      <c r="AM243" s="14"/>
      <c r="AN243" s="14"/>
      <c r="AO243" s="14"/>
      <c r="AP243" s="14"/>
      <c r="AQ243" s="14"/>
      <c r="AR243" s="14"/>
      <c r="AS243" s="14"/>
      <c r="AT243" s="14"/>
      <c r="AU243" s="14"/>
      <c r="AV243" s="14"/>
      <c r="AW243" s="14"/>
      <c r="AX243" s="14"/>
      <c r="AY243" s="14"/>
      <c r="AZ243" s="14"/>
      <c r="BA243" s="14"/>
      <c r="BB243" s="14"/>
      <c r="BC243" s="14"/>
      <c r="BD243" s="14"/>
      <c r="BE243" s="14"/>
      <c r="BF243" s="14"/>
      <c r="BG243" s="14"/>
      <c r="BH243" s="14"/>
      <c r="BI243" s="14"/>
      <c r="BJ243" s="14"/>
      <c r="BK243" s="14"/>
      <c r="BL243" s="14"/>
      <c r="BM243" s="14"/>
      <c r="BN243" s="14"/>
      <c r="BO243" s="14"/>
      <c r="BP243" s="14"/>
      <c r="BQ243" s="14"/>
      <c r="BR243" s="14"/>
      <c r="BS243" s="14"/>
      <c r="BT243" s="14"/>
      <c r="BU243" s="14"/>
      <c r="BV243" s="14"/>
      <c r="BW243" s="14"/>
      <c r="BX243" s="14"/>
      <c r="BY243" s="14"/>
      <c r="BZ243" s="14"/>
      <c r="CA243" s="14"/>
      <c r="CB243" s="14"/>
      <c r="CC243" s="14"/>
      <c r="CD243" s="14"/>
      <c r="CE243" s="14"/>
      <c r="CF243" s="14"/>
      <c r="CG243" s="14"/>
      <c r="CH243" s="14"/>
      <c r="CI243" s="14"/>
      <c r="CJ243" s="14"/>
      <c r="CK243" s="14"/>
      <c r="CL243" s="14"/>
      <c r="CM243" s="14"/>
      <c r="CN243" s="14"/>
      <c r="CO243" s="14"/>
      <c r="CP243" s="14"/>
      <c r="CQ243" s="14"/>
      <c r="CR243" s="14"/>
      <c r="CS243" s="14"/>
      <c r="CT243" s="14"/>
      <c r="CU243" s="14"/>
      <c r="CV243" s="14"/>
      <c r="CW243" s="14"/>
      <c r="CX243" s="14"/>
      <c r="CY243" s="14"/>
    </row>
    <row r="244" spans="1:103" ht="15.75" customHeight="1">
      <c r="A244" s="14"/>
      <c r="B244" s="14"/>
      <c r="C244" s="14"/>
      <c r="D244" s="14"/>
      <c r="E244" s="15"/>
      <c r="F244" s="14"/>
      <c r="G244" s="16"/>
      <c r="H244" s="14"/>
      <c r="I244" s="14"/>
      <c r="J244" s="14"/>
      <c r="K244" s="14"/>
      <c r="L244" s="14"/>
      <c r="M244" s="14"/>
      <c r="N244" s="14"/>
      <c r="O244" s="14"/>
      <c r="P244" s="14"/>
      <c r="Q244" s="14"/>
      <c r="R244" s="14"/>
      <c r="S244" s="14"/>
      <c r="T244" s="14"/>
      <c r="U244" s="14"/>
      <c r="V244" s="14"/>
      <c r="W244" s="14"/>
      <c r="X244" s="14"/>
      <c r="Y244" s="14"/>
      <c r="Z244" s="14"/>
      <c r="AA244" s="14"/>
      <c r="AB244" s="14"/>
      <c r="AC244" s="14"/>
      <c r="AD244" s="14"/>
      <c r="AE244" s="14"/>
      <c r="AF244" s="14"/>
      <c r="AG244" s="14"/>
      <c r="AH244" s="14"/>
      <c r="AI244" s="14"/>
      <c r="AJ244" s="14"/>
      <c r="AK244" s="14"/>
      <c r="AL244" s="14"/>
      <c r="AM244" s="14"/>
      <c r="AN244" s="14"/>
      <c r="AO244" s="14"/>
      <c r="AP244" s="14"/>
      <c r="AQ244" s="14"/>
      <c r="AR244" s="14"/>
      <c r="AS244" s="14"/>
      <c r="AT244" s="14"/>
      <c r="AU244" s="14"/>
      <c r="AV244" s="14"/>
      <c r="AW244" s="14"/>
      <c r="AX244" s="14"/>
      <c r="AY244" s="14"/>
      <c r="AZ244" s="14"/>
      <c r="BA244" s="14"/>
      <c r="BB244" s="14"/>
      <c r="BC244" s="14"/>
      <c r="BD244" s="14"/>
      <c r="BE244" s="14"/>
      <c r="BF244" s="14"/>
      <c r="BG244" s="14"/>
      <c r="BH244" s="14"/>
      <c r="BI244" s="14"/>
      <c r="BJ244" s="14"/>
      <c r="BK244" s="14"/>
      <c r="BL244" s="14"/>
      <c r="BM244" s="14"/>
      <c r="BN244" s="14"/>
      <c r="BO244" s="14"/>
      <c r="BP244" s="14"/>
      <c r="BQ244" s="14"/>
      <c r="BR244" s="14"/>
      <c r="BS244" s="14"/>
      <c r="BT244" s="14"/>
      <c r="BU244" s="14"/>
      <c r="BV244" s="14"/>
      <c r="BW244" s="14"/>
      <c r="BX244" s="14"/>
      <c r="BY244" s="14"/>
      <c r="BZ244" s="14"/>
      <c r="CA244" s="14"/>
      <c r="CB244" s="14"/>
      <c r="CC244" s="14"/>
      <c r="CD244" s="14"/>
      <c r="CE244" s="14"/>
      <c r="CF244" s="14"/>
      <c r="CG244" s="14"/>
      <c r="CH244" s="14"/>
      <c r="CI244" s="14"/>
      <c r="CJ244" s="14"/>
      <c r="CK244" s="14"/>
      <c r="CL244" s="14"/>
      <c r="CM244" s="14"/>
      <c r="CN244" s="14"/>
      <c r="CO244" s="14"/>
      <c r="CP244" s="14"/>
      <c r="CQ244" s="14"/>
      <c r="CR244" s="14"/>
      <c r="CS244" s="14"/>
      <c r="CT244" s="14"/>
      <c r="CU244" s="14"/>
      <c r="CV244" s="14"/>
      <c r="CW244" s="14"/>
      <c r="CX244" s="14"/>
      <c r="CY244" s="14"/>
    </row>
    <row r="245" spans="1:103" ht="15.75" customHeight="1">
      <c r="A245" s="14"/>
      <c r="B245" s="14"/>
      <c r="C245" s="14"/>
      <c r="D245" s="14"/>
      <c r="E245" s="15"/>
      <c r="F245" s="14"/>
      <c r="G245" s="16"/>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14"/>
      <c r="AH245" s="14"/>
      <c r="AI245" s="14"/>
      <c r="AJ245" s="14"/>
      <c r="AK245" s="14"/>
      <c r="AL245" s="14"/>
      <c r="AM245" s="14"/>
      <c r="AN245" s="14"/>
      <c r="AO245" s="14"/>
      <c r="AP245" s="14"/>
      <c r="AQ245" s="14"/>
      <c r="AR245" s="14"/>
      <c r="AS245" s="14"/>
      <c r="AT245" s="14"/>
      <c r="AU245" s="14"/>
      <c r="AV245" s="14"/>
      <c r="AW245" s="14"/>
      <c r="AX245" s="14"/>
      <c r="AY245" s="14"/>
      <c r="AZ245" s="14"/>
      <c r="BA245" s="14"/>
      <c r="BB245" s="14"/>
      <c r="BC245" s="14"/>
      <c r="BD245" s="14"/>
      <c r="BE245" s="14"/>
      <c r="BF245" s="14"/>
      <c r="BG245" s="14"/>
      <c r="BH245" s="14"/>
      <c r="BI245" s="14"/>
      <c r="BJ245" s="14"/>
      <c r="BK245" s="14"/>
      <c r="BL245" s="14"/>
      <c r="BM245" s="14"/>
      <c r="BN245" s="14"/>
      <c r="BO245" s="14"/>
      <c r="BP245" s="14"/>
      <c r="BQ245" s="14"/>
      <c r="BR245" s="14"/>
      <c r="BS245" s="14"/>
      <c r="BT245" s="14"/>
      <c r="BU245" s="14"/>
      <c r="BV245" s="14"/>
      <c r="BW245" s="14"/>
      <c r="BX245" s="14"/>
      <c r="BY245" s="14"/>
      <c r="BZ245" s="14"/>
      <c r="CA245" s="14"/>
      <c r="CB245" s="14"/>
      <c r="CC245" s="14"/>
      <c r="CD245" s="14"/>
      <c r="CE245" s="14"/>
      <c r="CF245" s="14"/>
      <c r="CG245" s="14"/>
      <c r="CH245" s="14"/>
      <c r="CI245" s="14"/>
      <c r="CJ245" s="14"/>
      <c r="CK245" s="14"/>
      <c r="CL245" s="14"/>
      <c r="CM245" s="14"/>
      <c r="CN245" s="14"/>
      <c r="CO245" s="14"/>
      <c r="CP245" s="14"/>
      <c r="CQ245" s="14"/>
      <c r="CR245" s="14"/>
      <c r="CS245" s="14"/>
      <c r="CT245" s="14"/>
      <c r="CU245" s="14"/>
      <c r="CV245" s="14"/>
      <c r="CW245" s="14"/>
      <c r="CX245" s="14"/>
      <c r="CY245" s="14"/>
    </row>
    <row r="246" spans="1:103" ht="15.75" customHeight="1">
      <c r="A246" s="14"/>
      <c r="B246" s="14"/>
      <c r="C246" s="14"/>
      <c r="D246" s="14"/>
      <c r="E246" s="15"/>
      <c r="F246" s="14"/>
      <c r="G246" s="16"/>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c r="AQ246" s="14"/>
      <c r="AR246" s="14"/>
      <c r="AS246" s="14"/>
      <c r="AT246" s="14"/>
      <c r="AU246" s="14"/>
      <c r="AV246" s="14"/>
      <c r="AW246" s="14"/>
      <c r="AX246" s="14"/>
      <c r="AY246" s="14"/>
      <c r="AZ246" s="14"/>
      <c r="BA246" s="14"/>
      <c r="BB246" s="14"/>
      <c r="BC246" s="14"/>
      <c r="BD246" s="14"/>
      <c r="BE246" s="14"/>
      <c r="BF246" s="14"/>
      <c r="BG246" s="14"/>
      <c r="BH246" s="14"/>
      <c r="BI246" s="14"/>
      <c r="BJ246" s="14"/>
      <c r="BK246" s="14"/>
      <c r="BL246" s="14"/>
      <c r="BM246" s="14"/>
      <c r="BN246" s="14"/>
      <c r="BO246" s="14"/>
      <c r="BP246" s="14"/>
      <c r="BQ246" s="14"/>
      <c r="BR246" s="14"/>
      <c r="BS246" s="14"/>
      <c r="BT246" s="14"/>
      <c r="BU246" s="14"/>
      <c r="BV246" s="14"/>
      <c r="BW246" s="14"/>
      <c r="BX246" s="14"/>
      <c r="BY246" s="14"/>
      <c r="BZ246" s="14"/>
      <c r="CA246" s="14"/>
      <c r="CB246" s="14"/>
      <c r="CC246" s="14"/>
      <c r="CD246" s="14"/>
      <c r="CE246" s="14"/>
      <c r="CF246" s="14"/>
      <c r="CG246" s="14"/>
      <c r="CH246" s="14"/>
      <c r="CI246" s="14"/>
      <c r="CJ246" s="14"/>
      <c r="CK246" s="14"/>
      <c r="CL246" s="14"/>
      <c r="CM246" s="14"/>
      <c r="CN246" s="14"/>
      <c r="CO246" s="14"/>
      <c r="CP246" s="14"/>
      <c r="CQ246" s="14"/>
      <c r="CR246" s="14"/>
      <c r="CS246" s="14"/>
      <c r="CT246" s="14"/>
      <c r="CU246" s="14"/>
      <c r="CV246" s="14"/>
      <c r="CW246" s="14"/>
      <c r="CX246" s="14"/>
      <c r="CY246" s="14"/>
    </row>
    <row r="247" spans="1:103" ht="15.75" customHeight="1">
      <c r="A247" s="14"/>
      <c r="B247" s="14"/>
      <c r="C247" s="14"/>
      <c r="D247" s="14"/>
      <c r="E247" s="15"/>
      <c r="F247" s="14"/>
      <c r="G247" s="16"/>
      <c r="H247" s="14"/>
      <c r="I247" s="14"/>
      <c r="J247" s="14"/>
      <c r="K247" s="14"/>
      <c r="L247" s="14"/>
      <c r="M247" s="14"/>
      <c r="N247" s="14"/>
      <c r="O247" s="14"/>
      <c r="P247" s="14"/>
      <c r="Q247" s="14"/>
      <c r="R247" s="14"/>
      <c r="S247" s="14"/>
      <c r="T247" s="14"/>
      <c r="U247" s="14"/>
      <c r="V247" s="14"/>
      <c r="W247" s="14"/>
      <c r="X247" s="14"/>
      <c r="Y247" s="14"/>
      <c r="Z247" s="14"/>
      <c r="AA247" s="14"/>
      <c r="AB247" s="14"/>
      <c r="AC247" s="14"/>
      <c r="AD247" s="14"/>
      <c r="AE247" s="14"/>
      <c r="AF247" s="14"/>
      <c r="AG247" s="14"/>
      <c r="AH247" s="14"/>
      <c r="AI247" s="14"/>
      <c r="AJ247" s="14"/>
      <c r="AK247" s="14"/>
      <c r="AL247" s="14"/>
      <c r="AM247" s="14"/>
      <c r="AN247" s="14"/>
      <c r="AO247" s="14"/>
      <c r="AP247" s="14"/>
      <c r="AQ247" s="14"/>
      <c r="AR247" s="14"/>
      <c r="AS247" s="14"/>
      <c r="AT247" s="14"/>
      <c r="AU247" s="14"/>
      <c r="AV247" s="14"/>
      <c r="AW247" s="14"/>
      <c r="AX247" s="14"/>
      <c r="AY247" s="14"/>
      <c r="AZ247" s="14"/>
      <c r="BA247" s="14"/>
      <c r="BB247" s="14"/>
      <c r="BC247" s="14"/>
      <c r="BD247" s="14"/>
      <c r="BE247" s="14"/>
      <c r="BF247" s="14"/>
      <c r="BG247" s="14"/>
      <c r="BH247" s="14"/>
      <c r="BI247" s="14"/>
      <c r="BJ247" s="14"/>
      <c r="BK247" s="14"/>
      <c r="BL247" s="14"/>
      <c r="BM247" s="14"/>
      <c r="BN247" s="14"/>
      <c r="BO247" s="14"/>
      <c r="BP247" s="14"/>
      <c r="BQ247" s="14"/>
      <c r="BR247" s="14"/>
      <c r="BS247" s="14"/>
      <c r="BT247" s="14"/>
      <c r="BU247" s="14"/>
      <c r="BV247" s="14"/>
      <c r="BW247" s="14"/>
      <c r="BX247" s="14"/>
      <c r="BY247" s="14"/>
      <c r="BZ247" s="14"/>
      <c r="CA247" s="14"/>
      <c r="CB247" s="14"/>
      <c r="CC247" s="14"/>
      <c r="CD247" s="14"/>
      <c r="CE247" s="14"/>
      <c r="CF247" s="14"/>
      <c r="CG247" s="14"/>
      <c r="CH247" s="14"/>
      <c r="CI247" s="14"/>
      <c r="CJ247" s="14"/>
      <c r="CK247" s="14"/>
      <c r="CL247" s="14"/>
      <c r="CM247" s="14"/>
      <c r="CN247" s="14"/>
      <c r="CO247" s="14"/>
      <c r="CP247" s="14"/>
      <c r="CQ247" s="14"/>
      <c r="CR247" s="14"/>
      <c r="CS247" s="14"/>
      <c r="CT247" s="14"/>
      <c r="CU247" s="14"/>
      <c r="CV247" s="14"/>
      <c r="CW247" s="14"/>
      <c r="CX247" s="14"/>
      <c r="CY247" s="14"/>
    </row>
    <row r="248" spans="1:103" ht="15.75" customHeight="1">
      <c r="A248" s="14"/>
      <c r="B248" s="14"/>
      <c r="C248" s="14"/>
      <c r="D248" s="14"/>
      <c r="E248" s="15"/>
      <c r="F248" s="14"/>
      <c r="G248" s="16"/>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14"/>
      <c r="AH248" s="14"/>
      <c r="AI248" s="14"/>
      <c r="AJ248" s="14"/>
      <c r="AK248" s="14"/>
      <c r="AL248" s="14"/>
      <c r="AM248" s="14"/>
      <c r="AN248" s="14"/>
      <c r="AO248" s="14"/>
      <c r="AP248" s="14"/>
      <c r="AQ248" s="14"/>
      <c r="AR248" s="14"/>
      <c r="AS248" s="14"/>
      <c r="AT248" s="14"/>
      <c r="AU248" s="14"/>
      <c r="AV248" s="14"/>
      <c r="AW248" s="14"/>
      <c r="AX248" s="14"/>
      <c r="AY248" s="14"/>
      <c r="AZ248" s="14"/>
      <c r="BA248" s="14"/>
      <c r="BB248" s="14"/>
      <c r="BC248" s="14"/>
      <c r="BD248" s="14"/>
      <c r="BE248" s="14"/>
      <c r="BF248" s="14"/>
      <c r="BG248" s="14"/>
      <c r="BH248" s="14"/>
      <c r="BI248" s="14"/>
      <c r="BJ248" s="14"/>
      <c r="BK248" s="14"/>
      <c r="BL248" s="14"/>
      <c r="BM248" s="14"/>
      <c r="BN248" s="14"/>
      <c r="BO248" s="14"/>
      <c r="BP248" s="14"/>
      <c r="BQ248" s="14"/>
      <c r="BR248" s="14"/>
      <c r="BS248" s="14"/>
      <c r="BT248" s="14"/>
      <c r="BU248" s="14"/>
      <c r="BV248" s="14"/>
      <c r="BW248" s="14"/>
      <c r="BX248" s="14"/>
      <c r="BY248" s="14"/>
      <c r="BZ248" s="14"/>
      <c r="CA248" s="14"/>
      <c r="CB248" s="14"/>
      <c r="CC248" s="14"/>
      <c r="CD248" s="14"/>
      <c r="CE248" s="14"/>
      <c r="CF248" s="14"/>
      <c r="CG248" s="14"/>
      <c r="CH248" s="14"/>
      <c r="CI248" s="14"/>
      <c r="CJ248" s="14"/>
      <c r="CK248" s="14"/>
      <c r="CL248" s="14"/>
      <c r="CM248" s="14"/>
      <c r="CN248" s="14"/>
      <c r="CO248" s="14"/>
      <c r="CP248" s="14"/>
      <c r="CQ248" s="14"/>
      <c r="CR248" s="14"/>
      <c r="CS248" s="14"/>
      <c r="CT248" s="14"/>
      <c r="CU248" s="14"/>
      <c r="CV248" s="14"/>
      <c r="CW248" s="14"/>
      <c r="CX248" s="14"/>
      <c r="CY248" s="14"/>
    </row>
    <row r="249" spans="1:103" ht="15.75" customHeight="1">
      <c r="A249" s="14"/>
      <c r="B249" s="14"/>
      <c r="C249" s="14"/>
      <c r="D249" s="14"/>
      <c r="E249" s="15"/>
      <c r="F249" s="14"/>
      <c r="G249" s="16"/>
      <c r="H249" s="14"/>
      <c r="I249" s="14"/>
      <c r="J249" s="14"/>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4"/>
      <c r="AZ249" s="14"/>
      <c r="BA249" s="14"/>
      <c r="BB249" s="14"/>
      <c r="BC249" s="14"/>
      <c r="BD249" s="14"/>
      <c r="BE249" s="14"/>
      <c r="BF249" s="14"/>
      <c r="BG249" s="14"/>
      <c r="BH249" s="14"/>
      <c r="BI249" s="14"/>
      <c r="BJ249" s="14"/>
      <c r="BK249" s="14"/>
      <c r="BL249" s="14"/>
      <c r="BM249" s="14"/>
      <c r="BN249" s="14"/>
      <c r="BO249" s="14"/>
      <c r="BP249" s="14"/>
      <c r="BQ249" s="14"/>
      <c r="BR249" s="14"/>
      <c r="BS249" s="14"/>
      <c r="BT249" s="14"/>
      <c r="BU249" s="14"/>
      <c r="BV249" s="14"/>
      <c r="BW249" s="14"/>
      <c r="BX249" s="14"/>
      <c r="BY249" s="14"/>
      <c r="BZ249" s="14"/>
      <c r="CA249" s="14"/>
      <c r="CB249" s="14"/>
      <c r="CC249" s="14"/>
      <c r="CD249" s="14"/>
      <c r="CE249" s="14"/>
      <c r="CF249" s="14"/>
      <c r="CG249" s="14"/>
      <c r="CH249" s="14"/>
      <c r="CI249" s="14"/>
      <c r="CJ249" s="14"/>
      <c r="CK249" s="14"/>
      <c r="CL249" s="14"/>
      <c r="CM249" s="14"/>
      <c r="CN249" s="14"/>
      <c r="CO249" s="14"/>
      <c r="CP249" s="14"/>
      <c r="CQ249" s="14"/>
      <c r="CR249" s="14"/>
      <c r="CS249" s="14"/>
      <c r="CT249" s="14"/>
      <c r="CU249" s="14"/>
      <c r="CV249" s="14"/>
      <c r="CW249" s="14"/>
      <c r="CX249" s="14"/>
      <c r="CY249" s="14"/>
    </row>
    <row r="250" spans="1:103" ht="15.75" customHeight="1">
      <c r="A250" s="14"/>
      <c r="B250" s="14"/>
      <c r="C250" s="14"/>
      <c r="D250" s="14"/>
      <c r="E250" s="15"/>
      <c r="F250" s="14"/>
      <c r="G250" s="16"/>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c r="AQ250" s="14"/>
      <c r="AR250" s="14"/>
      <c r="AS250" s="14"/>
      <c r="AT250" s="14"/>
      <c r="AU250" s="14"/>
      <c r="AV250" s="14"/>
      <c r="AW250" s="14"/>
      <c r="AX250" s="14"/>
      <c r="AY250" s="14"/>
      <c r="AZ250" s="14"/>
      <c r="BA250" s="14"/>
      <c r="BB250" s="14"/>
      <c r="BC250" s="14"/>
      <c r="BD250" s="14"/>
      <c r="BE250" s="14"/>
      <c r="BF250" s="14"/>
      <c r="BG250" s="14"/>
      <c r="BH250" s="14"/>
      <c r="BI250" s="14"/>
      <c r="BJ250" s="14"/>
      <c r="BK250" s="14"/>
      <c r="BL250" s="14"/>
      <c r="BM250" s="14"/>
      <c r="BN250" s="14"/>
      <c r="BO250" s="14"/>
      <c r="BP250" s="14"/>
      <c r="BQ250" s="14"/>
      <c r="BR250" s="14"/>
      <c r="BS250" s="14"/>
      <c r="BT250" s="14"/>
      <c r="BU250" s="14"/>
      <c r="BV250" s="14"/>
      <c r="BW250" s="14"/>
      <c r="BX250" s="14"/>
      <c r="BY250" s="14"/>
      <c r="BZ250" s="14"/>
      <c r="CA250" s="14"/>
      <c r="CB250" s="14"/>
      <c r="CC250" s="14"/>
      <c r="CD250" s="14"/>
      <c r="CE250" s="14"/>
      <c r="CF250" s="14"/>
      <c r="CG250" s="14"/>
      <c r="CH250" s="14"/>
      <c r="CI250" s="14"/>
      <c r="CJ250" s="14"/>
      <c r="CK250" s="14"/>
      <c r="CL250" s="14"/>
      <c r="CM250" s="14"/>
      <c r="CN250" s="14"/>
      <c r="CO250" s="14"/>
      <c r="CP250" s="14"/>
      <c r="CQ250" s="14"/>
      <c r="CR250" s="14"/>
      <c r="CS250" s="14"/>
      <c r="CT250" s="14"/>
      <c r="CU250" s="14"/>
      <c r="CV250" s="14"/>
      <c r="CW250" s="14"/>
      <c r="CX250" s="14"/>
      <c r="CY250" s="14"/>
    </row>
    <row r="251" spans="1:103" ht="15.75" customHeight="1">
      <c r="A251" s="14"/>
      <c r="B251" s="14"/>
      <c r="C251" s="14"/>
      <c r="D251" s="14"/>
      <c r="E251" s="15"/>
      <c r="F251" s="14"/>
      <c r="G251" s="16"/>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14"/>
      <c r="AH251" s="14"/>
      <c r="AI251" s="14"/>
      <c r="AJ251" s="14"/>
      <c r="AK251" s="14"/>
      <c r="AL251" s="14"/>
      <c r="AM251" s="14"/>
      <c r="AN251" s="14"/>
      <c r="AO251" s="14"/>
      <c r="AP251" s="14"/>
      <c r="AQ251" s="14"/>
      <c r="AR251" s="14"/>
      <c r="AS251" s="14"/>
      <c r="AT251" s="14"/>
      <c r="AU251" s="14"/>
      <c r="AV251" s="14"/>
      <c r="AW251" s="14"/>
      <c r="AX251" s="14"/>
      <c r="AY251" s="14"/>
      <c r="AZ251" s="14"/>
      <c r="BA251" s="14"/>
      <c r="BB251" s="14"/>
      <c r="BC251" s="14"/>
      <c r="BD251" s="14"/>
      <c r="BE251" s="14"/>
      <c r="BF251" s="14"/>
      <c r="BG251" s="14"/>
      <c r="BH251" s="14"/>
      <c r="BI251" s="14"/>
      <c r="BJ251" s="14"/>
      <c r="BK251" s="14"/>
      <c r="BL251" s="14"/>
      <c r="BM251" s="14"/>
      <c r="BN251" s="14"/>
      <c r="BO251" s="14"/>
      <c r="BP251" s="14"/>
      <c r="BQ251" s="14"/>
      <c r="BR251" s="14"/>
      <c r="BS251" s="14"/>
      <c r="BT251" s="14"/>
      <c r="BU251" s="14"/>
      <c r="BV251" s="14"/>
      <c r="BW251" s="14"/>
      <c r="BX251" s="14"/>
      <c r="BY251" s="14"/>
      <c r="BZ251" s="14"/>
      <c r="CA251" s="14"/>
      <c r="CB251" s="14"/>
      <c r="CC251" s="14"/>
      <c r="CD251" s="14"/>
      <c r="CE251" s="14"/>
      <c r="CF251" s="14"/>
      <c r="CG251" s="14"/>
      <c r="CH251" s="14"/>
      <c r="CI251" s="14"/>
      <c r="CJ251" s="14"/>
      <c r="CK251" s="14"/>
      <c r="CL251" s="14"/>
      <c r="CM251" s="14"/>
      <c r="CN251" s="14"/>
      <c r="CO251" s="14"/>
      <c r="CP251" s="14"/>
      <c r="CQ251" s="14"/>
      <c r="CR251" s="14"/>
      <c r="CS251" s="14"/>
      <c r="CT251" s="14"/>
      <c r="CU251" s="14"/>
      <c r="CV251" s="14"/>
      <c r="CW251" s="14"/>
      <c r="CX251" s="14"/>
      <c r="CY251" s="14"/>
    </row>
    <row r="252" spans="1:103" ht="15.75" customHeight="1">
      <c r="A252" s="14"/>
      <c r="B252" s="14"/>
      <c r="C252" s="14"/>
      <c r="D252" s="14"/>
      <c r="E252" s="15"/>
      <c r="F252" s="14"/>
      <c r="G252" s="16"/>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14"/>
      <c r="AH252" s="14"/>
      <c r="AI252" s="14"/>
      <c r="AJ252" s="14"/>
      <c r="AK252" s="14"/>
      <c r="AL252" s="14"/>
      <c r="AM252" s="14"/>
      <c r="AN252" s="14"/>
      <c r="AO252" s="14"/>
      <c r="AP252" s="14"/>
      <c r="AQ252" s="14"/>
      <c r="AR252" s="14"/>
      <c r="AS252" s="14"/>
      <c r="AT252" s="14"/>
      <c r="AU252" s="14"/>
      <c r="AV252" s="14"/>
      <c r="AW252" s="14"/>
      <c r="AX252" s="14"/>
      <c r="AY252" s="14"/>
      <c r="AZ252" s="14"/>
      <c r="BA252" s="14"/>
      <c r="BB252" s="14"/>
      <c r="BC252" s="14"/>
      <c r="BD252" s="14"/>
      <c r="BE252" s="14"/>
      <c r="BF252" s="14"/>
      <c r="BG252" s="14"/>
      <c r="BH252" s="14"/>
      <c r="BI252" s="14"/>
      <c r="BJ252" s="14"/>
      <c r="BK252" s="14"/>
      <c r="BL252" s="14"/>
      <c r="BM252" s="14"/>
      <c r="BN252" s="14"/>
      <c r="BO252" s="14"/>
      <c r="BP252" s="14"/>
      <c r="BQ252" s="14"/>
      <c r="BR252" s="14"/>
      <c r="BS252" s="14"/>
      <c r="BT252" s="14"/>
      <c r="BU252" s="14"/>
      <c r="BV252" s="14"/>
      <c r="BW252" s="14"/>
      <c r="BX252" s="14"/>
      <c r="BY252" s="14"/>
      <c r="BZ252" s="14"/>
      <c r="CA252" s="14"/>
      <c r="CB252" s="14"/>
      <c r="CC252" s="14"/>
      <c r="CD252" s="14"/>
      <c r="CE252" s="14"/>
      <c r="CF252" s="14"/>
      <c r="CG252" s="14"/>
      <c r="CH252" s="14"/>
      <c r="CI252" s="14"/>
      <c r="CJ252" s="14"/>
      <c r="CK252" s="14"/>
      <c r="CL252" s="14"/>
      <c r="CM252" s="14"/>
      <c r="CN252" s="14"/>
      <c r="CO252" s="14"/>
      <c r="CP252" s="14"/>
      <c r="CQ252" s="14"/>
      <c r="CR252" s="14"/>
      <c r="CS252" s="14"/>
      <c r="CT252" s="14"/>
      <c r="CU252" s="14"/>
      <c r="CV252" s="14"/>
      <c r="CW252" s="14"/>
      <c r="CX252" s="14"/>
      <c r="CY252" s="14"/>
    </row>
    <row r="253" spans="1:103" ht="15.75" customHeight="1">
      <c r="A253" s="14"/>
      <c r="B253" s="14"/>
      <c r="C253" s="14"/>
      <c r="D253" s="14"/>
      <c r="E253" s="15"/>
      <c r="F253" s="14"/>
      <c r="G253" s="16"/>
      <c r="H253" s="14"/>
      <c r="I253" s="14"/>
      <c r="J253" s="14"/>
      <c r="K253" s="14"/>
      <c r="L253" s="14"/>
      <c r="M253" s="14"/>
      <c r="N253" s="14"/>
      <c r="O253" s="14"/>
      <c r="P253" s="14"/>
      <c r="Q253" s="14"/>
      <c r="R253" s="14"/>
      <c r="S253" s="14"/>
      <c r="T253" s="14"/>
      <c r="U253" s="14"/>
      <c r="V253" s="14"/>
      <c r="W253" s="14"/>
      <c r="X253" s="14"/>
      <c r="Y253" s="14"/>
      <c r="Z253" s="14"/>
      <c r="AA253" s="14"/>
      <c r="AB253" s="14"/>
      <c r="AC253" s="14"/>
      <c r="AD253" s="14"/>
      <c r="AE253" s="14"/>
      <c r="AF253" s="14"/>
      <c r="AG253" s="14"/>
      <c r="AH253" s="14"/>
      <c r="AI253" s="14"/>
      <c r="AJ253" s="14"/>
      <c r="AK253" s="14"/>
      <c r="AL253" s="14"/>
      <c r="AM253" s="14"/>
      <c r="AN253" s="14"/>
      <c r="AO253" s="14"/>
      <c r="AP253" s="14"/>
      <c r="AQ253" s="14"/>
      <c r="AR253" s="14"/>
      <c r="AS253" s="14"/>
      <c r="AT253" s="14"/>
      <c r="AU253" s="14"/>
      <c r="AV253" s="14"/>
      <c r="AW253" s="14"/>
      <c r="AX253" s="14"/>
      <c r="AY253" s="14"/>
      <c r="AZ253" s="14"/>
      <c r="BA253" s="14"/>
      <c r="BB253" s="14"/>
      <c r="BC253" s="14"/>
      <c r="BD253" s="14"/>
      <c r="BE253" s="14"/>
      <c r="BF253" s="14"/>
      <c r="BG253" s="14"/>
      <c r="BH253" s="14"/>
      <c r="BI253" s="14"/>
      <c r="BJ253" s="14"/>
      <c r="BK253" s="14"/>
      <c r="BL253" s="14"/>
      <c r="BM253" s="14"/>
      <c r="BN253" s="14"/>
      <c r="BO253" s="14"/>
      <c r="BP253" s="14"/>
      <c r="BQ253" s="14"/>
      <c r="BR253" s="14"/>
      <c r="BS253" s="14"/>
      <c r="BT253" s="14"/>
      <c r="BU253" s="14"/>
      <c r="BV253" s="14"/>
      <c r="BW253" s="14"/>
      <c r="BX253" s="14"/>
      <c r="BY253" s="14"/>
      <c r="BZ253" s="14"/>
      <c r="CA253" s="14"/>
      <c r="CB253" s="14"/>
      <c r="CC253" s="14"/>
      <c r="CD253" s="14"/>
      <c r="CE253" s="14"/>
      <c r="CF253" s="14"/>
      <c r="CG253" s="14"/>
      <c r="CH253" s="14"/>
      <c r="CI253" s="14"/>
      <c r="CJ253" s="14"/>
      <c r="CK253" s="14"/>
      <c r="CL253" s="14"/>
      <c r="CM253" s="14"/>
      <c r="CN253" s="14"/>
      <c r="CO253" s="14"/>
      <c r="CP253" s="14"/>
      <c r="CQ253" s="14"/>
      <c r="CR253" s="14"/>
      <c r="CS253" s="14"/>
      <c r="CT253" s="14"/>
      <c r="CU253" s="14"/>
      <c r="CV253" s="14"/>
      <c r="CW253" s="14"/>
      <c r="CX253" s="14"/>
      <c r="CY253" s="14"/>
    </row>
    <row r="254" spans="1:103" ht="15.75" customHeight="1">
      <c r="A254" s="14"/>
      <c r="B254" s="14"/>
      <c r="C254" s="14"/>
      <c r="D254" s="14"/>
      <c r="E254" s="15"/>
      <c r="F254" s="14"/>
      <c r="G254" s="16"/>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14"/>
      <c r="AH254" s="14"/>
      <c r="AI254" s="14"/>
      <c r="AJ254" s="14"/>
      <c r="AK254" s="14"/>
      <c r="AL254" s="14"/>
      <c r="AM254" s="14"/>
      <c r="AN254" s="14"/>
      <c r="AO254" s="14"/>
      <c r="AP254" s="14"/>
      <c r="AQ254" s="14"/>
      <c r="AR254" s="14"/>
      <c r="AS254" s="14"/>
      <c r="AT254" s="14"/>
      <c r="AU254" s="14"/>
      <c r="AV254" s="14"/>
      <c r="AW254" s="14"/>
      <c r="AX254" s="14"/>
      <c r="AY254" s="14"/>
      <c r="AZ254" s="14"/>
      <c r="BA254" s="14"/>
      <c r="BB254" s="14"/>
      <c r="BC254" s="14"/>
      <c r="BD254" s="14"/>
      <c r="BE254" s="14"/>
      <c r="BF254" s="14"/>
      <c r="BG254" s="14"/>
      <c r="BH254" s="14"/>
      <c r="BI254" s="14"/>
      <c r="BJ254" s="14"/>
      <c r="BK254" s="14"/>
      <c r="BL254" s="14"/>
      <c r="BM254" s="14"/>
      <c r="BN254" s="14"/>
      <c r="BO254" s="14"/>
      <c r="BP254" s="14"/>
      <c r="BQ254" s="14"/>
      <c r="BR254" s="14"/>
      <c r="BS254" s="14"/>
      <c r="BT254" s="14"/>
      <c r="BU254" s="14"/>
      <c r="BV254" s="14"/>
      <c r="BW254" s="14"/>
      <c r="BX254" s="14"/>
      <c r="BY254" s="14"/>
      <c r="BZ254" s="14"/>
      <c r="CA254" s="14"/>
      <c r="CB254" s="14"/>
      <c r="CC254" s="14"/>
      <c r="CD254" s="14"/>
      <c r="CE254" s="14"/>
      <c r="CF254" s="14"/>
      <c r="CG254" s="14"/>
      <c r="CH254" s="14"/>
      <c r="CI254" s="14"/>
      <c r="CJ254" s="14"/>
      <c r="CK254" s="14"/>
      <c r="CL254" s="14"/>
      <c r="CM254" s="14"/>
      <c r="CN254" s="14"/>
      <c r="CO254" s="14"/>
      <c r="CP254" s="14"/>
      <c r="CQ254" s="14"/>
      <c r="CR254" s="14"/>
      <c r="CS254" s="14"/>
      <c r="CT254" s="14"/>
      <c r="CU254" s="14"/>
      <c r="CV254" s="14"/>
      <c r="CW254" s="14"/>
      <c r="CX254" s="14"/>
      <c r="CY254" s="14"/>
    </row>
    <row r="255" spans="1:103" ht="15.75" customHeight="1">
      <c r="A255" s="14"/>
      <c r="B255" s="14"/>
      <c r="C255" s="14"/>
      <c r="D255" s="14"/>
      <c r="E255" s="15"/>
      <c r="F255" s="14"/>
      <c r="G255" s="16"/>
      <c r="H255" s="14"/>
      <c r="I255" s="14"/>
      <c r="J255" s="14"/>
      <c r="K255" s="14"/>
      <c r="L255" s="14"/>
      <c r="M255" s="14"/>
      <c r="N255" s="14"/>
      <c r="O255" s="14"/>
      <c r="P255" s="14"/>
      <c r="Q255" s="14"/>
      <c r="R255" s="14"/>
      <c r="S255" s="14"/>
      <c r="T255" s="14"/>
      <c r="U255" s="14"/>
      <c r="V255" s="14"/>
      <c r="W255" s="14"/>
      <c r="X255" s="14"/>
      <c r="Y255" s="14"/>
      <c r="Z255" s="14"/>
      <c r="AA255" s="14"/>
      <c r="AB255" s="14"/>
      <c r="AC255" s="14"/>
      <c r="AD255" s="14"/>
      <c r="AE255" s="14"/>
      <c r="AF255" s="14"/>
      <c r="AG255" s="14"/>
      <c r="AH255" s="14"/>
      <c r="AI255" s="14"/>
      <c r="AJ255" s="14"/>
      <c r="AK255" s="14"/>
      <c r="AL255" s="14"/>
      <c r="AM255" s="14"/>
      <c r="AN255" s="14"/>
      <c r="AO255" s="14"/>
      <c r="AP255" s="14"/>
      <c r="AQ255" s="14"/>
      <c r="AR255" s="14"/>
      <c r="AS255" s="14"/>
      <c r="AT255" s="14"/>
      <c r="AU255" s="14"/>
      <c r="AV255" s="14"/>
      <c r="AW255" s="14"/>
      <c r="AX255" s="14"/>
      <c r="AY255" s="14"/>
      <c r="AZ255" s="14"/>
      <c r="BA255" s="14"/>
      <c r="BB255" s="14"/>
      <c r="BC255" s="14"/>
      <c r="BD255" s="14"/>
      <c r="BE255" s="14"/>
      <c r="BF255" s="14"/>
      <c r="BG255" s="14"/>
      <c r="BH255" s="14"/>
      <c r="BI255" s="14"/>
      <c r="BJ255" s="14"/>
      <c r="BK255" s="14"/>
      <c r="BL255" s="14"/>
      <c r="BM255" s="14"/>
      <c r="BN255" s="14"/>
      <c r="BO255" s="14"/>
      <c r="BP255" s="14"/>
      <c r="BQ255" s="14"/>
      <c r="BR255" s="14"/>
      <c r="BS255" s="14"/>
      <c r="BT255" s="14"/>
      <c r="BU255" s="14"/>
      <c r="BV255" s="14"/>
      <c r="BW255" s="14"/>
      <c r="BX255" s="14"/>
      <c r="BY255" s="14"/>
      <c r="BZ255" s="14"/>
      <c r="CA255" s="14"/>
      <c r="CB255" s="14"/>
      <c r="CC255" s="14"/>
      <c r="CD255" s="14"/>
      <c r="CE255" s="14"/>
      <c r="CF255" s="14"/>
      <c r="CG255" s="14"/>
      <c r="CH255" s="14"/>
      <c r="CI255" s="14"/>
      <c r="CJ255" s="14"/>
      <c r="CK255" s="14"/>
      <c r="CL255" s="14"/>
      <c r="CM255" s="14"/>
      <c r="CN255" s="14"/>
      <c r="CO255" s="14"/>
      <c r="CP255" s="14"/>
      <c r="CQ255" s="14"/>
      <c r="CR255" s="14"/>
      <c r="CS255" s="14"/>
      <c r="CT255" s="14"/>
      <c r="CU255" s="14"/>
      <c r="CV255" s="14"/>
      <c r="CW255" s="14"/>
      <c r="CX255" s="14"/>
      <c r="CY255" s="14"/>
    </row>
    <row r="256" spans="1:103" ht="15.75" customHeight="1">
      <c r="A256" s="14"/>
      <c r="B256" s="14"/>
      <c r="C256" s="14"/>
      <c r="D256" s="14"/>
      <c r="E256" s="15"/>
      <c r="F256" s="14"/>
      <c r="G256" s="16"/>
      <c r="H256" s="14"/>
      <c r="I256" s="14"/>
      <c r="J256" s="14"/>
      <c r="K256" s="14"/>
      <c r="L256" s="14"/>
      <c r="M256" s="14"/>
      <c r="N256" s="14"/>
      <c r="O256" s="14"/>
      <c r="P256" s="14"/>
      <c r="Q256" s="14"/>
      <c r="R256" s="14"/>
      <c r="S256" s="14"/>
      <c r="T256" s="14"/>
      <c r="U256" s="14"/>
      <c r="V256" s="14"/>
      <c r="W256" s="14"/>
      <c r="X256" s="14"/>
      <c r="Y256" s="14"/>
      <c r="Z256" s="14"/>
      <c r="AA256" s="14"/>
      <c r="AB256" s="14"/>
      <c r="AC256" s="14"/>
      <c r="AD256" s="14"/>
      <c r="AE256" s="14"/>
      <c r="AF256" s="14"/>
      <c r="AG256" s="14"/>
      <c r="AH256" s="14"/>
      <c r="AI256" s="14"/>
      <c r="AJ256" s="14"/>
      <c r="AK256" s="14"/>
      <c r="AL256" s="14"/>
      <c r="AM256" s="14"/>
      <c r="AN256" s="14"/>
      <c r="AO256" s="14"/>
      <c r="AP256" s="14"/>
      <c r="AQ256" s="14"/>
      <c r="AR256" s="14"/>
      <c r="AS256" s="14"/>
      <c r="AT256" s="14"/>
      <c r="AU256" s="14"/>
      <c r="AV256" s="14"/>
      <c r="AW256" s="14"/>
      <c r="AX256" s="14"/>
      <c r="AY256" s="14"/>
      <c r="AZ256" s="14"/>
      <c r="BA256" s="14"/>
      <c r="BB256" s="14"/>
      <c r="BC256" s="14"/>
      <c r="BD256" s="14"/>
      <c r="BE256" s="14"/>
      <c r="BF256" s="14"/>
      <c r="BG256" s="14"/>
      <c r="BH256" s="14"/>
      <c r="BI256" s="14"/>
      <c r="BJ256" s="14"/>
      <c r="BK256" s="14"/>
      <c r="BL256" s="14"/>
      <c r="BM256" s="14"/>
      <c r="BN256" s="14"/>
      <c r="BO256" s="14"/>
      <c r="BP256" s="14"/>
      <c r="BQ256" s="14"/>
      <c r="BR256" s="14"/>
      <c r="BS256" s="14"/>
      <c r="BT256" s="14"/>
      <c r="BU256" s="14"/>
      <c r="BV256" s="14"/>
      <c r="BW256" s="14"/>
      <c r="BX256" s="14"/>
      <c r="BY256" s="14"/>
      <c r="BZ256" s="14"/>
      <c r="CA256" s="14"/>
      <c r="CB256" s="14"/>
      <c r="CC256" s="14"/>
      <c r="CD256" s="14"/>
      <c r="CE256" s="14"/>
      <c r="CF256" s="14"/>
      <c r="CG256" s="14"/>
      <c r="CH256" s="14"/>
      <c r="CI256" s="14"/>
      <c r="CJ256" s="14"/>
      <c r="CK256" s="14"/>
      <c r="CL256" s="14"/>
      <c r="CM256" s="14"/>
      <c r="CN256" s="14"/>
      <c r="CO256" s="14"/>
      <c r="CP256" s="14"/>
      <c r="CQ256" s="14"/>
      <c r="CR256" s="14"/>
      <c r="CS256" s="14"/>
      <c r="CT256" s="14"/>
      <c r="CU256" s="14"/>
      <c r="CV256" s="14"/>
      <c r="CW256" s="14"/>
      <c r="CX256" s="14"/>
      <c r="CY256" s="14"/>
    </row>
    <row r="257" spans="1:103" ht="15.75" customHeight="1">
      <c r="A257" s="14"/>
      <c r="B257" s="14"/>
      <c r="C257" s="14"/>
      <c r="D257" s="14"/>
      <c r="E257" s="15"/>
      <c r="F257" s="14"/>
      <c r="G257" s="16"/>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14"/>
      <c r="AH257" s="14"/>
      <c r="AI257" s="14"/>
      <c r="AJ257" s="14"/>
      <c r="AK257" s="14"/>
      <c r="AL257" s="14"/>
      <c r="AM257" s="14"/>
      <c r="AN257" s="14"/>
      <c r="AO257" s="14"/>
      <c r="AP257" s="14"/>
      <c r="AQ257" s="14"/>
      <c r="AR257" s="14"/>
      <c r="AS257" s="14"/>
      <c r="AT257" s="14"/>
      <c r="AU257" s="14"/>
      <c r="AV257" s="14"/>
      <c r="AW257" s="14"/>
      <c r="AX257" s="14"/>
      <c r="AY257" s="14"/>
      <c r="AZ257" s="14"/>
      <c r="BA257" s="14"/>
      <c r="BB257" s="14"/>
      <c r="BC257" s="14"/>
      <c r="BD257" s="14"/>
      <c r="BE257" s="14"/>
      <c r="BF257" s="14"/>
      <c r="BG257" s="14"/>
      <c r="BH257" s="14"/>
      <c r="BI257" s="14"/>
      <c r="BJ257" s="14"/>
      <c r="BK257" s="14"/>
      <c r="BL257" s="14"/>
      <c r="BM257" s="14"/>
      <c r="BN257" s="14"/>
      <c r="BO257" s="14"/>
      <c r="BP257" s="14"/>
      <c r="BQ257" s="14"/>
      <c r="BR257" s="14"/>
      <c r="BS257" s="14"/>
      <c r="BT257" s="14"/>
      <c r="BU257" s="14"/>
      <c r="BV257" s="14"/>
      <c r="BW257" s="14"/>
      <c r="BX257" s="14"/>
      <c r="BY257" s="14"/>
      <c r="BZ257" s="14"/>
      <c r="CA257" s="14"/>
      <c r="CB257" s="14"/>
      <c r="CC257" s="14"/>
      <c r="CD257" s="14"/>
      <c r="CE257" s="14"/>
      <c r="CF257" s="14"/>
      <c r="CG257" s="14"/>
      <c r="CH257" s="14"/>
      <c r="CI257" s="14"/>
      <c r="CJ257" s="14"/>
      <c r="CK257" s="14"/>
      <c r="CL257" s="14"/>
      <c r="CM257" s="14"/>
      <c r="CN257" s="14"/>
      <c r="CO257" s="14"/>
      <c r="CP257" s="14"/>
      <c r="CQ257" s="14"/>
      <c r="CR257" s="14"/>
      <c r="CS257" s="14"/>
      <c r="CT257" s="14"/>
      <c r="CU257" s="14"/>
      <c r="CV257" s="14"/>
      <c r="CW257" s="14"/>
      <c r="CX257" s="14"/>
      <c r="CY257" s="14"/>
    </row>
    <row r="258" spans="1:103" ht="15.75" customHeight="1">
      <c r="A258" s="14"/>
      <c r="B258" s="14"/>
      <c r="C258" s="14"/>
      <c r="D258" s="14"/>
      <c r="E258" s="15"/>
      <c r="F258" s="14"/>
      <c r="G258" s="16"/>
      <c r="H258" s="14"/>
      <c r="I258" s="14"/>
      <c r="J258" s="14"/>
      <c r="K258" s="14"/>
      <c r="L258" s="14"/>
      <c r="M258" s="14"/>
      <c r="N258" s="14"/>
      <c r="O258" s="14"/>
      <c r="P258" s="14"/>
      <c r="Q258" s="14"/>
      <c r="R258" s="14"/>
      <c r="S258" s="14"/>
      <c r="T258" s="14"/>
      <c r="U258" s="14"/>
      <c r="V258" s="14"/>
      <c r="W258" s="14"/>
      <c r="X258" s="14"/>
      <c r="Y258" s="14"/>
      <c r="Z258" s="14"/>
      <c r="AA258" s="14"/>
      <c r="AB258" s="14"/>
      <c r="AC258" s="14"/>
      <c r="AD258" s="14"/>
      <c r="AE258" s="14"/>
      <c r="AF258" s="14"/>
      <c r="AG258" s="14"/>
      <c r="AH258" s="14"/>
      <c r="AI258" s="14"/>
      <c r="AJ258" s="14"/>
      <c r="AK258" s="14"/>
      <c r="AL258" s="14"/>
      <c r="AM258" s="14"/>
      <c r="AN258" s="14"/>
      <c r="AO258" s="14"/>
      <c r="AP258" s="14"/>
      <c r="AQ258" s="14"/>
      <c r="AR258" s="14"/>
      <c r="AS258" s="14"/>
      <c r="AT258" s="14"/>
      <c r="AU258" s="14"/>
      <c r="AV258" s="14"/>
      <c r="AW258" s="14"/>
      <c r="AX258" s="14"/>
      <c r="AY258" s="14"/>
      <c r="AZ258" s="14"/>
      <c r="BA258" s="14"/>
      <c r="BB258" s="14"/>
      <c r="BC258" s="14"/>
      <c r="BD258" s="14"/>
      <c r="BE258" s="14"/>
      <c r="BF258" s="14"/>
      <c r="BG258" s="14"/>
      <c r="BH258" s="14"/>
      <c r="BI258" s="14"/>
      <c r="BJ258" s="14"/>
      <c r="BK258" s="14"/>
      <c r="BL258" s="14"/>
      <c r="BM258" s="14"/>
      <c r="BN258" s="14"/>
      <c r="BO258" s="14"/>
      <c r="BP258" s="14"/>
      <c r="BQ258" s="14"/>
      <c r="BR258" s="14"/>
      <c r="BS258" s="14"/>
      <c r="BT258" s="14"/>
      <c r="BU258" s="14"/>
      <c r="BV258" s="14"/>
      <c r="BW258" s="14"/>
      <c r="BX258" s="14"/>
      <c r="BY258" s="14"/>
      <c r="BZ258" s="14"/>
      <c r="CA258" s="14"/>
      <c r="CB258" s="14"/>
      <c r="CC258" s="14"/>
      <c r="CD258" s="14"/>
      <c r="CE258" s="14"/>
      <c r="CF258" s="14"/>
      <c r="CG258" s="14"/>
      <c r="CH258" s="14"/>
      <c r="CI258" s="14"/>
      <c r="CJ258" s="14"/>
      <c r="CK258" s="14"/>
      <c r="CL258" s="14"/>
      <c r="CM258" s="14"/>
      <c r="CN258" s="14"/>
      <c r="CO258" s="14"/>
      <c r="CP258" s="14"/>
      <c r="CQ258" s="14"/>
      <c r="CR258" s="14"/>
      <c r="CS258" s="14"/>
      <c r="CT258" s="14"/>
      <c r="CU258" s="14"/>
      <c r="CV258" s="14"/>
      <c r="CW258" s="14"/>
      <c r="CX258" s="14"/>
      <c r="CY258" s="14"/>
    </row>
    <row r="259" spans="1:103" ht="15.75" customHeight="1">
      <c r="A259" s="14"/>
      <c r="B259" s="14"/>
      <c r="C259" s="14"/>
      <c r="D259" s="14"/>
      <c r="E259" s="15"/>
      <c r="F259" s="14"/>
      <c r="G259" s="16"/>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14"/>
      <c r="AH259" s="14"/>
      <c r="AI259" s="14"/>
      <c r="AJ259" s="14"/>
      <c r="AK259" s="14"/>
      <c r="AL259" s="14"/>
      <c r="AM259" s="14"/>
      <c r="AN259" s="14"/>
      <c r="AO259" s="14"/>
      <c r="AP259" s="14"/>
      <c r="AQ259" s="14"/>
      <c r="AR259" s="14"/>
      <c r="AS259" s="14"/>
      <c r="AT259" s="14"/>
      <c r="AU259" s="14"/>
      <c r="AV259" s="14"/>
      <c r="AW259" s="14"/>
      <c r="AX259" s="14"/>
      <c r="AY259" s="14"/>
      <c r="AZ259" s="14"/>
      <c r="BA259" s="14"/>
      <c r="BB259" s="14"/>
      <c r="BC259" s="14"/>
      <c r="BD259" s="14"/>
      <c r="BE259" s="14"/>
      <c r="BF259" s="14"/>
      <c r="BG259" s="14"/>
      <c r="BH259" s="14"/>
      <c r="BI259" s="14"/>
      <c r="BJ259" s="14"/>
      <c r="BK259" s="14"/>
      <c r="BL259" s="14"/>
      <c r="BM259" s="14"/>
      <c r="BN259" s="14"/>
      <c r="BO259" s="14"/>
      <c r="BP259" s="14"/>
      <c r="BQ259" s="14"/>
      <c r="BR259" s="14"/>
      <c r="BS259" s="14"/>
      <c r="BT259" s="14"/>
      <c r="BU259" s="14"/>
      <c r="BV259" s="14"/>
      <c r="BW259" s="14"/>
      <c r="BX259" s="14"/>
      <c r="BY259" s="14"/>
      <c r="BZ259" s="14"/>
      <c r="CA259" s="14"/>
      <c r="CB259" s="14"/>
      <c r="CC259" s="14"/>
      <c r="CD259" s="14"/>
      <c r="CE259" s="14"/>
      <c r="CF259" s="14"/>
      <c r="CG259" s="14"/>
      <c r="CH259" s="14"/>
      <c r="CI259" s="14"/>
      <c r="CJ259" s="14"/>
      <c r="CK259" s="14"/>
      <c r="CL259" s="14"/>
      <c r="CM259" s="14"/>
      <c r="CN259" s="14"/>
      <c r="CO259" s="14"/>
      <c r="CP259" s="14"/>
      <c r="CQ259" s="14"/>
      <c r="CR259" s="14"/>
      <c r="CS259" s="14"/>
      <c r="CT259" s="14"/>
      <c r="CU259" s="14"/>
      <c r="CV259" s="14"/>
      <c r="CW259" s="14"/>
      <c r="CX259" s="14"/>
      <c r="CY259" s="14"/>
    </row>
    <row r="260" spans="1:103" ht="15.75" customHeight="1">
      <c r="A260" s="14"/>
      <c r="B260" s="14"/>
      <c r="C260" s="14"/>
      <c r="D260" s="14"/>
      <c r="E260" s="15"/>
      <c r="F260" s="14"/>
      <c r="G260" s="16"/>
      <c r="H260" s="14"/>
      <c r="I260" s="14"/>
      <c r="J260" s="14"/>
      <c r="K260" s="14"/>
      <c r="L260" s="14"/>
      <c r="M260" s="14"/>
      <c r="N260" s="14"/>
      <c r="O260" s="14"/>
      <c r="P260" s="14"/>
      <c r="Q260" s="14"/>
      <c r="R260" s="14"/>
      <c r="S260" s="14"/>
      <c r="T260" s="14"/>
      <c r="U260" s="14"/>
      <c r="V260" s="14"/>
      <c r="W260" s="14"/>
      <c r="X260" s="14"/>
      <c r="Y260" s="14"/>
      <c r="Z260" s="14"/>
      <c r="AA260" s="14"/>
      <c r="AB260" s="14"/>
      <c r="AC260" s="14"/>
      <c r="AD260" s="14"/>
      <c r="AE260" s="14"/>
      <c r="AF260" s="14"/>
      <c r="AG260" s="14"/>
      <c r="AH260" s="14"/>
      <c r="AI260" s="14"/>
      <c r="AJ260" s="14"/>
      <c r="AK260" s="14"/>
      <c r="AL260" s="14"/>
      <c r="AM260" s="14"/>
      <c r="AN260" s="14"/>
      <c r="AO260" s="14"/>
      <c r="AP260" s="14"/>
      <c r="AQ260" s="14"/>
      <c r="AR260" s="14"/>
      <c r="AS260" s="14"/>
      <c r="AT260" s="14"/>
      <c r="AU260" s="14"/>
      <c r="AV260" s="14"/>
      <c r="AW260" s="14"/>
      <c r="AX260" s="14"/>
      <c r="AY260" s="14"/>
      <c r="AZ260" s="14"/>
      <c r="BA260" s="14"/>
      <c r="BB260" s="14"/>
      <c r="BC260" s="14"/>
      <c r="BD260" s="14"/>
      <c r="BE260" s="14"/>
      <c r="BF260" s="14"/>
      <c r="BG260" s="14"/>
      <c r="BH260" s="14"/>
      <c r="BI260" s="14"/>
      <c r="BJ260" s="14"/>
      <c r="BK260" s="14"/>
      <c r="BL260" s="14"/>
      <c r="BM260" s="14"/>
      <c r="BN260" s="14"/>
      <c r="BO260" s="14"/>
      <c r="BP260" s="14"/>
      <c r="BQ260" s="14"/>
      <c r="BR260" s="14"/>
      <c r="BS260" s="14"/>
      <c r="BT260" s="14"/>
      <c r="BU260" s="14"/>
      <c r="BV260" s="14"/>
      <c r="BW260" s="14"/>
      <c r="BX260" s="14"/>
      <c r="BY260" s="14"/>
      <c r="BZ260" s="14"/>
      <c r="CA260" s="14"/>
      <c r="CB260" s="14"/>
      <c r="CC260" s="14"/>
      <c r="CD260" s="14"/>
      <c r="CE260" s="14"/>
      <c r="CF260" s="14"/>
      <c r="CG260" s="14"/>
      <c r="CH260" s="14"/>
      <c r="CI260" s="14"/>
      <c r="CJ260" s="14"/>
      <c r="CK260" s="14"/>
      <c r="CL260" s="14"/>
      <c r="CM260" s="14"/>
      <c r="CN260" s="14"/>
      <c r="CO260" s="14"/>
      <c r="CP260" s="14"/>
      <c r="CQ260" s="14"/>
      <c r="CR260" s="14"/>
      <c r="CS260" s="14"/>
      <c r="CT260" s="14"/>
      <c r="CU260" s="14"/>
      <c r="CV260" s="14"/>
      <c r="CW260" s="14"/>
      <c r="CX260" s="14"/>
      <c r="CY260" s="14"/>
    </row>
  </sheetData>
  <mergeCells count="335">
    <mergeCell ref="B19:B20"/>
    <mergeCell ref="D19:G19"/>
    <mergeCell ref="I19:L19"/>
    <mergeCell ref="N19:Q19"/>
    <mergeCell ref="S19:V19"/>
    <mergeCell ref="X19:AA19"/>
    <mergeCell ref="AC19:AF19"/>
    <mergeCell ref="B22:B23"/>
    <mergeCell ref="D22:G22"/>
    <mergeCell ref="I22:L22"/>
    <mergeCell ref="N22:Q22"/>
    <mergeCell ref="S22:V22"/>
    <mergeCell ref="X22:AA22"/>
    <mergeCell ref="AC22:AF22"/>
    <mergeCell ref="BQ28:BT28"/>
    <mergeCell ref="BV28:BY28"/>
    <mergeCell ref="CA28:CD28"/>
    <mergeCell ref="CF28:CI28"/>
    <mergeCell ref="CK28:CN28"/>
    <mergeCell ref="CP28:CS28"/>
    <mergeCell ref="CU28:CX28"/>
    <mergeCell ref="AH28:AK28"/>
    <mergeCell ref="AM28:AP28"/>
    <mergeCell ref="AR28:AU28"/>
    <mergeCell ref="AW28:AZ28"/>
    <mergeCell ref="BB28:BE28"/>
    <mergeCell ref="BG28:BJ28"/>
    <mergeCell ref="BL28:BO28"/>
    <mergeCell ref="CP31:CS31"/>
    <mergeCell ref="CU31:CX31"/>
    <mergeCell ref="AH31:AK31"/>
    <mergeCell ref="AM31:AP31"/>
    <mergeCell ref="AR31:AU31"/>
    <mergeCell ref="AW31:AZ31"/>
    <mergeCell ref="BB31:BE31"/>
    <mergeCell ref="BG31:BJ31"/>
    <mergeCell ref="BL31:BO31"/>
    <mergeCell ref="B34:B35"/>
    <mergeCell ref="D34:G34"/>
    <mergeCell ref="I34:L34"/>
    <mergeCell ref="N34:Q34"/>
    <mergeCell ref="S34:V34"/>
    <mergeCell ref="X34:AA34"/>
    <mergeCell ref="AC34:AF34"/>
    <mergeCell ref="BQ34:BT34"/>
    <mergeCell ref="BV34:BY34"/>
    <mergeCell ref="AH34:AK34"/>
    <mergeCell ref="AM34:AP34"/>
    <mergeCell ref="AR34:AU34"/>
    <mergeCell ref="AW34:AZ34"/>
    <mergeCell ref="BB34:BE34"/>
    <mergeCell ref="BG34:BJ34"/>
    <mergeCell ref="BL34:BO34"/>
    <mergeCell ref="BQ43:BT43"/>
    <mergeCell ref="BV43:BY43"/>
    <mergeCell ref="AH43:AK43"/>
    <mergeCell ref="AM43:AP43"/>
    <mergeCell ref="AR43:AU43"/>
    <mergeCell ref="AW43:AZ43"/>
    <mergeCell ref="BB43:BE43"/>
    <mergeCell ref="BG43:BJ43"/>
    <mergeCell ref="BL43:BO43"/>
    <mergeCell ref="B43:B44"/>
    <mergeCell ref="D43:G43"/>
    <mergeCell ref="I43:L43"/>
    <mergeCell ref="N43:Q43"/>
    <mergeCell ref="S43:V43"/>
    <mergeCell ref="X43:AA43"/>
    <mergeCell ref="AC43:AF43"/>
    <mergeCell ref="B46:B47"/>
    <mergeCell ref="D46:G46"/>
    <mergeCell ref="I46:L46"/>
    <mergeCell ref="N46:Q46"/>
    <mergeCell ref="S46:V46"/>
    <mergeCell ref="X46:AA46"/>
    <mergeCell ref="AC46:AF46"/>
    <mergeCell ref="BQ46:BT46"/>
    <mergeCell ref="BV46:BY46"/>
    <mergeCell ref="CA46:CD46"/>
    <mergeCell ref="CF46:CI46"/>
    <mergeCell ref="CK46:CN46"/>
    <mergeCell ref="CP46:CS46"/>
    <mergeCell ref="CU46:CX46"/>
    <mergeCell ref="AH46:AK46"/>
    <mergeCell ref="AM46:AP46"/>
    <mergeCell ref="AR46:AU46"/>
    <mergeCell ref="AW46:AZ46"/>
    <mergeCell ref="BB46:BE46"/>
    <mergeCell ref="BG46:BJ46"/>
    <mergeCell ref="BL46:BO46"/>
    <mergeCell ref="B28:B29"/>
    <mergeCell ref="D28:G28"/>
    <mergeCell ref="I28:L28"/>
    <mergeCell ref="N28:Q28"/>
    <mergeCell ref="S28:V28"/>
    <mergeCell ref="X28:AA28"/>
    <mergeCell ref="AC28:AF28"/>
    <mergeCell ref="B31:B32"/>
    <mergeCell ref="D31:G31"/>
    <mergeCell ref="I31:L31"/>
    <mergeCell ref="N31:Q31"/>
    <mergeCell ref="S31:V31"/>
    <mergeCell ref="X31:AA31"/>
    <mergeCell ref="AC31:AF31"/>
    <mergeCell ref="AH40:AK40"/>
    <mergeCell ref="AM40:AP40"/>
    <mergeCell ref="AR40:AU40"/>
    <mergeCell ref="AW40:AZ40"/>
    <mergeCell ref="BB40:BE40"/>
    <mergeCell ref="BG40:BJ40"/>
    <mergeCell ref="BL40:BO40"/>
    <mergeCell ref="BQ37:BT37"/>
    <mergeCell ref="BV37:BY37"/>
    <mergeCell ref="AH37:AK37"/>
    <mergeCell ref="AM37:AP37"/>
    <mergeCell ref="AR37:AU37"/>
    <mergeCell ref="AW37:AZ37"/>
    <mergeCell ref="BB37:BE37"/>
    <mergeCell ref="BG37:BJ37"/>
    <mergeCell ref="BL37:BO37"/>
    <mergeCell ref="CU10:CX10"/>
    <mergeCell ref="CA25:CD25"/>
    <mergeCell ref="BQ40:BT40"/>
    <mergeCell ref="BV40:BY40"/>
    <mergeCell ref="CA40:CD40"/>
    <mergeCell ref="CF40:CI40"/>
    <mergeCell ref="CK40:CN40"/>
    <mergeCell ref="CP40:CS40"/>
    <mergeCell ref="CU40:CX40"/>
    <mergeCell ref="CA37:CD37"/>
    <mergeCell ref="CF37:CI37"/>
    <mergeCell ref="CK37:CN37"/>
    <mergeCell ref="CP37:CS37"/>
    <mergeCell ref="CU37:CX37"/>
    <mergeCell ref="CA34:CD34"/>
    <mergeCell ref="CF34:CI34"/>
    <mergeCell ref="CK34:CN34"/>
    <mergeCell ref="CP34:CS34"/>
    <mergeCell ref="CU34:CX34"/>
    <mergeCell ref="BQ31:BT31"/>
    <mergeCell ref="BV31:BY31"/>
    <mergeCell ref="CA31:CD31"/>
    <mergeCell ref="CF31:CI31"/>
    <mergeCell ref="CK31:CN31"/>
    <mergeCell ref="D2:G2"/>
    <mergeCell ref="D4:G4"/>
    <mergeCell ref="CA43:CD43"/>
    <mergeCell ref="CF43:CI43"/>
    <mergeCell ref="CK43:CN43"/>
    <mergeCell ref="CP43:CS43"/>
    <mergeCell ref="CU43:CX43"/>
    <mergeCell ref="BV2:BY2"/>
    <mergeCell ref="CA2:CD2"/>
    <mergeCell ref="CF2:CI2"/>
    <mergeCell ref="CK2:CN2"/>
    <mergeCell ref="CP2:CS2"/>
    <mergeCell ref="CU2:CX2"/>
    <mergeCell ref="CK4:CN4"/>
    <mergeCell ref="CP4:CS4"/>
    <mergeCell ref="CU4:CX4"/>
    <mergeCell ref="CK7:CN7"/>
    <mergeCell ref="CP7:CS7"/>
    <mergeCell ref="CU7:CX7"/>
    <mergeCell ref="BV10:BY10"/>
    <mergeCell ref="CA10:CD10"/>
    <mergeCell ref="CF10:CI10"/>
    <mergeCell ref="CK10:CN10"/>
    <mergeCell ref="CP10:CS10"/>
    <mergeCell ref="BQ7:BT7"/>
    <mergeCell ref="BV7:BY7"/>
    <mergeCell ref="CA7:CD7"/>
    <mergeCell ref="CF7:CI7"/>
    <mergeCell ref="AH7:AK7"/>
    <mergeCell ref="AM7:AP7"/>
    <mergeCell ref="AR7:AU7"/>
    <mergeCell ref="AW7:AZ7"/>
    <mergeCell ref="AM2:AP2"/>
    <mergeCell ref="AR2:AU2"/>
    <mergeCell ref="AW2:AZ2"/>
    <mergeCell ref="BB2:BE2"/>
    <mergeCell ref="BG2:BJ2"/>
    <mergeCell ref="BL2:BO2"/>
    <mergeCell ref="BQ2:BT2"/>
    <mergeCell ref="BV4:BY4"/>
    <mergeCell ref="CA4:CD4"/>
    <mergeCell ref="CF4:CI4"/>
    <mergeCell ref="AC4:AF4"/>
    <mergeCell ref="AH4:AK4"/>
    <mergeCell ref="AM4:AP4"/>
    <mergeCell ref="AR4:AU4"/>
    <mergeCell ref="AW4:AZ4"/>
    <mergeCell ref="BB4:BE4"/>
    <mergeCell ref="BG4:BJ4"/>
    <mergeCell ref="AW13:AZ13"/>
    <mergeCell ref="BB13:BE13"/>
    <mergeCell ref="BG13:BJ13"/>
    <mergeCell ref="BL13:BO13"/>
    <mergeCell ref="B7:B8"/>
    <mergeCell ref="D7:G7"/>
    <mergeCell ref="S4:V4"/>
    <mergeCell ref="X4:AA4"/>
    <mergeCell ref="BL4:BO4"/>
    <mergeCell ref="AH16:AK16"/>
    <mergeCell ref="AM16:AP16"/>
    <mergeCell ref="AR16:AU16"/>
    <mergeCell ref="AW16:AZ16"/>
    <mergeCell ref="BB16:BE16"/>
    <mergeCell ref="BG16:BJ16"/>
    <mergeCell ref="BL16:BO16"/>
    <mergeCell ref="I2:L2"/>
    <mergeCell ref="N2:Q2"/>
    <mergeCell ref="S2:V2"/>
    <mergeCell ref="X2:AA2"/>
    <mergeCell ref="AC2:AF2"/>
    <mergeCell ref="AH2:AK2"/>
    <mergeCell ref="N13:Q13"/>
    <mergeCell ref="S13:V13"/>
    <mergeCell ref="X13:AA13"/>
    <mergeCell ref="AC13:AF13"/>
    <mergeCell ref="BB7:BE7"/>
    <mergeCell ref="BG7:BJ7"/>
    <mergeCell ref="BL7:BO7"/>
    <mergeCell ref="AH13:AK13"/>
    <mergeCell ref="AM13:AP13"/>
    <mergeCell ref="AR13:AU13"/>
    <mergeCell ref="B4:B5"/>
    <mergeCell ref="I4:L4"/>
    <mergeCell ref="N4:Q4"/>
    <mergeCell ref="I7:L7"/>
    <mergeCell ref="N7:Q7"/>
    <mergeCell ref="S7:V7"/>
    <mergeCell ref="X7:AA7"/>
    <mergeCell ref="AC7:AF7"/>
    <mergeCell ref="BQ10:BT10"/>
    <mergeCell ref="AH10:AK10"/>
    <mergeCell ref="AM10:AP10"/>
    <mergeCell ref="AR10:AU10"/>
    <mergeCell ref="AW10:AZ10"/>
    <mergeCell ref="BB10:BE10"/>
    <mergeCell ref="BG10:BJ10"/>
    <mergeCell ref="BL10:BO10"/>
    <mergeCell ref="B10:B11"/>
    <mergeCell ref="D10:G10"/>
    <mergeCell ref="I10:L10"/>
    <mergeCell ref="N10:Q10"/>
    <mergeCell ref="S10:V10"/>
    <mergeCell ref="X10:AA10"/>
    <mergeCell ref="AC10:AF10"/>
    <mergeCell ref="BQ4:BT4"/>
    <mergeCell ref="BQ13:BT13"/>
    <mergeCell ref="BV13:BY13"/>
    <mergeCell ref="CA13:CD13"/>
    <mergeCell ref="CF13:CI13"/>
    <mergeCell ref="CK13:CN13"/>
    <mergeCell ref="CP13:CS13"/>
    <mergeCell ref="CU13:CX13"/>
    <mergeCell ref="B16:B17"/>
    <mergeCell ref="D16:G16"/>
    <mergeCell ref="I16:L16"/>
    <mergeCell ref="N16:Q16"/>
    <mergeCell ref="S16:V16"/>
    <mergeCell ref="X16:AA16"/>
    <mergeCell ref="AC16:AF16"/>
    <mergeCell ref="BQ16:BT16"/>
    <mergeCell ref="BV16:BY16"/>
    <mergeCell ref="CA16:CD16"/>
    <mergeCell ref="CF16:CI16"/>
    <mergeCell ref="CK16:CN16"/>
    <mergeCell ref="CP16:CS16"/>
    <mergeCell ref="CU16:CX16"/>
    <mergeCell ref="B13:B14"/>
    <mergeCell ref="D13:G13"/>
    <mergeCell ref="I13:L13"/>
    <mergeCell ref="BQ19:BT19"/>
    <mergeCell ref="BV19:BY19"/>
    <mergeCell ref="CA19:CD19"/>
    <mergeCell ref="CF19:CI19"/>
    <mergeCell ref="CK19:CN19"/>
    <mergeCell ref="CP19:CS19"/>
    <mergeCell ref="CU19:CX19"/>
    <mergeCell ref="AH19:AK19"/>
    <mergeCell ref="AM19:AP19"/>
    <mergeCell ref="AR19:AU19"/>
    <mergeCell ref="AW19:AZ19"/>
    <mergeCell ref="BB19:BE19"/>
    <mergeCell ref="BG19:BJ19"/>
    <mergeCell ref="BL19:BO19"/>
    <mergeCell ref="BQ22:BT22"/>
    <mergeCell ref="BV22:BY22"/>
    <mergeCell ref="CA22:CD22"/>
    <mergeCell ref="CF22:CI22"/>
    <mergeCell ref="CK22:CN22"/>
    <mergeCell ref="CP22:CS22"/>
    <mergeCell ref="CU22:CX22"/>
    <mergeCell ref="AH22:AK22"/>
    <mergeCell ref="AM22:AP22"/>
    <mergeCell ref="AR22:AU22"/>
    <mergeCell ref="AW22:AZ22"/>
    <mergeCell ref="BB22:BE22"/>
    <mergeCell ref="BG22:BJ22"/>
    <mergeCell ref="BL22:BO22"/>
    <mergeCell ref="CF25:CI25"/>
    <mergeCell ref="CK25:CN25"/>
    <mergeCell ref="CP25:CS25"/>
    <mergeCell ref="CU25:CX25"/>
    <mergeCell ref="B25:B26"/>
    <mergeCell ref="D25:G25"/>
    <mergeCell ref="I25:L25"/>
    <mergeCell ref="N25:Q25"/>
    <mergeCell ref="S25:V25"/>
    <mergeCell ref="X25:AA25"/>
    <mergeCell ref="AC25:AF25"/>
    <mergeCell ref="BQ25:BT25"/>
    <mergeCell ref="BV25:BY25"/>
    <mergeCell ref="AH25:AK25"/>
    <mergeCell ref="AM25:AP25"/>
    <mergeCell ref="AR25:AU25"/>
    <mergeCell ref="AW25:AZ25"/>
    <mergeCell ref="BB25:BE25"/>
    <mergeCell ref="BG25:BJ25"/>
    <mergeCell ref="BL25:BO25"/>
    <mergeCell ref="B37:B38"/>
    <mergeCell ref="D37:G37"/>
    <mergeCell ref="I37:L37"/>
    <mergeCell ref="N37:Q37"/>
    <mergeCell ref="S37:V37"/>
    <mergeCell ref="X37:AA37"/>
    <mergeCell ref="AC37:AF37"/>
    <mergeCell ref="B40:B41"/>
    <mergeCell ref="D40:G40"/>
    <mergeCell ref="I40:L40"/>
    <mergeCell ref="N40:Q40"/>
    <mergeCell ref="S40:V40"/>
    <mergeCell ref="X40:AA40"/>
    <mergeCell ref="AC40:AF40"/>
  </mergeCells>
  <conditionalFormatting sqref="D4">
    <cfRule type="expression" dxfId="8999" priority="1">
      <formula>F5="DEF"</formula>
    </cfRule>
    <cfRule type="expression" dxfId="8998" priority="2">
      <formula>F5="TE"</formula>
    </cfRule>
    <cfRule type="expression" dxfId="8997" priority="3">
      <formula>F5="WR"</formula>
    </cfRule>
    <cfRule type="expression" dxfId="8996" priority="4">
      <formula>F5="RB"</formula>
    </cfRule>
    <cfRule type="expression" dxfId="8995" priority="5">
      <formula>F5="QB"</formula>
    </cfRule>
  </conditionalFormatting>
  <conditionalFormatting sqref="D5">
    <cfRule type="expression" dxfId="8994" priority="6">
      <formula>F5="K"</formula>
    </cfRule>
    <cfRule type="expression" dxfId="8993" priority="7">
      <formula>F5="DEF"</formula>
    </cfRule>
    <cfRule type="expression" dxfId="8992" priority="8">
      <formula>F5="TE"</formula>
    </cfRule>
    <cfRule type="expression" dxfId="8991" priority="9">
      <formula>F5="WR"</formula>
    </cfRule>
    <cfRule type="expression" dxfId="8990" priority="10">
      <formula>F5="RB"</formula>
    </cfRule>
    <cfRule type="expression" dxfId="8989" priority="11">
      <formula>F5="QB"</formula>
    </cfRule>
  </conditionalFormatting>
  <conditionalFormatting sqref="D7">
    <cfRule type="expression" dxfId="8988" priority="31">
      <formula>F8="DEF"</formula>
    </cfRule>
    <cfRule type="expression" dxfId="8987" priority="32">
      <formula>F8="TE"</formula>
    </cfRule>
    <cfRule type="expression" dxfId="8986" priority="33">
      <formula>F8="WR"</formula>
    </cfRule>
    <cfRule type="expression" dxfId="8985" priority="34">
      <formula>F8="RB"</formula>
    </cfRule>
    <cfRule type="expression" dxfId="8984" priority="35">
      <formula>F8="QB"</formula>
    </cfRule>
  </conditionalFormatting>
  <conditionalFormatting sqref="D8">
    <cfRule type="expression" dxfId="8983" priority="36">
      <formula>F8="K"</formula>
    </cfRule>
    <cfRule type="expression" dxfId="8981" priority="37">
      <formula>F8="DEF"</formula>
    </cfRule>
    <cfRule type="expression" dxfId="8982" priority="38">
      <formula>F8="TE"</formula>
    </cfRule>
    <cfRule type="expression" dxfId="8978" priority="39">
      <formula>F8="WR"</formula>
    </cfRule>
    <cfRule type="expression" dxfId="8979" priority="40">
      <formula>F8="RB"</formula>
    </cfRule>
    <cfRule type="expression" dxfId="8980" priority="41">
      <formula>F8="QB"</formula>
    </cfRule>
  </conditionalFormatting>
  <conditionalFormatting sqref="D10">
    <cfRule type="expression" dxfId="8974" priority="61">
      <formula>F11="DEF"</formula>
    </cfRule>
    <cfRule type="expression" dxfId="8975" priority="62">
      <formula>F11="TE"</formula>
    </cfRule>
    <cfRule type="expression" dxfId="8973" priority="63">
      <formula>F11="WR"</formula>
    </cfRule>
    <cfRule type="expression" dxfId="8976" priority="64">
      <formula>F11="RB"</formula>
    </cfRule>
    <cfRule type="expression" dxfId="8977" priority="65">
      <formula>F11="QB"</formula>
    </cfRule>
  </conditionalFormatting>
  <conditionalFormatting sqref="D11">
    <cfRule type="expression" dxfId="8969" priority="66">
      <formula>F11="K"</formula>
    </cfRule>
    <cfRule type="expression" dxfId="8968" priority="67">
      <formula>F11="DEF"</formula>
    </cfRule>
    <cfRule type="expression" dxfId="8967" priority="68">
      <formula>F11="TE"</formula>
    </cfRule>
    <cfRule type="expression" dxfId="8972" priority="69">
      <formula>F11="WR"</formula>
    </cfRule>
    <cfRule type="expression" dxfId="8971" priority="70">
      <formula>F11="RB"</formula>
    </cfRule>
    <cfRule type="expression" dxfId="8970" priority="71">
      <formula>F11="QB"</formula>
    </cfRule>
  </conditionalFormatting>
  <conditionalFormatting sqref="D13">
    <cfRule type="expression" dxfId="8965" priority="91">
      <formula>F14="DEF"</formula>
    </cfRule>
    <cfRule type="expression" dxfId="8964" priority="92">
      <formula>F14="TE"</formula>
    </cfRule>
    <cfRule type="expression" dxfId="8966" priority="93">
      <formula>F14="WR"</formula>
    </cfRule>
    <cfRule type="expression" dxfId="8963" priority="94">
      <formula>F14="RB"</formula>
    </cfRule>
    <cfRule type="expression" dxfId="8962" priority="95">
      <formula>F14="QB"</formula>
    </cfRule>
  </conditionalFormatting>
  <conditionalFormatting sqref="D14">
    <cfRule type="expression" dxfId="8958" priority="96">
      <formula>F14="K"</formula>
    </cfRule>
    <cfRule type="expression" dxfId="8957" priority="97">
      <formula>F14="DEF"</formula>
    </cfRule>
    <cfRule type="expression" dxfId="8956" priority="98">
      <formula>F14="TE"</formula>
    </cfRule>
    <cfRule type="expression" dxfId="8961" priority="99">
      <formula>F14="WR"</formula>
    </cfRule>
    <cfRule type="expression" dxfId="8960" priority="100">
      <formula>F14="RB"</formula>
    </cfRule>
    <cfRule type="expression" dxfId="8959" priority="101">
      <formula>F14="QB"</formula>
    </cfRule>
  </conditionalFormatting>
  <conditionalFormatting sqref="D16">
    <cfRule type="expression" dxfId="8952" priority="121">
      <formula>F17="DEF"</formula>
    </cfRule>
    <cfRule type="expression" dxfId="8951" priority="122">
      <formula>F17="TE"</formula>
    </cfRule>
    <cfRule type="expression" dxfId="8955" priority="123">
      <formula>F17="WR"</formula>
    </cfRule>
    <cfRule type="expression" dxfId="8954" priority="124">
      <formula>F17="RB"</formula>
    </cfRule>
    <cfRule type="expression" dxfId="8953" priority="125">
      <formula>F17="QB"</formula>
    </cfRule>
  </conditionalFormatting>
  <conditionalFormatting sqref="D17">
    <cfRule type="expression" dxfId="8948" priority="126">
      <formula>F17="K"</formula>
    </cfRule>
    <cfRule type="expression" dxfId="8949" priority="127">
      <formula>F17="DEF"</formula>
    </cfRule>
    <cfRule type="expression" dxfId="8945" priority="128">
      <formula>F17="TE"</formula>
    </cfRule>
    <cfRule type="expression" dxfId="8950" priority="129">
      <formula>F17="WR"</formula>
    </cfRule>
    <cfRule type="expression" dxfId="8946" priority="130">
      <formula>F17="RB"</formula>
    </cfRule>
    <cfRule type="expression" dxfId="8947" priority="131">
      <formula>F17="QB"</formula>
    </cfRule>
  </conditionalFormatting>
  <conditionalFormatting sqref="D19">
    <cfRule type="expression" dxfId="8940" priority="151">
      <formula>F20="DEF"</formula>
    </cfRule>
    <cfRule type="expression" dxfId="8942" priority="152">
      <formula>F20="TE"</formula>
    </cfRule>
    <cfRule type="expression" dxfId="8943" priority="153">
      <formula>F20="WR"</formula>
    </cfRule>
    <cfRule type="expression" dxfId="8944" priority="154">
      <formula>F20="RB"</formula>
    </cfRule>
    <cfRule type="expression" dxfId="8941" priority="155">
      <formula>F20="QB"</formula>
    </cfRule>
  </conditionalFormatting>
  <conditionalFormatting sqref="D20">
    <cfRule type="expression" dxfId="8938" priority="156">
      <formula>F20="K"</formula>
    </cfRule>
    <cfRule type="expression" dxfId="8936" priority="157">
      <formula>F20="DEF"</formula>
    </cfRule>
    <cfRule type="expression" dxfId="8935" priority="158">
      <formula>F20="TE"</formula>
    </cfRule>
    <cfRule type="expression" dxfId="8934" priority="159">
      <formula>F20="WR"</formula>
    </cfRule>
    <cfRule type="expression" dxfId="8939" priority="160">
      <formula>F20="RB"</formula>
    </cfRule>
    <cfRule type="expression" dxfId="8937" priority="161">
      <formula>F20="QB"</formula>
    </cfRule>
  </conditionalFormatting>
  <conditionalFormatting sqref="D22">
    <cfRule type="expression" dxfId="8931" priority="181">
      <formula>F23="DEF"</formula>
    </cfRule>
    <cfRule type="expression" dxfId="8930" priority="182">
      <formula>F23="TE"</formula>
    </cfRule>
    <cfRule type="expression" dxfId="8933" priority="183">
      <formula>F23="WR"</formula>
    </cfRule>
    <cfRule type="expression" dxfId="8929" priority="184">
      <formula>F23="RB"</formula>
    </cfRule>
    <cfRule type="expression" dxfId="8932" priority="185">
      <formula>F23="QB"</formula>
    </cfRule>
  </conditionalFormatting>
  <conditionalFormatting sqref="D23">
    <cfRule type="expression" dxfId="8926" priority="186">
      <formula>F23="K"</formula>
    </cfRule>
    <cfRule type="expression" dxfId="8925" priority="187">
      <formula>F23="DEF"</formula>
    </cfRule>
    <cfRule type="expression" dxfId="8927" priority="188">
      <formula>F23="TE"</formula>
    </cfRule>
    <cfRule type="expression" dxfId="8924" priority="189">
      <formula>F23="WR"</formula>
    </cfRule>
    <cfRule type="expression" dxfId="8923" priority="190">
      <formula>F23="RB"</formula>
    </cfRule>
    <cfRule type="expression" dxfId="8928" priority="191">
      <formula>F23="QB"</formula>
    </cfRule>
  </conditionalFormatting>
  <conditionalFormatting sqref="D25">
    <cfRule type="expression" dxfId="8920" priority="211">
      <formula>F26="DEF"</formula>
    </cfRule>
    <cfRule type="expression" dxfId="8919" priority="212">
      <formula>F26="TE"</formula>
    </cfRule>
    <cfRule type="expression" dxfId="8918" priority="213">
      <formula>F26="WR"</formula>
    </cfRule>
    <cfRule type="expression" dxfId="8921" priority="214">
      <formula>F26="RB"</formula>
    </cfRule>
    <cfRule type="expression" dxfId="8922" priority="215">
      <formula>F26="QB"</formula>
    </cfRule>
  </conditionalFormatting>
  <conditionalFormatting sqref="D26">
    <cfRule type="expression" dxfId="8913" priority="216">
      <formula>F26="K"</formula>
    </cfRule>
    <cfRule type="expression" dxfId="8914" priority="217">
      <formula>F26="DEF"</formula>
    </cfRule>
    <cfRule type="expression" dxfId="8915" priority="218">
      <formula>F26="TE"</formula>
    </cfRule>
    <cfRule type="expression" dxfId="8916" priority="219">
      <formula>F26="WR"</formula>
    </cfRule>
    <cfRule type="expression" dxfId="8917" priority="220">
      <formula>F26="RB"</formula>
    </cfRule>
    <cfRule type="expression" dxfId="8912" priority="221">
      <formula>F26="QB"</formula>
    </cfRule>
  </conditionalFormatting>
  <conditionalFormatting sqref="D28">
    <cfRule type="expression" dxfId="8908" priority="241">
      <formula>F29="DEF"</formula>
    </cfRule>
    <cfRule type="expression" dxfId="8909" priority="242">
      <formula>F29="TE"</formula>
    </cfRule>
    <cfRule type="expression" dxfId="8907" priority="243">
      <formula>F29="WR"</formula>
    </cfRule>
    <cfRule type="expression" dxfId="8910" priority="244">
      <formula>F29="RB"</formula>
    </cfRule>
    <cfRule type="expression" dxfId="8911" priority="245">
      <formula>F29="QB"</formula>
    </cfRule>
  </conditionalFormatting>
  <conditionalFormatting sqref="D29">
    <cfRule type="expression" dxfId="8904" priority="246">
      <formula>F29="K"</formula>
    </cfRule>
    <cfRule type="expression" dxfId="8905" priority="247">
      <formula>F29="DEF"</formula>
    </cfRule>
    <cfRule type="expression" dxfId="8901" priority="248">
      <formula>F29="TE"</formula>
    </cfRule>
    <cfRule type="expression" dxfId="8902" priority="249">
      <formula>F29="WR"</formula>
    </cfRule>
    <cfRule type="expression" dxfId="8906" priority="250">
      <formula>F29="RB"</formula>
    </cfRule>
    <cfRule type="expression" dxfId="8903" priority="251">
      <formula>F29="QB"</formula>
    </cfRule>
  </conditionalFormatting>
  <conditionalFormatting sqref="D31">
    <cfRule type="expression" dxfId="8897" priority="271">
      <formula>F32="DEF"</formula>
    </cfRule>
    <cfRule type="expression" dxfId="8900" priority="272">
      <formula>F32="TE"</formula>
    </cfRule>
    <cfRule type="expression" dxfId="8898" priority="273">
      <formula>F32="WR"</formula>
    </cfRule>
    <cfRule type="expression" dxfId="8896" priority="274">
      <formula>F32="RB"</formula>
    </cfRule>
    <cfRule type="expression" dxfId="8899" priority="275">
      <formula>F32="QB"</formula>
    </cfRule>
  </conditionalFormatting>
  <conditionalFormatting sqref="D32">
    <cfRule type="expression" dxfId="8892" priority="276">
      <formula>F32="K"</formula>
    </cfRule>
    <cfRule type="expression" dxfId="8891" priority="277">
      <formula>F32="DEF"</formula>
    </cfRule>
    <cfRule type="expression" dxfId="8890" priority="278">
      <formula>F32="TE"</formula>
    </cfRule>
    <cfRule type="expression" dxfId="8894" priority="279">
      <formula>F32="WR"</formula>
    </cfRule>
    <cfRule type="expression" dxfId="8893" priority="280">
      <formula>F32="RB"</formula>
    </cfRule>
    <cfRule type="expression" dxfId="8895" priority="281">
      <formula>F32="QB"</formula>
    </cfRule>
  </conditionalFormatting>
  <conditionalFormatting sqref="D34">
    <cfRule type="expression" dxfId="8888" priority="301">
      <formula>F35="DEF"</formula>
    </cfRule>
    <cfRule type="expression" dxfId="8887" priority="302">
      <formula>F35="TE"</formula>
    </cfRule>
    <cfRule type="expression" dxfId="8886" priority="303">
      <formula>F35="WR"</formula>
    </cfRule>
    <cfRule type="expression" dxfId="8885" priority="304">
      <formula>F35="RB"</formula>
    </cfRule>
    <cfRule type="expression" dxfId="8889" priority="305">
      <formula>F35="QB"</formula>
    </cfRule>
  </conditionalFormatting>
  <conditionalFormatting sqref="D35">
    <cfRule type="expression" dxfId="8880" priority="306">
      <formula>F35="K"</formula>
    </cfRule>
    <cfRule type="expression" dxfId="8881" priority="307">
      <formula>F35="DEF"</formula>
    </cfRule>
    <cfRule type="expression" dxfId="8879" priority="308">
      <formula>F35="TE"</formula>
    </cfRule>
    <cfRule type="expression" dxfId="8882" priority="309">
      <formula>F35="WR"</formula>
    </cfRule>
    <cfRule type="expression" dxfId="8883" priority="310">
      <formula>F35="RB"</formula>
    </cfRule>
    <cfRule type="expression" dxfId="8884" priority="311">
      <formula>F35="QB"</formula>
    </cfRule>
  </conditionalFormatting>
  <conditionalFormatting sqref="D37">
    <cfRule type="expression" dxfId="8875" priority="331">
      <formula>F38="DEF"</formula>
    </cfRule>
    <cfRule type="expression" dxfId="8876" priority="332">
      <formula>F38="TE"</formula>
    </cfRule>
    <cfRule type="expression" dxfId="8877" priority="333">
      <formula>F38="WR"</formula>
    </cfRule>
    <cfRule type="expression" dxfId="8878" priority="334">
      <formula>F38="RB"</formula>
    </cfRule>
    <cfRule type="expression" dxfId="8874" priority="335">
      <formula>F38="QB"</formula>
    </cfRule>
  </conditionalFormatting>
  <conditionalFormatting sqref="D38">
    <cfRule type="expression" dxfId="8873" priority="336">
      <formula>F38="K"</formula>
    </cfRule>
    <cfRule type="expression" dxfId="8871" priority="337">
      <formula>F38="DEF"</formula>
    </cfRule>
    <cfRule type="expression" dxfId="8870" priority="338">
      <formula>F38="TE"</formula>
    </cfRule>
    <cfRule type="expression" dxfId="8869" priority="339">
      <formula>F38="WR"</formula>
    </cfRule>
    <cfRule type="expression" dxfId="8868" priority="340">
      <formula>F38="RB"</formula>
    </cfRule>
    <cfRule type="expression" dxfId="8872" priority="341">
      <formula>F38="QB"</formula>
    </cfRule>
  </conditionalFormatting>
  <conditionalFormatting sqref="D40">
    <cfRule type="expression" dxfId="8863" priority="361">
      <formula>F41="DEF"</formula>
    </cfRule>
    <cfRule type="expression" dxfId="8866" priority="362">
      <formula>F41="TE"</formula>
    </cfRule>
    <cfRule type="expression" dxfId="8864" priority="363">
      <formula>F41="WR"</formula>
    </cfRule>
    <cfRule type="expression" dxfId="8867" priority="364">
      <formula>F41="RB"</formula>
    </cfRule>
    <cfRule type="expression" dxfId="8865" priority="365">
      <formula>F41="QB"</formula>
    </cfRule>
  </conditionalFormatting>
  <conditionalFormatting sqref="D41">
    <cfRule type="expression" dxfId="8862" priority="366">
      <formula>F41="K"</formula>
    </cfRule>
    <cfRule type="expression" dxfId="8857" priority="367">
      <formula>F41="DEF"</formula>
    </cfRule>
    <cfRule type="expression" dxfId="8858" priority="368">
      <formula>F41="TE"</formula>
    </cfRule>
    <cfRule type="expression" dxfId="8859" priority="369">
      <formula>F41="WR"</formula>
    </cfRule>
    <cfRule type="expression" dxfId="8860" priority="370">
      <formula>F41="RB"</formula>
    </cfRule>
    <cfRule type="expression" dxfId="8861" priority="371">
      <formula>F41="QB"</formula>
    </cfRule>
  </conditionalFormatting>
  <conditionalFormatting sqref="D43">
    <cfRule type="expression" dxfId="8856" priority="391">
      <formula>F44="DEF"</formula>
    </cfRule>
    <cfRule type="expression" dxfId="8852" priority="392">
      <formula>F44="TE"</formula>
    </cfRule>
    <cfRule type="expression" dxfId="8853" priority="393">
      <formula>F44="WR"</formula>
    </cfRule>
    <cfRule type="expression" dxfId="8854" priority="394">
      <formula>F44="RB"</formula>
    </cfRule>
    <cfRule type="expression" dxfId="8855" priority="395">
      <formula>F44="QB"</formula>
    </cfRule>
  </conditionalFormatting>
  <conditionalFormatting sqref="D44">
    <cfRule type="expression" dxfId="8850" priority="396">
      <formula>F44="K"</formula>
    </cfRule>
    <cfRule type="expression" dxfId="8847" priority="397">
      <formula>F44="DEF"</formula>
    </cfRule>
    <cfRule type="expression" dxfId="8848" priority="398">
      <formula>F44="TE"</formula>
    </cfRule>
    <cfRule type="expression" dxfId="8846" priority="399">
      <formula>F44="WR"</formula>
    </cfRule>
    <cfRule type="expression" dxfId="8851" priority="400">
      <formula>F44="RB"</formula>
    </cfRule>
    <cfRule type="expression" dxfId="8849" priority="401">
      <formula>F44="QB"</formula>
    </cfRule>
  </conditionalFormatting>
  <conditionalFormatting sqref="D46">
    <cfRule type="expression" dxfId="8844" priority="421">
      <formula>F47="DEF"</formula>
    </cfRule>
    <cfRule type="expression" dxfId="8843" priority="422">
      <formula>F47="TE"</formula>
    </cfRule>
    <cfRule type="expression" dxfId="8841" priority="423">
      <formula>F47="WR"</formula>
    </cfRule>
    <cfRule type="expression" dxfId="8842" priority="424">
      <formula>F47="RB"</formula>
    </cfRule>
    <cfRule type="expression" dxfId="8845" priority="425">
      <formula>F47="QB"</formula>
    </cfRule>
  </conditionalFormatting>
  <conditionalFormatting sqref="D47">
    <cfRule type="expression" dxfId="8836" priority="426">
      <formula>F47="K"</formula>
    </cfRule>
    <cfRule type="expression" dxfId="8840" priority="427">
      <formula>F47="DEF"</formula>
    </cfRule>
    <cfRule type="expression" dxfId="8835" priority="428">
      <formula>F47="TE"</formula>
    </cfRule>
    <cfRule type="expression" dxfId="8839" priority="429">
      <formula>F47="WR"</formula>
    </cfRule>
    <cfRule type="expression" dxfId="8838" priority="430">
      <formula>F47="RB"</formula>
    </cfRule>
    <cfRule type="expression" dxfId="8837" priority="431">
      <formula>F47="QB"</formula>
    </cfRule>
  </conditionalFormatting>
  <conditionalFormatting sqref="D4:G4">
    <cfRule type="expression" dxfId="8834" priority="30">
      <formula>F5="K"</formula>
    </cfRule>
  </conditionalFormatting>
  <conditionalFormatting sqref="D7:G7">
    <cfRule type="expression" dxfId="8833" priority="60">
      <formula>F8="K"</formula>
    </cfRule>
  </conditionalFormatting>
  <conditionalFormatting sqref="D10:G10">
    <cfRule type="expression" dxfId="8832" priority="90">
      <formula>F11="K"</formula>
    </cfRule>
  </conditionalFormatting>
  <conditionalFormatting sqref="D13:G13">
    <cfRule type="expression" dxfId="8831" priority="120">
      <formula>F14="K"</formula>
    </cfRule>
  </conditionalFormatting>
  <conditionalFormatting sqref="D16:G16">
    <cfRule type="expression" dxfId="8830" priority="150">
      <formula>F17="K"</formula>
    </cfRule>
  </conditionalFormatting>
  <conditionalFormatting sqref="D19:G19">
    <cfRule type="expression" dxfId="8829" priority="180">
      <formula>F20="K"</formula>
    </cfRule>
  </conditionalFormatting>
  <conditionalFormatting sqref="D22:G22">
    <cfRule type="expression" dxfId="8828" priority="210">
      <formula>F23="K"</formula>
    </cfRule>
  </conditionalFormatting>
  <conditionalFormatting sqref="D25:G25">
    <cfRule type="expression" dxfId="8827" priority="240">
      <formula>F26="K"</formula>
    </cfRule>
  </conditionalFormatting>
  <conditionalFormatting sqref="D28:G28">
    <cfRule type="expression" dxfId="8826" priority="270">
      <formula>F29="K"</formula>
    </cfRule>
  </conditionalFormatting>
  <conditionalFormatting sqref="D31:G31">
    <cfRule type="expression" dxfId="8825" priority="300">
      <formula>F32="K"</formula>
    </cfRule>
  </conditionalFormatting>
  <conditionalFormatting sqref="D34:G34">
    <cfRule type="expression" dxfId="8824" priority="330">
      <formula>F35="K"</formula>
    </cfRule>
  </conditionalFormatting>
  <conditionalFormatting sqref="D37:G37">
    <cfRule type="expression" dxfId="8823" priority="360">
      <formula>F38="K"</formula>
    </cfRule>
  </conditionalFormatting>
  <conditionalFormatting sqref="D40:G40">
    <cfRule type="expression" dxfId="8822" priority="390">
      <formula>F41="K"</formula>
    </cfRule>
  </conditionalFormatting>
  <conditionalFormatting sqref="D43:G43">
    <cfRule type="expression" dxfId="8821" priority="420">
      <formula>F44="K"</formula>
    </cfRule>
  </conditionalFormatting>
  <conditionalFormatting sqref="D46:G46">
    <cfRule type="expression" dxfId="8820" priority="450">
      <formula>F47="K"</formula>
    </cfRule>
  </conditionalFormatting>
  <conditionalFormatting sqref="E5">
    <cfRule type="expression" dxfId="8816" priority="12">
      <formula>F5="K"</formula>
    </cfRule>
    <cfRule type="expression" dxfId="8817" priority="13">
      <formula>F5="DEF"</formula>
    </cfRule>
    <cfRule type="expression" dxfId="8818" priority="14">
      <formula>F5="TE"</formula>
    </cfRule>
    <cfRule type="expression" dxfId="8815" priority="15">
      <formula>F5="WR"</formula>
    </cfRule>
    <cfRule type="expression" dxfId="8819" priority="16">
      <formula>F5="RB"</formula>
    </cfRule>
    <cfRule type="expression" dxfId="8814" priority="17">
      <formula>F5="QB"</formula>
    </cfRule>
  </conditionalFormatting>
  <conditionalFormatting sqref="E8">
    <cfRule type="expression" dxfId="8808" priority="42">
      <formula>F8="K"</formula>
    </cfRule>
    <cfRule type="expression" dxfId="8812" priority="43">
      <formula>F8="DEF"</formula>
    </cfRule>
    <cfRule type="expression" dxfId="8813" priority="44">
      <formula>F8="TE"</formula>
    </cfRule>
    <cfRule type="expression" dxfId="8811" priority="45">
      <formula>F8="WR"</formula>
    </cfRule>
    <cfRule type="expression" dxfId="8810" priority="46">
      <formula>F8="RB"</formula>
    </cfRule>
    <cfRule type="expression" dxfId="8809" priority="47">
      <formula>F8="QB"</formula>
    </cfRule>
  </conditionalFormatting>
  <conditionalFormatting sqref="E11">
    <cfRule type="expression" dxfId="8806" priority="72">
      <formula>F11="K"</formula>
    </cfRule>
    <cfRule type="expression" dxfId="8805" priority="73">
      <formula>F11="DEF"</formula>
    </cfRule>
    <cfRule type="expression" dxfId="8804" priority="74">
      <formula>F11="TE"</formula>
    </cfRule>
    <cfRule type="expression" dxfId="8803" priority="75">
      <formula>F11="WR"</formula>
    </cfRule>
    <cfRule type="expression" dxfId="8802" priority="76">
      <formula>F11="RB"</formula>
    </cfRule>
    <cfRule type="expression" dxfId="8807" priority="77">
      <formula>F11="QB"</formula>
    </cfRule>
  </conditionalFormatting>
  <conditionalFormatting sqref="E14">
    <cfRule type="expression" dxfId="8798" priority="102">
      <formula>F14="K"</formula>
    </cfRule>
    <cfRule type="expression" dxfId="8799" priority="103">
      <formula>F14="DEF"</formula>
    </cfRule>
    <cfRule type="expression" dxfId="8797" priority="104">
      <formula>F14="TE"</formula>
    </cfRule>
    <cfRule type="expression" dxfId="8800" priority="105">
      <formula>F14="WR"</formula>
    </cfRule>
    <cfRule type="expression" dxfId="8801" priority="106">
      <formula>F14="RB"</formula>
    </cfRule>
    <cfRule type="expression" dxfId="8796" priority="107">
      <formula>F14="QB"</formula>
    </cfRule>
  </conditionalFormatting>
  <conditionalFormatting sqref="E17">
    <cfRule type="expression" dxfId="8793" priority="132">
      <formula>F17="K"</formula>
    </cfRule>
    <cfRule type="expression" dxfId="8790" priority="133">
      <formula>F17="DEF"</formula>
    </cfRule>
    <cfRule type="expression" dxfId="8792" priority="134">
      <formula>F17="TE"</formula>
    </cfRule>
    <cfRule type="expression" dxfId="8791" priority="135">
      <formula>F17="WR"</formula>
    </cfRule>
    <cfRule type="expression" dxfId="8794" priority="136">
      <formula>F17="RB"</formula>
    </cfRule>
    <cfRule type="expression" dxfId="8795" priority="137">
      <formula>F17="QB"</formula>
    </cfRule>
  </conditionalFormatting>
  <conditionalFormatting sqref="E20">
    <cfRule type="expression" dxfId="8787" priority="162">
      <formula>F20="K"</formula>
    </cfRule>
    <cfRule type="expression" dxfId="8786" priority="163">
      <formula>F20="DEF"</formula>
    </cfRule>
    <cfRule type="expression" dxfId="8785" priority="164">
      <formula>F20="TE"</formula>
    </cfRule>
    <cfRule type="expression" dxfId="8784" priority="165">
      <formula>F20="WR"</formula>
    </cfRule>
    <cfRule type="expression" dxfId="8789" priority="166">
      <formula>F20="RB"</formula>
    </cfRule>
    <cfRule type="expression" dxfId="8788" priority="167">
      <formula>F20="QB"</formula>
    </cfRule>
  </conditionalFormatting>
  <conditionalFormatting sqref="E23">
    <cfRule type="expression" dxfId="8781" priority="192">
      <formula>F23="K"</formula>
    </cfRule>
    <cfRule type="expression" dxfId="8780" priority="193">
      <formula>F23="DEF"</formula>
    </cfRule>
    <cfRule type="expression" dxfId="8779" priority="194">
      <formula>F23="TE"</formula>
    </cfRule>
    <cfRule type="expression" dxfId="8778" priority="195">
      <formula>F23="WR"</formula>
    </cfRule>
    <cfRule type="expression" dxfId="8783" priority="196">
      <formula>F23="RB"</formula>
    </cfRule>
    <cfRule type="expression" dxfId="8782" priority="197">
      <formula>F23="QB"</formula>
    </cfRule>
  </conditionalFormatting>
  <conditionalFormatting sqref="E26">
    <cfRule type="expression" dxfId="8776" priority="222">
      <formula>F26="K"</formula>
    </cfRule>
    <cfRule type="expression" dxfId="8775" priority="223">
      <formula>F26="DEF"</formula>
    </cfRule>
    <cfRule type="expression" dxfId="8774" priority="224">
      <formula>F26="TE"</formula>
    </cfRule>
    <cfRule type="expression" dxfId="8773" priority="225">
      <formula>F26="WR"</formula>
    </cfRule>
    <cfRule type="expression" dxfId="8772" priority="226">
      <formula>F26="RB"</formula>
    </cfRule>
    <cfRule type="expression" dxfId="8777" priority="227">
      <formula>F26="QB"</formula>
    </cfRule>
  </conditionalFormatting>
  <conditionalFormatting sqref="E29">
    <cfRule type="expression" dxfId="8770" priority="252">
      <formula>F29="K"</formula>
    </cfRule>
    <cfRule type="expression" dxfId="8771" priority="253">
      <formula>F29="DEF"</formula>
    </cfRule>
    <cfRule type="expression" dxfId="8769" priority="254">
      <formula>F29="TE"</formula>
    </cfRule>
    <cfRule type="expression" dxfId="8767" priority="255">
      <formula>F29="WR"</formula>
    </cfRule>
    <cfRule type="expression" dxfId="8768" priority="256">
      <formula>F29="RB"</formula>
    </cfRule>
    <cfRule type="expression" dxfId="8766" priority="257">
      <formula>F29="QB"</formula>
    </cfRule>
  </conditionalFormatting>
  <conditionalFormatting sqref="E32">
    <cfRule type="expression" dxfId="8760" priority="282">
      <formula>F32="K"</formula>
    </cfRule>
    <cfRule type="expression" dxfId="8761" priority="283">
      <formula>F32="DEF"</formula>
    </cfRule>
    <cfRule type="expression" dxfId="8762" priority="284">
      <formula>F32="TE"</formula>
    </cfRule>
    <cfRule type="expression" dxfId="8763" priority="285">
      <formula>F32="WR"</formula>
    </cfRule>
    <cfRule type="expression" dxfId="8764" priority="286">
      <formula>F32="RB"</formula>
    </cfRule>
    <cfRule type="expression" dxfId="8765" priority="287">
      <formula>F32="QB"</formula>
    </cfRule>
  </conditionalFormatting>
  <conditionalFormatting sqref="E35">
    <cfRule type="expression" dxfId="8758" priority="312">
      <formula>F35="K"</formula>
    </cfRule>
    <cfRule type="expression" dxfId="8756" priority="313">
      <formula>F35="DEF"</formula>
    </cfRule>
    <cfRule type="expression" dxfId="8755" priority="314">
      <formula>F35="TE"</formula>
    </cfRule>
    <cfRule type="expression" dxfId="8754" priority="315">
      <formula>F35="WR"</formula>
    </cfRule>
    <cfRule type="expression" dxfId="8757" priority="316">
      <formula>F35="RB"</formula>
    </cfRule>
    <cfRule type="expression" dxfId="8759" priority="317">
      <formula>F35="QB"</formula>
    </cfRule>
  </conditionalFormatting>
  <conditionalFormatting sqref="E38">
    <cfRule type="expression" dxfId="8752" priority="342">
      <formula>F38="K"</formula>
    </cfRule>
    <cfRule type="expression" dxfId="8749" priority="343">
      <formula>F38="DEF"</formula>
    </cfRule>
    <cfRule type="expression" dxfId="8751" priority="344">
      <formula>F38="TE"</formula>
    </cfRule>
    <cfRule type="expression" dxfId="8753" priority="345">
      <formula>F38="WR"</formula>
    </cfRule>
    <cfRule type="expression" dxfId="8750" priority="346">
      <formula>F38="RB"</formula>
    </cfRule>
    <cfRule type="expression" dxfId="8748" priority="347">
      <formula>F38="QB"</formula>
    </cfRule>
  </conditionalFormatting>
  <conditionalFormatting sqref="E41">
    <cfRule type="expression" dxfId="8743" priority="372">
      <formula>F41="K"</formula>
    </cfRule>
    <cfRule type="expression" dxfId="8744" priority="373">
      <formula>F41="DEF"</formula>
    </cfRule>
    <cfRule type="expression" dxfId="8742" priority="374">
      <formula>F41="TE"</formula>
    </cfRule>
    <cfRule type="expression" dxfId="8745" priority="375">
      <formula>F41="WR"</formula>
    </cfRule>
    <cfRule type="expression" dxfId="8746" priority="376">
      <formula>F41="RB"</formula>
    </cfRule>
    <cfRule type="expression" dxfId="8747" priority="377">
      <formula>F41="QB"</formula>
    </cfRule>
  </conditionalFormatting>
  <conditionalFormatting sqref="E44">
    <cfRule type="expression" dxfId="8740" priority="402">
      <formula>F44="K"</formula>
    </cfRule>
    <cfRule type="expression" dxfId="8736" priority="403">
      <formula>F44="DEF"</formula>
    </cfRule>
    <cfRule type="expression" dxfId="8737" priority="404">
      <formula>F44="TE"</formula>
    </cfRule>
    <cfRule type="expression" dxfId="8738" priority="405">
      <formula>F44="WR"</formula>
    </cfRule>
    <cfRule type="expression" dxfId="8739" priority="406">
      <formula>F44="RB"</formula>
    </cfRule>
    <cfRule type="expression" dxfId="8741" priority="407">
      <formula>F44="QB"</formula>
    </cfRule>
  </conditionalFormatting>
  <conditionalFormatting sqref="E47">
    <cfRule type="expression" dxfId="8734" priority="432">
      <formula>F47="K"</formula>
    </cfRule>
    <cfRule type="expression" dxfId="8735" priority="433">
      <formula>F47="DEF"</formula>
    </cfRule>
    <cfRule type="expression" dxfId="8730" priority="434">
      <formula>F47="TE"</formula>
    </cfRule>
    <cfRule type="expression" dxfId="8731" priority="435">
      <formula>F47="WR"</formula>
    </cfRule>
    <cfRule type="expression" dxfId="8732" priority="436">
      <formula>F47="RB"</formula>
    </cfRule>
    <cfRule type="expression" dxfId="8733" priority="437">
      <formula>F47="QB"</formula>
    </cfRule>
  </conditionalFormatting>
  <conditionalFormatting sqref="F5">
    <cfRule type="expression" dxfId="8724" priority="18">
      <formula>F5="K"</formula>
    </cfRule>
    <cfRule type="expression" dxfId="8729" priority="19">
      <formula>F5="DEF"</formula>
    </cfRule>
    <cfRule type="expression" dxfId="8728" priority="20">
      <formula>F5="TE"</formula>
    </cfRule>
    <cfRule type="expression" dxfId="8727" priority="21">
      <formula>F5="WR"</formula>
    </cfRule>
    <cfRule type="expression" dxfId="8725" priority="22">
      <formula>F5="RB"</formula>
    </cfRule>
    <cfRule type="expression" dxfId="8726" priority="23">
      <formula>F5="QB"</formula>
    </cfRule>
  </conditionalFormatting>
  <conditionalFormatting sqref="F8">
    <cfRule type="expression" dxfId="8722" priority="48">
      <formula>F8="K"</formula>
    </cfRule>
    <cfRule type="expression" dxfId="8721" priority="49">
      <formula>F8="DEF"</formula>
    </cfRule>
    <cfRule type="expression" dxfId="8723" priority="50">
      <formula>F8="TE"</formula>
    </cfRule>
    <cfRule type="expression" dxfId="8720" priority="51">
      <formula>F8="WR"</formula>
    </cfRule>
    <cfRule type="expression" dxfId="8718" priority="52">
      <formula>F8="RB"</formula>
    </cfRule>
    <cfRule type="expression" dxfId="8719" priority="53">
      <formula>F8="QB"</formula>
    </cfRule>
  </conditionalFormatting>
  <conditionalFormatting sqref="F11">
    <cfRule type="expression" dxfId="8714" priority="78">
      <formula>F11="K"</formula>
    </cfRule>
    <cfRule type="expression" dxfId="8713" priority="79">
      <formula>F11="DEF"</formula>
    </cfRule>
    <cfRule type="expression" dxfId="8712" priority="80">
      <formula>F11="TE"</formula>
    </cfRule>
    <cfRule type="expression" dxfId="8715" priority="81">
      <formula>F11="WR"</formula>
    </cfRule>
    <cfRule type="expression" dxfId="8716" priority="82">
      <formula>F11="RB"</formula>
    </cfRule>
    <cfRule type="expression" dxfId="8717" priority="83">
      <formula>F11="QB"</formula>
    </cfRule>
  </conditionalFormatting>
  <conditionalFormatting sqref="F14">
    <cfRule type="expression" dxfId="8711" priority="108">
      <formula>F14="K"</formula>
    </cfRule>
    <cfRule type="expression" dxfId="8710" priority="109">
      <formula>F14="DEF"</formula>
    </cfRule>
    <cfRule type="expression" dxfId="8707" priority="110">
      <formula>F14="TE"</formula>
    </cfRule>
    <cfRule type="expression" dxfId="8708" priority="111">
      <formula>F14="WR"</formula>
    </cfRule>
    <cfRule type="expression" dxfId="8709" priority="112">
      <formula>F14="RB"</formula>
    </cfRule>
    <cfRule type="expression" dxfId="8706" priority="113">
      <formula>F14="QB"</formula>
    </cfRule>
  </conditionalFormatting>
  <conditionalFormatting sqref="F17">
    <cfRule type="expression" dxfId="8700" priority="138">
      <formula>F17="K"</formula>
    </cfRule>
    <cfRule type="expression" dxfId="8705" priority="139">
      <formula>F17="DEF"</formula>
    </cfRule>
    <cfRule type="expression" dxfId="8701" priority="140">
      <formula>F17="TE"</formula>
    </cfRule>
    <cfRule type="expression" dxfId="8703" priority="141">
      <formula>F17="WR"</formula>
    </cfRule>
    <cfRule type="expression" dxfId="8702" priority="142">
      <formula>F17="RB"</formula>
    </cfRule>
    <cfRule type="expression" dxfId="8704" priority="143">
      <formula>F17="QB"</formula>
    </cfRule>
  </conditionalFormatting>
  <conditionalFormatting sqref="F20">
    <cfRule type="expression" dxfId="8694" priority="168">
      <formula>F20="K"</formula>
    </cfRule>
    <cfRule type="expression" dxfId="8699" priority="169">
      <formula>F20="DEF"</formula>
    </cfRule>
    <cfRule type="expression" dxfId="8698" priority="170">
      <formula>F20="TE"</formula>
    </cfRule>
    <cfRule type="expression" dxfId="8697" priority="171">
      <formula>F20="WR"</formula>
    </cfRule>
    <cfRule type="expression" dxfId="8696" priority="172">
      <formula>F20="RB"</formula>
    </cfRule>
    <cfRule type="expression" dxfId="8695" priority="173">
      <formula>F20="QB"</formula>
    </cfRule>
  </conditionalFormatting>
  <conditionalFormatting sqref="F23">
    <cfRule type="expression" dxfId="8690" priority="198">
      <formula>F23="K"</formula>
    </cfRule>
    <cfRule type="expression" dxfId="8689" priority="199">
      <formula>F23="DEF"</formula>
    </cfRule>
    <cfRule type="expression" dxfId="8688" priority="200">
      <formula>F23="TE"</formula>
    </cfRule>
    <cfRule type="expression" dxfId="8691" priority="201">
      <formula>F23="WR"</formula>
    </cfRule>
    <cfRule type="expression" dxfId="8692" priority="202">
      <formula>F23="RB"</formula>
    </cfRule>
    <cfRule type="expression" dxfId="8693" priority="203">
      <formula>F23="QB"</formula>
    </cfRule>
  </conditionalFormatting>
  <conditionalFormatting sqref="F26">
    <cfRule type="expression" dxfId="8686" priority="228">
      <formula>F26="K"</formula>
    </cfRule>
    <cfRule type="expression" dxfId="8683" priority="229">
      <formula>F26="DEF"</formula>
    </cfRule>
    <cfRule type="expression" dxfId="8684" priority="230">
      <formula>F26="TE"</formula>
    </cfRule>
    <cfRule type="expression" dxfId="8685" priority="231">
      <formula>F26="WR"</formula>
    </cfRule>
    <cfRule type="expression" dxfId="8687" priority="232">
      <formula>F26="RB"</formula>
    </cfRule>
    <cfRule type="expression" dxfId="8682" priority="233">
      <formula>F26="QB"</formula>
    </cfRule>
  </conditionalFormatting>
  <conditionalFormatting sqref="F29">
    <cfRule type="expression" dxfId="8676" priority="258">
      <formula>F29="K"</formula>
    </cfRule>
    <cfRule type="expression" dxfId="8681" priority="259">
      <formula>F29="DEF"</formula>
    </cfRule>
    <cfRule type="expression" dxfId="8677" priority="260">
      <formula>F29="TE"</formula>
    </cfRule>
    <cfRule type="expression" dxfId="8678" priority="261">
      <formula>F29="WR"</formula>
    </cfRule>
    <cfRule type="expression" dxfId="8679" priority="262">
      <formula>F29="RB"</formula>
    </cfRule>
    <cfRule type="expression" dxfId="8680" priority="263">
      <formula>F29="QB"</formula>
    </cfRule>
  </conditionalFormatting>
  <conditionalFormatting sqref="F32">
    <cfRule type="expression" dxfId="8675" priority="288">
      <formula>F32="K"</formula>
    </cfRule>
    <cfRule type="expression" dxfId="8670" priority="289">
      <formula>F32="DEF"</formula>
    </cfRule>
    <cfRule type="expression" dxfId="8671" priority="290">
      <formula>F32="TE"</formula>
    </cfRule>
    <cfRule type="expression" dxfId="8672" priority="291">
      <formula>F32="WR"</formula>
    </cfRule>
    <cfRule type="expression" dxfId="8673" priority="292">
      <formula>F32="RB"</formula>
    </cfRule>
    <cfRule type="expression" dxfId="8674" priority="293">
      <formula>F32="QB"</formula>
    </cfRule>
  </conditionalFormatting>
  <conditionalFormatting sqref="F35">
    <cfRule type="expression" dxfId="8665" priority="318">
      <formula>F35="K"</formula>
    </cfRule>
    <cfRule type="expression" dxfId="8666" priority="319">
      <formula>F35="DEF"</formula>
    </cfRule>
    <cfRule type="expression" dxfId="8667" priority="320">
      <formula>F35="TE"</formula>
    </cfRule>
    <cfRule type="expression" dxfId="8668" priority="321">
      <formula>F35="WR"</formula>
    </cfRule>
    <cfRule type="expression" dxfId="8664" priority="322">
      <formula>F35="RB"</formula>
    </cfRule>
    <cfRule type="expression" dxfId="8669" priority="323">
      <formula>F35="QB"</formula>
    </cfRule>
  </conditionalFormatting>
  <conditionalFormatting sqref="F38">
    <cfRule type="expression" dxfId="8659" priority="348">
      <formula>F38="K"</formula>
    </cfRule>
    <cfRule type="expression" dxfId="8660" priority="349">
      <formula>F38="DEF"</formula>
    </cfRule>
    <cfRule type="expression" dxfId="8661" priority="350">
      <formula>F38="TE"</formula>
    </cfRule>
    <cfRule type="expression" dxfId="8662" priority="351">
      <formula>F38="WR"</formula>
    </cfRule>
    <cfRule type="expression" dxfId="8663" priority="352">
      <formula>F38="RB"</formula>
    </cfRule>
    <cfRule type="expression" dxfId="8658" priority="353">
      <formula>F38="QB"</formula>
    </cfRule>
  </conditionalFormatting>
  <conditionalFormatting sqref="F41">
    <cfRule type="expression" dxfId="8654" priority="378">
      <formula>F41="K"</formula>
    </cfRule>
    <cfRule type="expression" dxfId="8653" priority="379">
      <formula>F41="DEF"</formula>
    </cfRule>
    <cfRule type="expression" dxfId="8652" priority="380">
      <formula>F41="TE"</formula>
    </cfRule>
    <cfRule type="expression" dxfId="8657" priority="381">
      <formula>F41="WR"</formula>
    </cfRule>
    <cfRule type="expression" dxfId="8656" priority="382">
      <formula>F41="RB"</formula>
    </cfRule>
    <cfRule type="expression" dxfId="8655" priority="383">
      <formula>F41="QB"</formula>
    </cfRule>
  </conditionalFormatting>
  <conditionalFormatting sqref="F44">
    <cfRule type="expression" dxfId="8648" priority="408">
      <formula>F44="K"</formula>
    </cfRule>
    <cfRule type="expression" dxfId="8649" priority="409">
      <formula>F44="DEF"</formula>
    </cfRule>
    <cfRule type="expression" dxfId="8650" priority="410">
      <formula>F44="TE"</formula>
    </cfRule>
    <cfRule type="expression" dxfId="8651" priority="411">
      <formula>F44="WR"</formula>
    </cfRule>
    <cfRule type="expression" dxfId="8646" priority="412">
      <formula>F44="RB"</formula>
    </cfRule>
    <cfRule type="expression" dxfId="8647" priority="413">
      <formula>F44="QB"</formula>
    </cfRule>
  </conditionalFormatting>
  <conditionalFormatting sqref="F47">
    <cfRule type="expression" dxfId="8643" priority="438">
      <formula>F47="K"</formula>
    </cfRule>
    <cfRule type="expression" dxfId="8640" priority="439">
      <formula>F47="DEF"</formula>
    </cfRule>
    <cfRule type="expression" dxfId="8642" priority="440">
      <formula>F47="TE"</formula>
    </cfRule>
    <cfRule type="expression" dxfId="8641" priority="441">
      <formula>F47="WR"</formula>
    </cfRule>
    <cfRule type="expression" dxfId="8645" priority="442">
      <formula>F47="RB"</formula>
    </cfRule>
    <cfRule type="expression" dxfId="8644" priority="443">
      <formula>F47="QB"</formula>
    </cfRule>
  </conditionalFormatting>
  <conditionalFormatting sqref="G5">
    <cfRule type="expression" dxfId="8634" priority="24">
      <formula>F5="K"</formula>
    </cfRule>
    <cfRule type="expression" dxfId="8639" priority="25">
      <formula>F5="DEF"</formula>
    </cfRule>
    <cfRule type="expression" dxfId="8638" priority="26">
      <formula>F5="TE"</formula>
    </cfRule>
    <cfRule type="expression" dxfId="8637" priority="27">
      <formula>F5="WR"</formula>
    </cfRule>
    <cfRule type="expression" dxfId="8636" priority="28">
      <formula>F5="RB"</formula>
    </cfRule>
    <cfRule type="expression" dxfId="8635" priority="29">
      <formula>F5="QB"</formula>
    </cfRule>
  </conditionalFormatting>
  <conditionalFormatting sqref="G8">
    <cfRule type="expression" dxfId="8633" priority="54">
      <formula>F8="K"</formula>
    </cfRule>
    <cfRule type="expression" dxfId="8632" priority="55">
      <formula>F8="DEF"</formula>
    </cfRule>
    <cfRule type="expression" dxfId="8631" priority="56">
      <formula>F8="TE"</formula>
    </cfRule>
    <cfRule type="expression" dxfId="8630" priority="57">
      <formula>F8="WR"</formula>
    </cfRule>
    <cfRule type="expression" dxfId="8629" priority="58">
      <formula>F8="RB"</formula>
    </cfRule>
    <cfRule type="expression" dxfId="8628" priority="59">
      <formula>F8="QB"</formula>
    </cfRule>
  </conditionalFormatting>
  <conditionalFormatting sqref="G11">
    <cfRule type="expression" dxfId="8623" priority="84">
      <formula>F11="K"</formula>
    </cfRule>
    <cfRule type="expression" dxfId="8624" priority="85">
      <formula>F11="DEF"</formula>
    </cfRule>
    <cfRule type="expression" dxfId="8622" priority="86">
      <formula>F11="TE"</formula>
    </cfRule>
    <cfRule type="expression" dxfId="8627" priority="87">
      <formula>F11="WR"</formula>
    </cfRule>
    <cfRule type="expression" dxfId="8626" priority="88">
      <formula>F11="RB"</formula>
    </cfRule>
    <cfRule type="expression" dxfId="8625" priority="89">
      <formula>F11="QB"</formula>
    </cfRule>
  </conditionalFormatting>
  <conditionalFormatting sqref="G14">
    <cfRule type="expression" dxfId="8616" priority="114">
      <formula>F14="K"</formula>
    </cfRule>
    <cfRule type="expression" dxfId="8617" priority="115">
      <formula>F14="DEF"</formula>
    </cfRule>
    <cfRule type="expression" dxfId="8618" priority="116">
      <formula>F14="TE"</formula>
    </cfRule>
    <cfRule type="expression" dxfId="8619" priority="117">
      <formula>F14="WR"</formula>
    </cfRule>
    <cfRule type="expression" dxfId="8620" priority="118">
      <formula>F14="RB"</formula>
    </cfRule>
    <cfRule type="expression" dxfId="8621" priority="119">
      <formula>F14="QB"</formula>
    </cfRule>
  </conditionalFormatting>
  <conditionalFormatting sqref="G17">
    <cfRule type="expression" dxfId="8613" priority="144">
      <formula>F17="K"</formula>
    </cfRule>
    <cfRule type="expression" dxfId="8610" priority="145">
      <formula>F17="DEF"</formula>
    </cfRule>
    <cfRule type="expression" dxfId="8611" priority="146">
      <formula>F17="TE"</formula>
    </cfRule>
    <cfRule type="expression" dxfId="8612" priority="147">
      <formula>F17="WR"</formula>
    </cfRule>
    <cfRule type="expression" dxfId="8614" priority="148">
      <formula>F17="RB"</formula>
    </cfRule>
    <cfRule type="expression" dxfId="8615" priority="149">
      <formula>F17="QB"</formula>
    </cfRule>
  </conditionalFormatting>
  <conditionalFormatting sqref="G20">
    <cfRule type="expression" dxfId="8605" priority="174">
      <formula>F20="K"</formula>
    </cfRule>
    <cfRule type="expression" dxfId="8604" priority="175">
      <formula>F20="DEF"</formula>
    </cfRule>
    <cfRule type="expression" dxfId="8609" priority="176">
      <formula>F20="TE"</formula>
    </cfRule>
    <cfRule type="expression" dxfId="8608" priority="177">
      <formula>F20="WR"</formula>
    </cfRule>
    <cfRule type="expression" dxfId="8606" priority="178">
      <formula>F20="RB"</formula>
    </cfRule>
    <cfRule type="expression" dxfId="8607" priority="179">
      <formula>F20="QB"</formula>
    </cfRule>
  </conditionalFormatting>
  <conditionalFormatting sqref="G23">
    <cfRule type="expression" dxfId="8600" priority="204">
      <formula>F23="K"</formula>
    </cfRule>
    <cfRule type="expression" dxfId="8599" priority="205">
      <formula>F23="DEF"</formula>
    </cfRule>
    <cfRule type="expression" dxfId="8598" priority="206">
      <formula>F23="TE"</formula>
    </cfRule>
    <cfRule type="expression" dxfId="8603" priority="207">
      <formula>F23="WR"</formula>
    </cfRule>
    <cfRule type="expression" dxfId="8602" priority="208">
      <formula>F23="RB"</formula>
    </cfRule>
    <cfRule type="expression" dxfId="8601" priority="209">
      <formula>F23="QB"</formula>
    </cfRule>
  </conditionalFormatting>
  <conditionalFormatting sqref="G26">
    <cfRule type="expression" dxfId="8597" priority="234">
      <formula>F26="K"</formula>
    </cfRule>
    <cfRule type="expression" dxfId="8592" priority="235">
      <formula>F26="DEF"</formula>
    </cfRule>
    <cfRule type="expression" dxfId="8596" priority="236">
      <formula>F26="TE"</formula>
    </cfRule>
    <cfRule type="expression" dxfId="8593" priority="237">
      <formula>F26="WR"</formula>
    </cfRule>
    <cfRule type="expression" dxfId="8594" priority="238">
      <formula>F26="RB"</formula>
    </cfRule>
    <cfRule type="expression" dxfId="8595" priority="239">
      <formula>F26="QB"</formula>
    </cfRule>
  </conditionalFormatting>
  <conditionalFormatting sqref="G29">
    <cfRule type="expression" dxfId="8589" priority="264">
      <formula>F29="K"</formula>
    </cfRule>
    <cfRule type="expression" dxfId="8590" priority="265">
      <formula>F29="DEF"</formula>
    </cfRule>
    <cfRule type="expression" dxfId="8587" priority="266">
      <formula>F29="TE"</formula>
    </cfRule>
    <cfRule type="expression" dxfId="8591" priority="267">
      <formula>F29="WR"</formula>
    </cfRule>
    <cfRule type="expression" dxfId="8586" priority="268">
      <formula>F29="RB"</formula>
    </cfRule>
    <cfRule type="expression" dxfId="8588" priority="269">
      <formula>F29="QB"</formula>
    </cfRule>
  </conditionalFormatting>
  <conditionalFormatting sqref="G32">
    <cfRule type="expression" dxfId="8580" priority="294">
      <formula>F32="K"</formula>
    </cfRule>
    <cfRule type="expression" dxfId="8581" priority="295">
      <formula>F32="DEF"</formula>
    </cfRule>
    <cfRule type="expression" dxfId="8582" priority="296">
      <formula>F32="TE"</formula>
    </cfRule>
    <cfRule type="expression" dxfId="8583" priority="297">
      <formula>F32="WR"</formula>
    </cfRule>
    <cfRule type="expression" dxfId="8584" priority="298">
      <formula>F32="RB"</formula>
    </cfRule>
    <cfRule type="expression" dxfId="8585" priority="299">
      <formula>F32="QB"</formula>
    </cfRule>
  </conditionalFormatting>
  <conditionalFormatting sqref="G35">
    <cfRule type="expression" dxfId="8574" priority="324">
      <formula>F35="K"</formula>
    </cfRule>
    <cfRule type="expression" dxfId="8575" priority="325">
      <formula>F35="DEF"</formula>
    </cfRule>
    <cfRule type="expression" dxfId="8576" priority="326">
      <formula>F35="TE"</formula>
    </cfRule>
    <cfRule type="expression" dxfId="8577" priority="327">
      <formula>F35="WR"</formula>
    </cfRule>
    <cfRule type="expression" dxfId="8578" priority="328">
      <formula>F35="RB"</formula>
    </cfRule>
    <cfRule type="expression" dxfId="8579" priority="329">
      <formula>F35="QB"</formula>
    </cfRule>
  </conditionalFormatting>
  <conditionalFormatting sqref="G38">
    <cfRule type="expression" dxfId="8573" priority="354">
      <formula>F38="K"</formula>
    </cfRule>
    <cfRule type="expression" dxfId="8572" priority="355">
      <formula>F38="DEF"</formula>
    </cfRule>
    <cfRule type="expression" dxfId="8571" priority="356">
      <formula>F38="TE"</formula>
    </cfRule>
    <cfRule type="expression" dxfId="8570" priority="357">
      <formula>F38="WR"</formula>
    </cfRule>
    <cfRule type="expression" dxfId="8568" priority="358">
      <formula>F38="RB"</formula>
    </cfRule>
    <cfRule type="expression" dxfId="8569" priority="359">
      <formula>F38="QB"</formula>
    </cfRule>
  </conditionalFormatting>
  <conditionalFormatting sqref="G41">
    <cfRule type="expression" dxfId="8563" priority="384">
      <formula>F41="K"</formula>
    </cfRule>
    <cfRule type="expression" dxfId="8564" priority="385">
      <formula>F41="DEF"</formula>
    </cfRule>
    <cfRule type="expression" dxfId="8562" priority="386">
      <formula>F41="TE"</formula>
    </cfRule>
    <cfRule type="expression" dxfId="8565" priority="387">
      <formula>F41="WR"</formula>
    </cfRule>
    <cfRule type="expression" dxfId="8566" priority="388">
      <formula>F41="RB"</formula>
    </cfRule>
    <cfRule type="expression" dxfId="8567" priority="389">
      <formula>F41="QB"</formula>
    </cfRule>
  </conditionalFormatting>
  <conditionalFormatting sqref="G44">
    <cfRule type="expression" dxfId="8558" priority="414">
      <formula>F44="K"</formula>
    </cfRule>
    <cfRule type="expression" dxfId="8559" priority="415">
      <formula>F44="DEF"</formula>
    </cfRule>
    <cfRule type="expression" dxfId="8560" priority="416">
      <formula>F44="TE"</formula>
    </cfRule>
    <cfRule type="expression" dxfId="8561" priority="417">
      <formula>F44="WR"</formula>
    </cfRule>
    <cfRule type="expression" dxfId="8557" priority="418">
      <formula>F44="RB"</formula>
    </cfRule>
    <cfRule type="expression" dxfId="8556" priority="419">
      <formula>F44="QB"</formula>
    </cfRule>
  </conditionalFormatting>
  <conditionalFormatting sqref="G47">
    <cfRule type="expression" dxfId="8555" priority="444">
      <formula>F47="K"</formula>
    </cfRule>
    <cfRule type="expression" dxfId="8550" priority="445">
      <formula>F47="DEF"</formula>
    </cfRule>
    <cfRule type="expression" dxfId="8554" priority="446">
      <formula>F47="TE"</formula>
    </cfRule>
    <cfRule type="expression" dxfId="8553" priority="447">
      <formula>F47="WR"</formula>
    </cfRule>
    <cfRule type="expression" dxfId="8552" priority="448">
      <formula>F47="RB"</formula>
    </cfRule>
    <cfRule type="expression" dxfId="8551" priority="449">
      <formula>F47="QB"</formula>
    </cfRule>
  </conditionalFormatting>
  <conditionalFormatting sqref="I4">
    <cfRule type="expression" dxfId="8549" priority="451">
      <formula>K5="DEF"</formula>
    </cfRule>
    <cfRule type="expression" dxfId="8548" priority="452">
      <formula>K5="TE"</formula>
    </cfRule>
    <cfRule type="expression" dxfId="8547" priority="453">
      <formula>K5="WR"</formula>
    </cfRule>
    <cfRule type="expression" dxfId="8546" priority="454">
      <formula>K5="RB"</formula>
    </cfRule>
    <cfRule type="expression" dxfId="8545" priority="455">
      <formula>K5="QB"</formula>
    </cfRule>
  </conditionalFormatting>
  <conditionalFormatting sqref="I5">
    <cfRule type="expression" dxfId="8544" priority="456">
      <formula>K5="K"</formula>
    </cfRule>
    <cfRule type="expression" dxfId="8543" priority="457">
      <formula>K5="DEF"</formula>
    </cfRule>
    <cfRule type="expression" dxfId="8542" priority="458">
      <formula>K5="TE"</formula>
    </cfRule>
    <cfRule type="expression" dxfId="8541" priority="459">
      <formula>K5="WR"</formula>
    </cfRule>
    <cfRule type="expression" dxfId="8540" priority="460">
      <formula>K5="RB"</formula>
    </cfRule>
    <cfRule type="expression" dxfId="8539" priority="461">
      <formula>K5="QB"</formula>
    </cfRule>
  </conditionalFormatting>
  <conditionalFormatting sqref="I7">
    <cfRule type="expression" dxfId="8535" priority="481">
      <formula>K8="DEF"</formula>
    </cfRule>
    <cfRule type="expression" dxfId="8536" priority="482">
      <formula>K8="TE"</formula>
    </cfRule>
    <cfRule type="expression" dxfId="8537" priority="483">
      <formula>K8="WR"</formula>
    </cfRule>
    <cfRule type="expression" dxfId="8534" priority="484">
      <formula>K8="RB"</formula>
    </cfRule>
    <cfRule type="expression" dxfId="8538" priority="485">
      <formula>K8="QB"</formula>
    </cfRule>
  </conditionalFormatting>
  <conditionalFormatting sqref="I8">
    <cfRule type="expression" dxfId="8533" priority="486">
      <formula>K8="K"</formula>
    </cfRule>
    <cfRule type="expression" dxfId="8532" priority="487">
      <formula>K8="DEF"</formula>
    </cfRule>
    <cfRule type="expression" dxfId="8531" priority="488">
      <formula>K8="TE"</formula>
    </cfRule>
    <cfRule type="expression" dxfId="8530" priority="489">
      <formula>K8="WR"</formula>
    </cfRule>
    <cfRule type="expression" dxfId="8529" priority="490">
      <formula>K8="RB"</formula>
    </cfRule>
    <cfRule type="expression" dxfId="8528" priority="491">
      <formula>K8="QB"</formula>
    </cfRule>
  </conditionalFormatting>
  <conditionalFormatting sqref="I10">
    <cfRule type="expression" dxfId="8523" priority="511">
      <formula>K11="DEF"</formula>
    </cfRule>
    <cfRule type="expression" dxfId="8527" priority="512">
      <formula>K11="TE"</formula>
    </cfRule>
    <cfRule type="expression" dxfId="8526" priority="513">
      <formula>K11="WR"</formula>
    </cfRule>
    <cfRule type="expression" dxfId="8525" priority="514">
      <formula>K11="RB"</formula>
    </cfRule>
    <cfRule type="expression" dxfId="8524" priority="515">
      <formula>K11="QB"</formula>
    </cfRule>
  </conditionalFormatting>
  <conditionalFormatting sqref="I11">
    <cfRule type="expression" dxfId="8518" priority="516">
      <formula>K11="K"</formula>
    </cfRule>
    <cfRule type="expression" dxfId="8519" priority="517">
      <formula>K11="DEF"</formula>
    </cfRule>
    <cfRule type="expression" dxfId="8517" priority="518">
      <formula>K11="TE"</formula>
    </cfRule>
    <cfRule type="expression" dxfId="8520" priority="519">
      <formula>K11="WR"</formula>
    </cfRule>
    <cfRule type="expression" dxfId="8521" priority="520">
      <formula>K11="RB"</formula>
    </cfRule>
    <cfRule type="expression" dxfId="8522" priority="521">
      <formula>K11="QB"</formula>
    </cfRule>
  </conditionalFormatting>
  <conditionalFormatting sqref="I13">
    <cfRule type="expression" dxfId="8516" priority="541">
      <formula>K14="DEF"</formula>
    </cfRule>
    <cfRule type="expression" dxfId="8515" priority="542">
      <formula>K14="TE"</formula>
    </cfRule>
    <cfRule type="expression" dxfId="8514" priority="543">
      <formula>K14="WR"</formula>
    </cfRule>
    <cfRule type="expression" dxfId="8513" priority="544">
      <formula>K14="RB"</formula>
    </cfRule>
    <cfRule type="expression" dxfId="8512" priority="545">
      <formula>K14="QB"</formula>
    </cfRule>
  </conditionalFormatting>
  <conditionalFormatting sqref="I14">
    <cfRule type="expression" dxfId="8509" priority="546">
      <formula>K14="K"</formula>
    </cfRule>
    <cfRule type="expression" dxfId="8508" priority="547">
      <formula>K14="DEF"</formula>
    </cfRule>
    <cfRule type="expression" dxfId="8511" priority="548">
      <formula>K14="TE"</formula>
    </cfRule>
    <cfRule type="expression" dxfId="8510" priority="549">
      <formula>K14="WR"</formula>
    </cfRule>
    <cfRule type="expression" dxfId="8507" priority="550">
      <formula>K14="RB"</formula>
    </cfRule>
    <cfRule type="expression" dxfId="8506" priority="551">
      <formula>K14="QB"</formula>
    </cfRule>
  </conditionalFormatting>
  <conditionalFormatting sqref="I16">
    <cfRule type="expression" dxfId="8501" priority="571">
      <formula>K17="DEF"</formula>
    </cfRule>
    <cfRule type="expression" dxfId="8502" priority="572">
      <formula>K17="TE"</formula>
    </cfRule>
    <cfRule type="expression" dxfId="8503" priority="573">
      <formula>K17="WR"</formula>
    </cfRule>
    <cfRule type="expression" dxfId="8505" priority="574">
      <formula>K17="RB"</formula>
    </cfRule>
    <cfRule type="expression" dxfId="8504" priority="575">
      <formula>K17="QB"</formula>
    </cfRule>
  </conditionalFormatting>
  <conditionalFormatting sqref="I17">
    <cfRule type="expression" dxfId="8495" priority="576">
      <formula>K17="K"</formula>
    </cfRule>
    <cfRule type="expression" dxfId="8500" priority="577">
      <formula>K17="DEF"</formula>
    </cfRule>
    <cfRule type="expression" dxfId="8499" priority="578">
      <formula>K17="TE"</formula>
    </cfRule>
    <cfRule type="expression" dxfId="8498" priority="579">
      <formula>K17="WR"</formula>
    </cfRule>
    <cfRule type="expression" dxfId="8497" priority="580">
      <formula>K17="RB"</formula>
    </cfRule>
    <cfRule type="expression" dxfId="8496" priority="581">
      <formula>K17="QB"</formula>
    </cfRule>
  </conditionalFormatting>
  <conditionalFormatting sqref="I19">
    <cfRule type="expression" dxfId="8490" priority="601">
      <formula>K20="DEF"</formula>
    </cfRule>
    <cfRule type="expression" dxfId="8494" priority="602">
      <formula>K20="TE"</formula>
    </cfRule>
    <cfRule type="expression" dxfId="8491" priority="603">
      <formula>K20="WR"</formula>
    </cfRule>
    <cfRule type="expression" dxfId="8492" priority="604">
      <formula>K20="RB"</formula>
    </cfRule>
    <cfRule type="expression" dxfId="8493" priority="605">
      <formula>K20="QB"</formula>
    </cfRule>
  </conditionalFormatting>
  <conditionalFormatting sqref="I20">
    <cfRule type="expression" dxfId="8489" priority="606">
      <formula>K20="K"</formula>
    </cfRule>
    <cfRule type="expression" dxfId="8488" priority="607">
      <formula>K20="DEF"</formula>
    </cfRule>
    <cfRule type="expression" dxfId="8487" priority="608">
      <formula>K20="TE"</formula>
    </cfRule>
    <cfRule type="expression" dxfId="8486" priority="609">
      <formula>K20="WR"</formula>
    </cfRule>
    <cfRule type="expression" dxfId="8485" priority="610">
      <formula>K20="RB"</formula>
    </cfRule>
    <cfRule type="expression" dxfId="8484" priority="611">
      <formula>K20="QB"</formula>
    </cfRule>
  </conditionalFormatting>
  <conditionalFormatting sqref="I22">
    <cfRule type="expression" dxfId="8480" priority="631">
      <formula>K23="DEF"</formula>
    </cfRule>
    <cfRule type="expression" dxfId="8479" priority="632">
      <formula>K23="TE"</formula>
    </cfRule>
    <cfRule type="expression" dxfId="8482" priority="633">
      <formula>K23="WR"</formula>
    </cfRule>
    <cfRule type="expression" dxfId="8483" priority="634">
      <formula>K23="RB"</formula>
    </cfRule>
    <cfRule type="expression" dxfId="8481" priority="635">
      <formula>K23="QB"</formula>
    </cfRule>
  </conditionalFormatting>
  <conditionalFormatting sqref="I23">
    <cfRule type="expression" dxfId="8474" priority="636">
      <formula>K23="K"</formula>
    </cfRule>
    <cfRule type="expression" dxfId="8473" priority="637">
      <formula>K23="DEF"</formula>
    </cfRule>
    <cfRule type="expression" dxfId="8475" priority="638">
      <formula>K23="TE"</formula>
    </cfRule>
    <cfRule type="expression" dxfId="8476" priority="639">
      <formula>K23="WR"</formula>
    </cfRule>
    <cfRule type="expression" dxfId="8477" priority="640">
      <formula>K23="RB"</formula>
    </cfRule>
    <cfRule type="expression" dxfId="8478" priority="641">
      <formula>K23="QB"</formula>
    </cfRule>
  </conditionalFormatting>
  <conditionalFormatting sqref="I25">
    <cfRule type="expression" dxfId="8468" priority="661">
      <formula>K26="DEF"</formula>
    </cfRule>
    <cfRule type="expression" dxfId="8472" priority="662">
      <formula>K26="TE"</formula>
    </cfRule>
    <cfRule type="expression" dxfId="8471" priority="663">
      <formula>K26="WR"</formula>
    </cfRule>
    <cfRule type="expression" dxfId="8470" priority="664">
      <formula>K26="RB"</formula>
    </cfRule>
    <cfRule type="expression" dxfId="8469" priority="665">
      <formula>K26="QB"</formula>
    </cfRule>
  </conditionalFormatting>
  <conditionalFormatting sqref="I26">
    <cfRule type="expression" dxfId="8464" priority="666">
      <formula>K26="K"</formula>
    </cfRule>
    <cfRule type="expression" dxfId="8462" priority="667">
      <formula>K26="DEF"</formula>
    </cfRule>
    <cfRule type="expression" dxfId="8463" priority="668">
      <formula>K26="TE"</formula>
    </cfRule>
    <cfRule type="expression" dxfId="8465" priority="669">
      <formula>K26="WR"</formula>
    </cfRule>
    <cfRule type="expression" dxfId="8466" priority="670">
      <formula>K26="RB"</formula>
    </cfRule>
    <cfRule type="expression" dxfId="8467" priority="671">
      <formula>K26="QB"</formula>
    </cfRule>
  </conditionalFormatting>
  <conditionalFormatting sqref="I28">
    <cfRule type="expression" dxfId="8461" priority="691">
      <formula>K29="DEF"</formula>
    </cfRule>
    <cfRule type="expression" dxfId="8459" priority="692">
      <formula>K29="TE"</formula>
    </cfRule>
    <cfRule type="expression" dxfId="8458" priority="693">
      <formula>K29="WR"</formula>
    </cfRule>
    <cfRule type="expression" dxfId="8457" priority="694">
      <formula>K29="RB"</formula>
    </cfRule>
    <cfRule type="expression" dxfId="8460" priority="695">
      <formula>K29="QB"</formula>
    </cfRule>
  </conditionalFormatting>
  <conditionalFormatting sqref="I29">
    <cfRule type="expression" dxfId="8455" priority="696">
      <formula>K29="K"</formula>
    </cfRule>
    <cfRule type="expression" dxfId="8453" priority="697">
      <formula>K29="DEF"</formula>
    </cfRule>
    <cfRule type="expression" dxfId="8456" priority="698">
      <formula>K29="TE"</formula>
    </cfRule>
    <cfRule type="expression" dxfId="8451" priority="699">
      <formula>K29="WR"</formula>
    </cfRule>
    <cfRule type="expression" dxfId="8454" priority="700">
      <formula>K29="RB"</formula>
    </cfRule>
    <cfRule type="expression" dxfId="8452" priority="701">
      <formula>K29="QB"</formula>
    </cfRule>
  </conditionalFormatting>
  <conditionalFormatting sqref="I31">
    <cfRule type="expression" dxfId="8447" priority="721">
      <formula>K32="DEF"</formula>
    </cfRule>
    <cfRule type="expression" dxfId="8450" priority="722">
      <formula>K32="TE"</formula>
    </cfRule>
    <cfRule type="expression" dxfId="8448" priority="723">
      <formula>K32="WR"</formula>
    </cfRule>
    <cfRule type="expression" dxfId="8449" priority="724">
      <formula>K32="RB"</formula>
    </cfRule>
    <cfRule type="expression" dxfId="8446" priority="725">
      <formula>K32="QB"</formula>
    </cfRule>
  </conditionalFormatting>
  <conditionalFormatting sqref="I32">
    <cfRule type="expression" dxfId="8444" priority="726">
      <formula>K32="K"</formula>
    </cfRule>
    <cfRule type="expression" dxfId="8440" priority="727">
      <formula>K32="DEF"</formula>
    </cfRule>
    <cfRule type="expression" dxfId="8445" priority="728">
      <formula>K32="TE"</formula>
    </cfRule>
    <cfRule type="expression" dxfId="8441" priority="729">
      <formula>K32="WR"</formula>
    </cfRule>
    <cfRule type="expression" dxfId="8443" priority="730">
      <formula>K32="RB"</formula>
    </cfRule>
    <cfRule type="expression" dxfId="8442" priority="731">
      <formula>K32="QB"</formula>
    </cfRule>
  </conditionalFormatting>
  <conditionalFormatting sqref="I34">
    <cfRule type="expression" dxfId="8438" priority="751">
      <formula>K35="DEF"</formula>
    </cfRule>
    <cfRule type="expression" dxfId="8439" priority="752">
      <formula>K35="TE"</formula>
    </cfRule>
    <cfRule type="expression" dxfId="8437" priority="753">
      <formula>K35="WR"</formula>
    </cfRule>
    <cfRule type="expression" dxfId="8436" priority="754">
      <formula>K35="RB"</formula>
    </cfRule>
    <cfRule type="expression" dxfId="8435" priority="755">
      <formula>K35="QB"</formula>
    </cfRule>
  </conditionalFormatting>
  <conditionalFormatting sqref="I35">
    <cfRule type="expression" dxfId="8433" priority="756">
      <formula>K35="K"</formula>
    </cfRule>
    <cfRule type="expression" dxfId="8432" priority="757">
      <formula>K35="DEF"</formula>
    </cfRule>
    <cfRule type="expression" dxfId="8434" priority="758">
      <formula>K35="TE"</formula>
    </cfRule>
    <cfRule type="expression" dxfId="8431" priority="759">
      <formula>K35="WR"</formula>
    </cfRule>
    <cfRule type="expression" dxfId="8430" priority="760">
      <formula>K35="RB"</formula>
    </cfRule>
    <cfRule type="expression" dxfId="8429" priority="761">
      <formula>K35="QB"</formula>
    </cfRule>
  </conditionalFormatting>
  <conditionalFormatting sqref="I37">
    <cfRule type="expression" dxfId="8428" priority="781">
      <formula>K38="DEF"</formula>
    </cfRule>
    <cfRule type="expression" dxfId="8427" priority="782">
      <formula>K38="TE"</formula>
    </cfRule>
    <cfRule type="expression" dxfId="8426" priority="783">
      <formula>K38="WR"</formula>
    </cfRule>
    <cfRule type="expression" dxfId="8425" priority="784">
      <formula>K38="RB"</formula>
    </cfRule>
    <cfRule type="expression" dxfId="8424" priority="785">
      <formula>K38="QB"</formula>
    </cfRule>
  </conditionalFormatting>
  <conditionalFormatting sqref="I38">
    <cfRule type="expression" dxfId="8423" priority="786">
      <formula>K38="K"</formula>
    </cfRule>
    <cfRule type="expression" dxfId="8422" priority="787">
      <formula>K38="DEF"</formula>
    </cfRule>
    <cfRule type="expression" dxfId="8421" priority="788">
      <formula>K38="TE"</formula>
    </cfRule>
    <cfRule type="expression" dxfId="8420" priority="789">
      <formula>K38="WR"</formula>
    </cfRule>
    <cfRule type="expression" dxfId="8419" priority="790">
      <formula>K38="RB"</formula>
    </cfRule>
    <cfRule type="expression" dxfId="8418" priority="791">
      <formula>K38="QB"</formula>
    </cfRule>
  </conditionalFormatting>
  <conditionalFormatting sqref="I40">
    <cfRule type="expression" dxfId="8415" priority="811">
      <formula>K41="DEF"</formula>
    </cfRule>
    <cfRule type="expression" dxfId="8416" priority="812">
      <formula>K41="TE"</formula>
    </cfRule>
    <cfRule type="expression" dxfId="8414" priority="813">
      <formula>K41="WR"</formula>
    </cfRule>
    <cfRule type="expression" dxfId="8413" priority="814">
      <formula>K41="RB"</formula>
    </cfRule>
    <cfRule type="expression" dxfId="8417" priority="815">
      <formula>K41="QB"</formula>
    </cfRule>
  </conditionalFormatting>
  <conditionalFormatting sqref="I41">
    <cfRule type="expression" dxfId="8412" priority="816">
      <formula>K41="K"</formula>
    </cfRule>
    <cfRule type="expression" dxfId="8411" priority="817">
      <formula>K41="DEF"</formula>
    </cfRule>
    <cfRule type="expression" dxfId="8410" priority="818">
      <formula>K41="TE"</formula>
    </cfRule>
    <cfRule type="expression" dxfId="8409" priority="819">
      <formula>K41="WR"</formula>
    </cfRule>
    <cfRule type="expression" dxfId="8408" priority="820">
      <formula>K41="RB"</formula>
    </cfRule>
    <cfRule type="expression" dxfId="8407" priority="821">
      <formula>K41="QB"</formula>
    </cfRule>
  </conditionalFormatting>
  <conditionalFormatting sqref="I43">
    <cfRule type="expression" dxfId="8405" priority="841">
      <formula>K44="DEF"</formula>
    </cfRule>
    <cfRule type="expression" dxfId="8406" priority="842">
      <formula>K44="TE"</formula>
    </cfRule>
    <cfRule type="expression" dxfId="8404" priority="843">
      <formula>K44="WR"</formula>
    </cfRule>
    <cfRule type="expression" dxfId="8403" priority="844">
      <formula>K44="RB"</formula>
    </cfRule>
    <cfRule type="expression" dxfId="8402" priority="845">
      <formula>K44="QB"</formula>
    </cfRule>
  </conditionalFormatting>
  <conditionalFormatting sqref="I44">
    <cfRule type="expression" dxfId="8400" priority="846">
      <formula>K44="K"</formula>
    </cfRule>
    <cfRule type="expression" dxfId="8401" priority="847">
      <formula>K44="DEF"</formula>
    </cfRule>
    <cfRule type="expression" dxfId="8396" priority="848">
      <formula>K44="TE"</formula>
    </cfRule>
    <cfRule type="expression" dxfId="8397" priority="849">
      <formula>K44="WR"</formula>
    </cfRule>
    <cfRule type="expression" dxfId="8398" priority="850">
      <formula>K44="RB"</formula>
    </cfRule>
    <cfRule type="expression" dxfId="8399" priority="851">
      <formula>K44="QB"</formula>
    </cfRule>
  </conditionalFormatting>
  <conditionalFormatting sqref="I46">
    <cfRule type="expression" dxfId="8391" priority="871">
      <formula>K47="DEF"</formula>
    </cfRule>
    <cfRule type="expression" dxfId="8395" priority="872">
      <formula>K47="TE"</formula>
    </cfRule>
    <cfRule type="expression" dxfId="8392" priority="873">
      <formula>K47="WR"</formula>
    </cfRule>
    <cfRule type="expression" dxfId="8393" priority="874">
      <formula>K47="RB"</formula>
    </cfRule>
    <cfRule type="expression" dxfId="8394" priority="875">
      <formula>K47="QB"</formula>
    </cfRule>
  </conditionalFormatting>
  <conditionalFormatting sqref="I47">
    <cfRule type="expression" dxfId="8387" priority="876">
      <formula>K47="K"</formula>
    </cfRule>
    <cfRule type="expression" dxfId="8388" priority="877">
      <formula>K47="DEF"</formula>
    </cfRule>
    <cfRule type="expression" dxfId="8389" priority="878">
      <formula>K47="TE"</formula>
    </cfRule>
    <cfRule type="expression" dxfId="8390" priority="879">
      <formula>K47="WR"</formula>
    </cfRule>
    <cfRule type="expression" dxfId="8386" priority="880">
      <formula>K47="RB"</formula>
    </cfRule>
    <cfRule type="expression" dxfId="8385" priority="881">
      <formula>K47="QB"</formula>
    </cfRule>
  </conditionalFormatting>
  <conditionalFormatting sqref="I4:L4">
    <cfRule type="expression" dxfId="8384" priority="480">
      <formula>K5="K"</formula>
    </cfRule>
  </conditionalFormatting>
  <conditionalFormatting sqref="I7:L7">
    <cfRule type="expression" dxfId="8383" priority="510">
      <formula>K8="K"</formula>
    </cfRule>
  </conditionalFormatting>
  <conditionalFormatting sqref="I10:L10">
    <cfRule type="expression" dxfId="8382" priority="540">
      <formula>K11="K"</formula>
    </cfRule>
  </conditionalFormatting>
  <conditionalFormatting sqref="I13:L13">
    <cfRule type="expression" dxfId="8381" priority="570">
      <formula>K14="K"</formula>
    </cfRule>
  </conditionalFormatting>
  <conditionalFormatting sqref="I16:L16">
    <cfRule type="expression" dxfId="8380" priority="600">
      <formula>K17="K"</formula>
    </cfRule>
  </conditionalFormatting>
  <conditionalFormatting sqref="I19:L19">
    <cfRule type="expression" dxfId="8379" priority="630">
      <formula>K20="K"</formula>
    </cfRule>
  </conditionalFormatting>
  <conditionalFormatting sqref="I22:L22">
    <cfRule type="expression" dxfId="8378" priority="660">
      <formula>K23="K"</formula>
    </cfRule>
  </conditionalFormatting>
  <conditionalFormatting sqref="I25:L25">
    <cfRule type="expression" dxfId="8377" priority="690">
      <formula>K26="K"</formula>
    </cfRule>
  </conditionalFormatting>
  <conditionalFormatting sqref="I28:L28">
    <cfRule type="expression" dxfId="8376" priority="720">
      <formula>K29="K"</formula>
    </cfRule>
  </conditionalFormatting>
  <conditionalFormatting sqref="I31:L31">
    <cfRule type="expression" dxfId="8375" priority="750">
      <formula>K32="K"</formula>
    </cfRule>
  </conditionalFormatting>
  <conditionalFormatting sqref="I34:L34">
    <cfRule type="expression" dxfId="8374" priority="780">
      <formula>K35="K"</formula>
    </cfRule>
  </conditionalFormatting>
  <conditionalFormatting sqref="I37:L37">
    <cfRule type="expression" dxfId="8373" priority="810">
      <formula>K38="K"</formula>
    </cfRule>
  </conditionalFormatting>
  <conditionalFormatting sqref="I40:L40">
    <cfRule type="expression" dxfId="8372" priority="840">
      <formula>K41="K"</formula>
    </cfRule>
  </conditionalFormatting>
  <conditionalFormatting sqref="I43:L43">
    <cfRule type="expression" dxfId="8371" priority="870">
      <formula>K44="K"</formula>
    </cfRule>
  </conditionalFormatting>
  <conditionalFormatting sqref="I46:L46">
    <cfRule type="expression" dxfId="8370" priority="900">
      <formula>K47="K"</formula>
    </cfRule>
  </conditionalFormatting>
  <conditionalFormatting sqref="J5">
    <cfRule type="expression" dxfId="8365" priority="462">
      <formula>K5="K"</formula>
    </cfRule>
    <cfRule type="expression" dxfId="8366" priority="463">
      <formula>K5="DEF"</formula>
    </cfRule>
    <cfRule type="expression" dxfId="8367" priority="464">
      <formula>K5="TE"</formula>
    </cfRule>
    <cfRule type="expression" dxfId="8364" priority="465">
      <formula>K5="WR"</formula>
    </cfRule>
    <cfRule type="expression" dxfId="8369" priority="466">
      <formula>K5="RB"</formula>
    </cfRule>
    <cfRule type="expression" dxfId="8368" priority="467">
      <formula>K5="QB"</formula>
    </cfRule>
  </conditionalFormatting>
  <conditionalFormatting sqref="J8">
    <cfRule type="expression" dxfId="8360" priority="492">
      <formula>K8="K"</formula>
    </cfRule>
    <cfRule type="expression" dxfId="8358" priority="493">
      <formula>K8="DEF"</formula>
    </cfRule>
    <cfRule type="expression" dxfId="8363" priority="494">
      <formula>K8="TE"</formula>
    </cfRule>
    <cfRule type="expression" dxfId="8362" priority="495">
      <formula>K8="WR"</formula>
    </cfRule>
    <cfRule type="expression" dxfId="8361" priority="496">
      <formula>K8="RB"</formula>
    </cfRule>
    <cfRule type="expression" dxfId="8359" priority="497">
      <formula>K8="QB"</formula>
    </cfRule>
  </conditionalFormatting>
  <conditionalFormatting sqref="J11">
    <cfRule type="expression" dxfId="8357" priority="522">
      <formula>K11="K"</formula>
    </cfRule>
    <cfRule type="expression" dxfId="8352" priority="523">
      <formula>K11="DEF"</formula>
    </cfRule>
    <cfRule type="expression" dxfId="8353" priority="524">
      <formula>K11="TE"</formula>
    </cfRule>
    <cfRule type="expression" dxfId="8354" priority="525">
      <formula>K11="WR"</formula>
    </cfRule>
    <cfRule type="expression" dxfId="8355" priority="526">
      <formula>K11="RB"</formula>
    </cfRule>
    <cfRule type="expression" dxfId="8356" priority="527">
      <formula>K11="QB"</formula>
    </cfRule>
  </conditionalFormatting>
  <conditionalFormatting sqref="J14">
    <cfRule type="expression" dxfId="8350" priority="552">
      <formula>K14="K"</formula>
    </cfRule>
    <cfRule type="expression" dxfId="8351" priority="553">
      <formula>K14="DEF"</formula>
    </cfRule>
    <cfRule type="expression" dxfId="8349" priority="554">
      <formula>K14="TE"</formula>
    </cfRule>
    <cfRule type="expression" dxfId="8346" priority="555">
      <formula>K14="WR"</formula>
    </cfRule>
    <cfRule type="expression" dxfId="8347" priority="556">
      <formula>K14="RB"</formula>
    </cfRule>
    <cfRule type="expression" dxfId="8348" priority="557">
      <formula>K14="QB"</formula>
    </cfRule>
  </conditionalFormatting>
  <conditionalFormatting sqref="J17">
    <cfRule type="expression" dxfId="8340" priority="582">
      <formula>K17="K"</formula>
    </cfRule>
    <cfRule type="expression" dxfId="8341" priority="583">
      <formula>K17="DEF"</formula>
    </cfRule>
    <cfRule type="expression" dxfId="8342" priority="584">
      <formula>K17="TE"</formula>
    </cfRule>
    <cfRule type="expression" dxfId="8345" priority="585">
      <formula>K17="WR"</formula>
    </cfRule>
    <cfRule type="expression" dxfId="8344" priority="586">
      <formula>K17="RB"</formula>
    </cfRule>
    <cfRule type="expression" dxfId="8343" priority="587">
      <formula>K17="QB"</formula>
    </cfRule>
  </conditionalFormatting>
  <conditionalFormatting sqref="J20">
    <cfRule type="expression" dxfId="8338" priority="612">
      <formula>K20="K"</formula>
    </cfRule>
    <cfRule type="expression" dxfId="8339" priority="613">
      <formula>K20="DEF"</formula>
    </cfRule>
    <cfRule type="expression" dxfId="8334" priority="614">
      <formula>K20="TE"</formula>
    </cfRule>
    <cfRule type="expression" dxfId="8337" priority="615">
      <formula>K20="WR"</formula>
    </cfRule>
    <cfRule type="expression" dxfId="8336" priority="616">
      <formula>K20="RB"</formula>
    </cfRule>
    <cfRule type="expression" dxfId="8335" priority="617">
      <formula>K20="QB"</formula>
    </cfRule>
  </conditionalFormatting>
  <conditionalFormatting sqref="J23">
    <cfRule type="expression" dxfId="8332" priority="642">
      <formula>K23="K"</formula>
    </cfRule>
    <cfRule type="expression" dxfId="8330" priority="643">
      <formula>K23="DEF"</formula>
    </cfRule>
    <cfRule type="expression" dxfId="8329" priority="644">
      <formula>K23="TE"</formula>
    </cfRule>
    <cfRule type="expression" dxfId="8333" priority="645">
      <formula>K23="WR"</formula>
    </cfRule>
    <cfRule type="expression" dxfId="8331" priority="646">
      <formula>K23="RB"</formula>
    </cfRule>
    <cfRule type="expression" dxfId="8328" priority="647">
      <formula>K23="QB"</formula>
    </cfRule>
  </conditionalFormatting>
  <conditionalFormatting sqref="J26">
    <cfRule type="expression" dxfId="8327" priority="672">
      <formula>K26="K"</formula>
    </cfRule>
    <cfRule type="expression" dxfId="8326" priority="673">
      <formula>K26="DEF"</formula>
    </cfRule>
    <cfRule type="expression" dxfId="8325" priority="674">
      <formula>K26="TE"</formula>
    </cfRule>
    <cfRule type="expression" dxfId="8324" priority="675">
      <formula>K26="WR"</formula>
    </cfRule>
    <cfRule type="expression" dxfId="8323" priority="676">
      <formula>K26="RB"</formula>
    </cfRule>
    <cfRule type="expression" dxfId="8322" priority="677">
      <formula>K26="QB"</formula>
    </cfRule>
  </conditionalFormatting>
  <conditionalFormatting sqref="J29">
    <cfRule type="expression" dxfId="8316" priority="702">
      <formula>K29="K"</formula>
    </cfRule>
    <cfRule type="expression" dxfId="8321" priority="703">
      <formula>K29="DEF"</formula>
    </cfRule>
    <cfRule type="expression" dxfId="8320" priority="704">
      <formula>K29="TE"</formula>
    </cfRule>
    <cfRule type="expression" dxfId="8319" priority="705">
      <formula>K29="WR"</formula>
    </cfRule>
    <cfRule type="expression" dxfId="8318" priority="706">
      <formula>K29="RB"</formula>
    </cfRule>
    <cfRule type="expression" dxfId="8317" priority="707">
      <formula>K29="QB"</formula>
    </cfRule>
  </conditionalFormatting>
  <conditionalFormatting sqref="J32">
    <cfRule type="expression" dxfId="8313" priority="732">
      <formula>K32="K"</formula>
    </cfRule>
    <cfRule type="expression" dxfId="8311" priority="733">
      <formula>K32="DEF"</formula>
    </cfRule>
    <cfRule type="expression" dxfId="8312" priority="734">
      <formula>K32="TE"</formula>
    </cfRule>
    <cfRule type="expression" dxfId="8315" priority="735">
      <formula>K32="WR"</formula>
    </cfRule>
    <cfRule type="expression" dxfId="8314" priority="736">
      <formula>K32="RB"</formula>
    </cfRule>
    <cfRule type="expression" dxfId="8310" priority="737">
      <formula>K32="QB"</formula>
    </cfRule>
  </conditionalFormatting>
  <conditionalFormatting sqref="J35">
    <cfRule type="expression" dxfId="8304" priority="762">
      <formula>K35="K"</formula>
    </cfRule>
    <cfRule type="expression" dxfId="8305" priority="763">
      <formula>K35="DEF"</formula>
    </cfRule>
    <cfRule type="expression" dxfId="8306" priority="764">
      <formula>K35="TE"</formula>
    </cfRule>
    <cfRule type="expression" dxfId="8307" priority="765">
      <formula>K35="WR"</formula>
    </cfRule>
    <cfRule type="expression" dxfId="8308" priority="766">
      <formula>K35="RB"</formula>
    </cfRule>
    <cfRule type="expression" dxfId="8309" priority="767">
      <formula>K35="QB"</formula>
    </cfRule>
  </conditionalFormatting>
  <conditionalFormatting sqref="J38">
    <cfRule type="expression" dxfId="8301" priority="792">
      <formula>K38="K"</formula>
    </cfRule>
    <cfRule type="expression" dxfId="8303" priority="793">
      <formula>K38="DEF"</formula>
    </cfRule>
    <cfRule type="expression" dxfId="8298" priority="794">
      <formula>K38="TE"</formula>
    </cfRule>
    <cfRule type="expression" dxfId="8299" priority="795">
      <formula>K38="WR"</formula>
    </cfRule>
    <cfRule type="expression" dxfId="8300" priority="796">
      <formula>K38="RB"</formula>
    </cfRule>
    <cfRule type="expression" dxfId="8302" priority="797">
      <formula>K38="QB"</formula>
    </cfRule>
  </conditionalFormatting>
  <conditionalFormatting sqref="J41">
    <cfRule type="expression" dxfId="8292" priority="822">
      <formula>K41="K"</formula>
    </cfRule>
    <cfRule type="expression" dxfId="8293" priority="823">
      <formula>K41="DEF"</formula>
    </cfRule>
    <cfRule type="expression" dxfId="8294" priority="824">
      <formula>K41="TE"</formula>
    </cfRule>
    <cfRule type="expression" dxfId="8295" priority="825">
      <formula>K41="WR"</formula>
    </cfRule>
    <cfRule type="expression" dxfId="8296" priority="826">
      <formula>K41="RB"</formula>
    </cfRule>
    <cfRule type="expression" dxfId="8297" priority="827">
      <formula>K41="QB"</formula>
    </cfRule>
  </conditionalFormatting>
  <conditionalFormatting sqref="J44">
    <cfRule type="expression" dxfId="8291" priority="852">
      <formula>K44="K"</formula>
    </cfRule>
    <cfRule type="expression" dxfId="8290" priority="853">
      <formula>K44="DEF"</formula>
    </cfRule>
    <cfRule type="expression" dxfId="8289" priority="854">
      <formula>K44="TE"</formula>
    </cfRule>
    <cfRule type="expression" dxfId="8288" priority="855">
      <formula>K44="WR"</formula>
    </cfRule>
    <cfRule type="expression" dxfId="8287" priority="856">
      <formula>K44="RB"</formula>
    </cfRule>
    <cfRule type="expression" dxfId="8286" priority="857">
      <formula>K44="QB"</formula>
    </cfRule>
  </conditionalFormatting>
  <conditionalFormatting sqref="J47">
    <cfRule type="expression" dxfId="8285" priority="882">
      <formula>K47="K"</formula>
    </cfRule>
    <cfRule type="expression" dxfId="8284" priority="883">
      <formula>K47="DEF"</formula>
    </cfRule>
    <cfRule type="expression" dxfId="8283" priority="884">
      <formula>K47="TE"</formula>
    </cfRule>
    <cfRule type="expression" dxfId="8280" priority="885">
      <formula>K47="WR"</formula>
    </cfRule>
    <cfRule type="expression" dxfId="8281" priority="886">
      <formula>K47="RB"</formula>
    </cfRule>
    <cfRule type="expression" dxfId="8282" priority="887">
      <formula>K47="QB"</formula>
    </cfRule>
  </conditionalFormatting>
  <conditionalFormatting sqref="K5">
    <cfRule type="expression" dxfId="8276" priority="468">
      <formula>K5="K"</formula>
    </cfRule>
    <cfRule type="expression" dxfId="8279" priority="469">
      <formula>K5="DEF"</formula>
    </cfRule>
    <cfRule type="expression" dxfId="8277" priority="470">
      <formula>K5="TE"</formula>
    </cfRule>
    <cfRule type="expression" dxfId="8278" priority="471">
      <formula>K5="WR"</formula>
    </cfRule>
    <cfRule type="expression" dxfId="8274" priority="472">
      <formula>K5="RB"</formula>
    </cfRule>
    <cfRule type="expression" dxfId="8275" priority="473">
      <formula>K5="QB"</formula>
    </cfRule>
  </conditionalFormatting>
  <conditionalFormatting sqref="K8">
    <cfRule type="expression" dxfId="8268" priority="498">
      <formula>K8="K"</formula>
    </cfRule>
    <cfRule type="expression" dxfId="8273" priority="499">
      <formula>K8="DEF"</formula>
    </cfRule>
    <cfRule type="expression" dxfId="8269" priority="500">
      <formula>K8="TE"</formula>
    </cfRule>
    <cfRule type="expression" dxfId="8272" priority="501">
      <formula>K8="WR"</formula>
    </cfRule>
    <cfRule type="expression" dxfId="8270" priority="502">
      <formula>K8="RB"</formula>
    </cfRule>
    <cfRule type="expression" dxfId="8271" priority="503">
      <formula>K8="QB"</formula>
    </cfRule>
  </conditionalFormatting>
  <conditionalFormatting sqref="K11">
    <cfRule type="expression" dxfId="8262" priority="528">
      <formula>K11="K"</formula>
    </cfRule>
    <cfRule type="expression" dxfId="8263" priority="529">
      <formula>K11="DEF"</formula>
    </cfRule>
    <cfRule type="expression" dxfId="8264" priority="530">
      <formula>K11="TE"</formula>
    </cfRule>
    <cfRule type="expression" dxfId="8267" priority="531">
      <formula>K11="WR"</formula>
    </cfRule>
    <cfRule type="expression" dxfId="8266" priority="532">
      <formula>K11="RB"</formula>
    </cfRule>
    <cfRule type="expression" dxfId="8265" priority="533">
      <formula>K11="QB"</formula>
    </cfRule>
  </conditionalFormatting>
  <conditionalFormatting sqref="K14">
    <cfRule type="expression" dxfId="8259" priority="558">
      <formula>K14="K"</formula>
    </cfRule>
    <cfRule type="expression" dxfId="8257" priority="559">
      <formula>K14="DEF"</formula>
    </cfRule>
    <cfRule type="expression" dxfId="8256" priority="560">
      <formula>K14="TE"</formula>
    </cfRule>
    <cfRule type="expression" dxfId="8261" priority="561">
      <formula>K14="WR"</formula>
    </cfRule>
    <cfRule type="expression" dxfId="8258" priority="562">
      <formula>K14="RB"</formula>
    </cfRule>
    <cfRule type="expression" dxfId="8260" priority="563">
      <formula>K14="QB"</formula>
    </cfRule>
  </conditionalFormatting>
  <conditionalFormatting sqref="K17">
    <cfRule type="expression" dxfId="8253" priority="588">
      <formula>K17="K"</formula>
    </cfRule>
    <cfRule type="expression" dxfId="8254" priority="589">
      <formula>K17="DEF"</formula>
    </cfRule>
    <cfRule type="expression" dxfId="8252" priority="590">
      <formula>K17="TE"</formula>
    </cfRule>
    <cfRule type="expression" dxfId="8251" priority="591">
      <formula>K17="WR"</formula>
    </cfRule>
    <cfRule type="expression" dxfId="8255" priority="592">
      <formula>K17="RB"</formula>
    </cfRule>
    <cfRule type="expression" dxfId="8250" priority="593">
      <formula>K17="QB"</formula>
    </cfRule>
  </conditionalFormatting>
  <conditionalFormatting sqref="K20">
    <cfRule type="expression" dxfId="8244" priority="618">
      <formula>K20="K"</formula>
    </cfRule>
    <cfRule type="expression" dxfId="8248" priority="619">
      <formula>K20="DEF"</formula>
    </cfRule>
    <cfRule type="expression" dxfId="8247" priority="620">
      <formula>K20="TE"</formula>
    </cfRule>
    <cfRule type="expression" dxfId="8246" priority="621">
      <formula>K20="WR"</formula>
    </cfRule>
    <cfRule type="expression" dxfId="8245" priority="622">
      <formula>K20="RB"</formula>
    </cfRule>
    <cfRule type="expression" dxfId="8249" priority="623">
      <formula>K20="QB"</formula>
    </cfRule>
  </conditionalFormatting>
  <conditionalFormatting sqref="K23">
    <cfRule type="expression" dxfId="8241" priority="648">
      <formula>K23="K"</formula>
    </cfRule>
    <cfRule type="expression" dxfId="8240" priority="649">
      <formula>K23="DEF"</formula>
    </cfRule>
    <cfRule type="expression" dxfId="8239" priority="650">
      <formula>K23="TE"</formula>
    </cfRule>
    <cfRule type="expression" dxfId="8238" priority="651">
      <formula>K23="WR"</formula>
    </cfRule>
    <cfRule type="expression" dxfId="8243" priority="652">
      <formula>K23="RB"</formula>
    </cfRule>
    <cfRule type="expression" dxfId="8242" priority="653">
      <formula>K23="QB"</formula>
    </cfRule>
  </conditionalFormatting>
  <conditionalFormatting sqref="K26">
    <cfRule type="expression" dxfId="8235" priority="678">
      <formula>K26="K"</formula>
    </cfRule>
    <cfRule type="expression" dxfId="8234" priority="679">
      <formula>K26="DEF"</formula>
    </cfRule>
    <cfRule type="expression" dxfId="8233" priority="680">
      <formula>K26="TE"</formula>
    </cfRule>
    <cfRule type="expression" dxfId="8232" priority="681">
      <formula>K26="WR"</formula>
    </cfRule>
    <cfRule type="expression" dxfId="8236" priority="682">
      <formula>K26="RB"</formula>
    </cfRule>
    <cfRule type="expression" dxfId="8237" priority="683">
      <formula>K26="QB"</formula>
    </cfRule>
  </conditionalFormatting>
  <conditionalFormatting sqref="K29">
    <cfRule type="expression" dxfId="8228" priority="708">
      <formula>K29="K"</formula>
    </cfRule>
    <cfRule type="expression" dxfId="8227" priority="709">
      <formula>K29="DEF"</formula>
    </cfRule>
    <cfRule type="expression" dxfId="8226" priority="710">
      <formula>K29="TE"</formula>
    </cfRule>
    <cfRule type="expression" dxfId="8231" priority="711">
      <formula>K29="WR"</formula>
    </cfRule>
    <cfRule type="expression" dxfId="8229" priority="712">
      <formula>K29="RB"</formula>
    </cfRule>
    <cfRule type="expression" dxfId="8230" priority="713">
      <formula>K29="QB"</formula>
    </cfRule>
  </conditionalFormatting>
  <conditionalFormatting sqref="K32">
    <cfRule type="expression" dxfId="8220" priority="738">
      <formula>K32="K"</formula>
    </cfRule>
    <cfRule type="expression" dxfId="8222" priority="739">
      <formula>K32="DEF"</formula>
    </cfRule>
    <cfRule type="expression" dxfId="8221" priority="740">
      <formula>K32="TE"</formula>
    </cfRule>
    <cfRule type="expression" dxfId="8225" priority="741">
      <formula>K32="WR"</formula>
    </cfRule>
    <cfRule type="expression" dxfId="8224" priority="742">
      <formula>K32="RB"</formula>
    </cfRule>
    <cfRule type="expression" dxfId="8223" priority="743">
      <formula>K32="QB"</formula>
    </cfRule>
  </conditionalFormatting>
  <conditionalFormatting sqref="K35">
    <cfRule type="expression" dxfId="8216" priority="768">
      <formula>K35="K"</formula>
    </cfRule>
    <cfRule type="expression" dxfId="8217" priority="769">
      <formula>K35="DEF"</formula>
    </cfRule>
    <cfRule type="expression" dxfId="8218" priority="770">
      <formula>K35="TE"</formula>
    </cfRule>
    <cfRule type="expression" dxfId="8215" priority="771">
      <formula>K35="WR"</formula>
    </cfRule>
    <cfRule type="expression" dxfId="8214" priority="772">
      <formula>K35="RB"</formula>
    </cfRule>
    <cfRule type="expression" dxfId="8219" priority="773">
      <formula>K35="QB"</formula>
    </cfRule>
  </conditionalFormatting>
  <conditionalFormatting sqref="K38">
    <cfRule type="expression" dxfId="8208" priority="798">
      <formula>K38="K"</formula>
    </cfRule>
    <cfRule type="expression" dxfId="8213" priority="799">
      <formula>K38="DEF"</formula>
    </cfRule>
    <cfRule type="expression" dxfId="8209" priority="800">
      <formula>K38="TE"</formula>
    </cfRule>
    <cfRule type="expression" dxfId="8210" priority="801">
      <formula>K38="WR"</formula>
    </cfRule>
    <cfRule type="expression" dxfId="8211" priority="802">
      <formula>K38="RB"</formula>
    </cfRule>
    <cfRule type="expression" dxfId="8212" priority="803">
      <formula>K38="QB"</formula>
    </cfRule>
  </conditionalFormatting>
  <conditionalFormatting sqref="K41">
    <cfRule type="expression" dxfId="8205" priority="828">
      <formula>K41="K"</formula>
    </cfRule>
    <cfRule type="expression" dxfId="8202" priority="829">
      <formula>K41="DEF"</formula>
    </cfRule>
    <cfRule type="expression" dxfId="8203" priority="830">
      <formula>K41="TE"</formula>
    </cfRule>
    <cfRule type="expression" dxfId="8204" priority="831">
      <formula>K41="WR"</formula>
    </cfRule>
    <cfRule type="expression" dxfId="8207" priority="832">
      <formula>K41="RB"</formula>
    </cfRule>
    <cfRule type="expression" dxfId="8206" priority="833">
      <formula>K41="QB"</formula>
    </cfRule>
  </conditionalFormatting>
  <conditionalFormatting sqref="K44">
    <cfRule type="expression" dxfId="8196" priority="858">
      <formula>K44="K"</formula>
    </cfRule>
    <cfRule type="expression" dxfId="8197" priority="859">
      <formula>K44="DEF"</formula>
    </cfRule>
    <cfRule type="expression" dxfId="8199" priority="860">
      <formula>K44="TE"</formula>
    </cfRule>
    <cfRule type="expression" dxfId="8198" priority="861">
      <formula>K44="WR"</formula>
    </cfRule>
    <cfRule type="expression" dxfId="8201" priority="862">
      <formula>K44="RB"</formula>
    </cfRule>
    <cfRule type="expression" dxfId="8200" priority="863">
      <formula>K44="QB"</formula>
    </cfRule>
  </conditionalFormatting>
  <conditionalFormatting sqref="K47">
    <cfRule type="expression" dxfId="8194" priority="888">
      <formula>K47="K"</formula>
    </cfRule>
    <cfRule type="expression" dxfId="8193" priority="889">
      <formula>K47="DEF"</formula>
    </cfRule>
    <cfRule type="expression" dxfId="8192" priority="890">
      <formula>K47="TE"</formula>
    </cfRule>
    <cfRule type="expression" dxfId="8191" priority="891">
      <formula>K47="WR"</formula>
    </cfRule>
    <cfRule type="expression" dxfId="8190" priority="892">
      <formula>K47="RB"</formula>
    </cfRule>
    <cfRule type="expression" dxfId="8195" priority="893">
      <formula>K47="QB"</formula>
    </cfRule>
  </conditionalFormatting>
  <conditionalFormatting sqref="L5">
    <cfRule type="expression" dxfId="8188" priority="474">
      <formula>K5="K"</formula>
    </cfRule>
    <cfRule type="expression" dxfId="8187" priority="475">
      <formula>K5="DEF"</formula>
    </cfRule>
    <cfRule type="expression" dxfId="8184" priority="476">
      <formula>K5="TE"</formula>
    </cfRule>
    <cfRule type="expression" dxfId="8189" priority="477">
      <formula>K5="WR"</formula>
    </cfRule>
    <cfRule type="expression" dxfId="8186" priority="478">
      <formula>K5="RB"</formula>
    </cfRule>
    <cfRule type="expression" dxfId="8185" priority="479">
      <formula>K5="QB"</formula>
    </cfRule>
  </conditionalFormatting>
  <conditionalFormatting sqref="L8">
    <cfRule type="expression" dxfId="8178" priority="504">
      <formula>K8="K"</formula>
    </cfRule>
    <cfRule type="expression" dxfId="8183" priority="505">
      <formula>K8="DEF"</formula>
    </cfRule>
    <cfRule type="expression" dxfId="8181" priority="506">
      <formula>K8="TE"</formula>
    </cfRule>
    <cfRule type="expression" dxfId="8182" priority="507">
      <formula>K8="WR"</formula>
    </cfRule>
    <cfRule type="expression" dxfId="8180" priority="508">
      <formula>K8="RB"</formula>
    </cfRule>
    <cfRule type="expression" dxfId="8179" priority="509">
      <formula>K8="QB"</formula>
    </cfRule>
  </conditionalFormatting>
  <conditionalFormatting sqref="L11">
    <cfRule type="expression" dxfId="8176" priority="534">
      <formula>K11="K"</formula>
    </cfRule>
    <cfRule type="expression" dxfId="8175" priority="535">
      <formula>K11="DEF"</formula>
    </cfRule>
    <cfRule type="expression" dxfId="8174" priority="536">
      <formula>K11="TE"</formula>
    </cfRule>
    <cfRule type="expression" dxfId="8173" priority="537">
      <formula>K11="WR"</formula>
    </cfRule>
    <cfRule type="expression" dxfId="8177" priority="538">
      <formula>K11="RB"</formula>
    </cfRule>
    <cfRule type="expression" dxfId="8172" priority="539">
      <formula>K11="QB"</formula>
    </cfRule>
  </conditionalFormatting>
  <conditionalFormatting sqref="L14">
    <cfRule type="expression" dxfId="8168" priority="564">
      <formula>K14="K"</formula>
    </cfRule>
    <cfRule type="expression" dxfId="8167" priority="565">
      <formula>K14="DEF"</formula>
    </cfRule>
    <cfRule type="expression" dxfId="8166" priority="566">
      <formula>K14="TE"</formula>
    </cfRule>
    <cfRule type="expression" dxfId="8171" priority="567">
      <formula>K14="WR"</formula>
    </cfRule>
    <cfRule type="expression" dxfId="8170" priority="568">
      <formula>K14="RB"</formula>
    </cfRule>
    <cfRule type="expression" dxfId="8169" priority="569">
      <formula>K14="QB"</formula>
    </cfRule>
  </conditionalFormatting>
  <conditionalFormatting sqref="L17">
    <cfRule type="expression" dxfId="8160" priority="594">
      <formula>K17="K"</formula>
    </cfRule>
    <cfRule type="expression" dxfId="8161" priority="595">
      <formula>K17="DEF"</formula>
    </cfRule>
    <cfRule type="expression" dxfId="8162" priority="596">
      <formula>K17="TE"</formula>
    </cfRule>
    <cfRule type="expression" dxfId="8163" priority="597">
      <formula>K17="WR"</formula>
    </cfRule>
    <cfRule type="expression" dxfId="8164" priority="598">
      <formula>K17="RB"</formula>
    </cfRule>
    <cfRule type="expression" dxfId="8165" priority="599">
      <formula>K17="QB"</formula>
    </cfRule>
  </conditionalFormatting>
  <conditionalFormatting sqref="L20">
    <cfRule type="expression" dxfId="8157" priority="624">
      <formula>K20="K"</formula>
    </cfRule>
    <cfRule type="expression" dxfId="8158" priority="625">
      <formula>K20="DEF"</formula>
    </cfRule>
    <cfRule type="expression" dxfId="8155" priority="626">
      <formula>K20="TE"</formula>
    </cfRule>
    <cfRule type="expression" dxfId="8159" priority="627">
      <formula>K20="WR"</formula>
    </cfRule>
    <cfRule type="expression" dxfId="8156" priority="628">
      <formula>K20="RB"</formula>
    </cfRule>
    <cfRule type="expression" dxfId="8154" priority="629">
      <formula>K20="QB"</formula>
    </cfRule>
  </conditionalFormatting>
  <conditionalFormatting sqref="L23">
    <cfRule type="expression" dxfId="8149" priority="654">
      <formula>K23="K"</formula>
    </cfRule>
    <cfRule type="expression" dxfId="8148" priority="655">
      <formula>K23="DEF"</formula>
    </cfRule>
    <cfRule type="expression" dxfId="8152" priority="656">
      <formula>K23="TE"</formula>
    </cfRule>
    <cfRule type="expression" dxfId="8151" priority="657">
      <formula>K23="WR"</formula>
    </cfRule>
    <cfRule type="expression" dxfId="8153" priority="658">
      <formula>K23="RB"</formula>
    </cfRule>
    <cfRule type="expression" dxfId="8150" priority="659">
      <formula>K23="QB"</formula>
    </cfRule>
  </conditionalFormatting>
  <conditionalFormatting sqref="L26">
    <cfRule type="expression" dxfId="8146" priority="684">
      <formula>K26="K"</formula>
    </cfRule>
    <cfRule type="expression" dxfId="8142" priority="685">
      <formula>K26="DEF"</formula>
    </cfRule>
    <cfRule type="expression" dxfId="8147" priority="686">
      <formula>K26="TE"</formula>
    </cfRule>
    <cfRule type="expression" dxfId="8143" priority="687">
      <formula>K26="WR"</formula>
    </cfRule>
    <cfRule type="expression" dxfId="8144" priority="688">
      <formula>K26="RB"</formula>
    </cfRule>
    <cfRule type="expression" dxfId="8145" priority="689">
      <formula>K26="QB"</formula>
    </cfRule>
  </conditionalFormatting>
  <conditionalFormatting sqref="L29">
    <cfRule type="expression" dxfId="8140" priority="714">
      <formula>K29="K"</formula>
    </cfRule>
    <cfRule type="expression" dxfId="8139" priority="715">
      <formula>K29="DEF"</formula>
    </cfRule>
    <cfRule type="expression" dxfId="8138" priority="716">
      <formula>K29="TE"</formula>
    </cfRule>
    <cfRule type="expression" dxfId="8141" priority="717">
      <formula>K29="WR"</formula>
    </cfRule>
    <cfRule type="expression" dxfId="8136" priority="718">
      <formula>K29="RB"</formula>
    </cfRule>
    <cfRule type="expression" dxfId="8137" priority="719">
      <formula>K29="QB"</formula>
    </cfRule>
  </conditionalFormatting>
  <conditionalFormatting sqref="L32">
    <cfRule type="expression" dxfId="8130" priority="744">
      <formula>K32="K"</formula>
    </cfRule>
    <cfRule type="expression" dxfId="8131" priority="745">
      <formula>K32="DEF"</formula>
    </cfRule>
    <cfRule type="expression" dxfId="8132" priority="746">
      <formula>K32="TE"</formula>
    </cfRule>
    <cfRule type="expression" dxfId="8135" priority="747">
      <formula>K32="WR"</formula>
    </cfRule>
    <cfRule type="expression" dxfId="8133" priority="748">
      <formula>K32="RB"</formula>
    </cfRule>
    <cfRule type="expression" dxfId="8134" priority="749">
      <formula>K32="QB"</formula>
    </cfRule>
  </conditionalFormatting>
  <conditionalFormatting sqref="L35">
    <cfRule type="expression" dxfId="8129" priority="774">
      <formula>K35="K"</formula>
    </cfRule>
    <cfRule type="expression" dxfId="8127" priority="775">
      <formula>K35="DEF"</formula>
    </cfRule>
    <cfRule type="expression" dxfId="8128" priority="776">
      <formula>K35="TE"</formula>
    </cfRule>
    <cfRule type="expression" dxfId="8126" priority="777">
      <formula>K35="WR"</formula>
    </cfRule>
    <cfRule type="expression" dxfId="8125" priority="778">
      <formula>K35="RB"</formula>
    </cfRule>
    <cfRule type="expression" dxfId="8124" priority="779">
      <formula>K35="QB"</formula>
    </cfRule>
  </conditionalFormatting>
  <conditionalFormatting sqref="L38">
    <cfRule type="expression" dxfId="8123" priority="804">
      <formula>K38="K"</formula>
    </cfRule>
    <cfRule type="expression" dxfId="8118" priority="805">
      <formula>K38="DEF"</formula>
    </cfRule>
    <cfRule type="expression" dxfId="8119" priority="806">
      <formula>K38="TE"</formula>
    </cfRule>
    <cfRule type="expression" dxfId="8120" priority="807">
      <formula>K38="WR"</formula>
    </cfRule>
    <cfRule type="expression" dxfId="8121" priority="808">
      <formula>K38="RB"</formula>
    </cfRule>
    <cfRule type="expression" dxfId="8122" priority="809">
      <formula>K38="QB"</formula>
    </cfRule>
  </conditionalFormatting>
  <conditionalFormatting sqref="L41">
    <cfRule type="expression" dxfId="8112" priority="834">
      <formula>K41="K"</formula>
    </cfRule>
    <cfRule type="expression" dxfId="8113" priority="835">
      <formula>K41="DEF"</formula>
    </cfRule>
    <cfRule type="expression" dxfId="8114" priority="836">
      <formula>K41="TE"</formula>
    </cfRule>
    <cfRule type="expression" dxfId="8115" priority="837">
      <formula>K41="WR"</formula>
    </cfRule>
    <cfRule type="expression" dxfId="8117" priority="838">
      <formula>K41="RB"</formula>
    </cfRule>
    <cfRule type="expression" dxfId="8116" priority="839">
      <formula>K41="QB"</formula>
    </cfRule>
  </conditionalFormatting>
  <conditionalFormatting sqref="L44">
    <cfRule type="expression" dxfId="8107" priority="864">
      <formula>K44="K"</formula>
    </cfRule>
    <cfRule type="expression" dxfId="8106" priority="865">
      <formula>K44="DEF"</formula>
    </cfRule>
    <cfRule type="expression" dxfId="8111" priority="866">
      <formula>K44="TE"</formula>
    </cfRule>
    <cfRule type="expression" dxfId="8108" priority="867">
      <formula>K44="WR"</formula>
    </cfRule>
    <cfRule type="expression" dxfId="8109" priority="868">
      <formula>K44="RB"</formula>
    </cfRule>
    <cfRule type="expression" dxfId="8110" priority="869">
      <formula>K44="QB"</formula>
    </cfRule>
  </conditionalFormatting>
  <conditionalFormatting sqref="L47">
    <cfRule type="expression" dxfId="8105" priority="894">
      <formula>K47="K"</formula>
    </cfRule>
    <cfRule type="expression" dxfId="8104" priority="895">
      <formula>K47="DEF"</formula>
    </cfRule>
    <cfRule type="expression" dxfId="8103" priority="896">
      <formula>K47="TE"</formula>
    </cfRule>
    <cfRule type="expression" dxfId="8102" priority="897">
      <formula>K47="WR"</formula>
    </cfRule>
    <cfRule type="expression" dxfId="8101" priority="898">
      <formula>K47="RB"</formula>
    </cfRule>
    <cfRule type="expression" dxfId="8100" priority="899">
      <formula>K47="QB"</formula>
    </cfRule>
  </conditionalFormatting>
  <conditionalFormatting sqref="N4">
    <cfRule type="expression" dxfId="8099" priority="901">
      <formula>P5="DEF"</formula>
    </cfRule>
    <cfRule type="expression" dxfId="8098" priority="902">
      <formula>P5="TE"</formula>
    </cfRule>
    <cfRule type="expression" dxfId="8097" priority="903">
      <formula>P5="WR"</formula>
    </cfRule>
    <cfRule type="expression" dxfId="8096" priority="904">
      <formula>P5="RB"</formula>
    </cfRule>
    <cfRule type="expression" dxfId="8095" priority="905">
      <formula>P5="QB"</formula>
    </cfRule>
  </conditionalFormatting>
  <conditionalFormatting sqref="N5">
    <cfRule type="expression" dxfId="8094" priority="906">
      <formula>P5="K"</formula>
    </cfRule>
    <cfRule type="expression" dxfId="8093" priority="907">
      <formula>P5="DEF"</formula>
    </cfRule>
    <cfRule type="expression" dxfId="8092" priority="908">
      <formula>P5="TE"</formula>
    </cfRule>
    <cfRule type="expression" dxfId="8091" priority="909">
      <formula>P5="WR"</formula>
    </cfRule>
    <cfRule type="expression" dxfId="8090" priority="910">
      <formula>P5="RB"</formula>
    </cfRule>
    <cfRule type="expression" dxfId="8089" priority="911">
      <formula>P5="QB"</formula>
    </cfRule>
  </conditionalFormatting>
  <conditionalFormatting sqref="N7">
    <cfRule type="expression" dxfId="8085" priority="931">
      <formula>P8="DEF"</formula>
    </cfRule>
    <cfRule type="expression" dxfId="8086" priority="932">
      <formula>P8="TE"</formula>
    </cfRule>
    <cfRule type="expression" dxfId="8084" priority="933">
      <formula>P8="WR"</formula>
    </cfRule>
    <cfRule type="expression" dxfId="8088" priority="934">
      <formula>P8="RB"</formula>
    </cfRule>
    <cfRule type="expression" dxfId="8087" priority="935">
      <formula>P8="QB"</formula>
    </cfRule>
  </conditionalFormatting>
  <conditionalFormatting sqref="N8">
    <cfRule type="expression" dxfId="8082" priority="936">
      <formula>P8="K"</formula>
    </cfRule>
    <cfRule type="expression" dxfId="8081" priority="937">
      <formula>P8="DEF"</formula>
    </cfRule>
    <cfRule type="expression" dxfId="8080" priority="938">
      <formula>P8="TE"</formula>
    </cfRule>
    <cfRule type="expression" dxfId="8083" priority="939">
      <formula>P8="WR"</formula>
    </cfRule>
    <cfRule type="expression" dxfId="8078" priority="940">
      <formula>P8="RB"</formula>
    </cfRule>
    <cfRule type="expression" dxfId="8079" priority="941">
      <formula>P8="QB"</formula>
    </cfRule>
  </conditionalFormatting>
  <conditionalFormatting sqref="N10">
    <cfRule type="expression" dxfId="8077" priority="961">
      <formula>P11="DEF"</formula>
    </cfRule>
    <cfRule type="expression" dxfId="8076" priority="962">
      <formula>P11="TE"</formula>
    </cfRule>
    <cfRule type="expression" dxfId="8075" priority="963">
      <formula>P11="WR"</formula>
    </cfRule>
    <cfRule type="expression" dxfId="8074" priority="964">
      <formula>P11="RB"</formula>
    </cfRule>
    <cfRule type="expression" dxfId="8073" priority="965">
      <formula>P11="QB"</formula>
    </cfRule>
  </conditionalFormatting>
  <conditionalFormatting sqref="N11">
    <cfRule type="expression" dxfId="8070" priority="966">
      <formula>P11="K"</formula>
    </cfRule>
    <cfRule type="expression" dxfId="8072" priority="967">
      <formula>P11="DEF"</formula>
    </cfRule>
    <cfRule type="expression" dxfId="8071" priority="968">
      <formula>P11="TE"</formula>
    </cfRule>
    <cfRule type="expression" dxfId="8069" priority="969">
      <formula>P11="WR"</formula>
    </cfRule>
    <cfRule type="expression" dxfId="8067" priority="970">
      <formula>P11="RB"</formula>
    </cfRule>
    <cfRule type="expression" dxfId="8068" priority="971">
      <formula>P11="QB"</formula>
    </cfRule>
  </conditionalFormatting>
  <conditionalFormatting sqref="N13">
    <cfRule type="expression" dxfId="8062" priority="991">
      <formula>P14="DEF"</formula>
    </cfRule>
    <cfRule type="expression" dxfId="8063" priority="992">
      <formula>P14="TE"</formula>
    </cfRule>
    <cfRule type="expression" dxfId="8064" priority="993">
      <formula>P14="WR"</formula>
    </cfRule>
    <cfRule type="expression" dxfId="8066" priority="994">
      <formula>P14="RB"</formula>
    </cfRule>
    <cfRule type="expression" dxfId="8065" priority="995">
      <formula>P14="QB"</formula>
    </cfRule>
  </conditionalFormatting>
  <conditionalFormatting sqref="N14">
    <cfRule type="expression" dxfId="8061" priority="996">
      <formula>P14="K"</formula>
    </cfRule>
    <cfRule type="expression" dxfId="8056" priority="997">
      <formula>P14="DEF"</formula>
    </cfRule>
    <cfRule type="expression" dxfId="8057" priority="998">
      <formula>P14="TE"</formula>
    </cfRule>
    <cfRule type="expression" dxfId="8058" priority="999">
      <formula>P14="WR"</formula>
    </cfRule>
    <cfRule type="expression" dxfId="8059" priority="1000">
      <formula>P14="RB"</formula>
    </cfRule>
    <cfRule type="expression" dxfId="8060" priority="1001">
      <formula>P14="QB"</formula>
    </cfRule>
  </conditionalFormatting>
  <conditionalFormatting sqref="N16">
    <cfRule type="expression" dxfId="8051" priority="1021">
      <formula>P17="DEF"</formula>
    </cfRule>
    <cfRule type="expression" dxfId="8055" priority="1022">
      <formula>P17="TE"</formula>
    </cfRule>
    <cfRule type="expression" dxfId="8054" priority="1023">
      <formula>P17="WR"</formula>
    </cfRule>
    <cfRule type="expression" dxfId="8053" priority="1024">
      <formula>P17="RB"</formula>
    </cfRule>
    <cfRule type="expression" dxfId="8052" priority="1025">
      <formula>P17="QB"</formula>
    </cfRule>
  </conditionalFormatting>
  <conditionalFormatting sqref="N17">
    <cfRule type="expression" dxfId="8046" priority="1026">
      <formula>P17="K"</formula>
    </cfRule>
    <cfRule type="expression" dxfId="8047" priority="1027">
      <formula>P17="DEF"</formula>
    </cfRule>
    <cfRule type="expression" dxfId="8048" priority="1028">
      <formula>P17="TE"</formula>
    </cfRule>
    <cfRule type="expression" dxfId="8045" priority="1029">
      <formula>P17="WR"</formula>
    </cfRule>
    <cfRule type="expression" dxfId="8049" priority="1030">
      <formula>P17="RB"</formula>
    </cfRule>
    <cfRule type="expression" dxfId="8050" priority="1031">
      <formula>P17="QB"</formula>
    </cfRule>
  </conditionalFormatting>
  <conditionalFormatting sqref="N19">
    <cfRule type="expression" dxfId="8040" priority="1051">
      <formula>P20="DEF"</formula>
    </cfRule>
    <cfRule type="expression" dxfId="8044" priority="1052">
      <formula>P20="TE"</formula>
    </cfRule>
    <cfRule type="expression" dxfId="8043" priority="1053">
      <formula>P20="WR"</formula>
    </cfRule>
    <cfRule type="expression" dxfId="8042" priority="1054">
      <formula>P20="RB"</formula>
    </cfRule>
    <cfRule type="expression" dxfId="8041" priority="1055">
      <formula>P20="QB"</formula>
    </cfRule>
  </conditionalFormatting>
  <conditionalFormatting sqref="N20">
    <cfRule type="expression" dxfId="8034" priority="1056">
      <formula>P20="K"</formula>
    </cfRule>
    <cfRule type="expression" dxfId="8035" priority="1057">
      <formula>P20="DEF"</formula>
    </cfRule>
    <cfRule type="expression" dxfId="8036" priority="1058">
      <formula>P20="TE"</formula>
    </cfRule>
    <cfRule type="expression" dxfId="8037" priority="1059">
      <formula>P20="WR"</formula>
    </cfRule>
    <cfRule type="expression" dxfId="8038" priority="1060">
      <formula>P20="RB"</formula>
    </cfRule>
    <cfRule type="expression" dxfId="8039" priority="1061">
      <formula>P20="QB"</formula>
    </cfRule>
  </conditionalFormatting>
  <conditionalFormatting sqref="N22">
    <cfRule type="expression" dxfId="8033" priority="1081">
      <formula>P23="DEF"</formula>
    </cfRule>
    <cfRule type="expression" dxfId="8031" priority="1082">
      <formula>P23="TE"</formula>
    </cfRule>
    <cfRule type="expression" dxfId="8030" priority="1083">
      <formula>P23="WR"</formula>
    </cfRule>
    <cfRule type="expression" dxfId="8029" priority="1084">
      <formula>P23="RB"</formula>
    </cfRule>
    <cfRule type="expression" dxfId="8032" priority="1085">
      <formula>P23="QB"</formula>
    </cfRule>
  </conditionalFormatting>
  <conditionalFormatting sqref="N23">
    <cfRule type="expression" dxfId="8027" priority="1086">
      <formula>P23="K"</formula>
    </cfRule>
    <cfRule type="expression" dxfId="8028" priority="1087">
      <formula>P23="DEF"</formula>
    </cfRule>
    <cfRule type="expression" dxfId="8023" priority="1088">
      <formula>P23="TE"</formula>
    </cfRule>
    <cfRule type="expression" dxfId="8024" priority="1089">
      <formula>P23="WR"</formula>
    </cfRule>
    <cfRule type="expression" dxfId="8025" priority="1090">
      <formula>P23="RB"</formula>
    </cfRule>
    <cfRule type="expression" dxfId="8026" priority="1091">
      <formula>P23="QB"</formula>
    </cfRule>
  </conditionalFormatting>
  <conditionalFormatting sqref="N25">
    <cfRule type="expression" dxfId="8022" priority="1111">
      <formula>P26="DEF"</formula>
    </cfRule>
    <cfRule type="expression" dxfId="8018" priority="1112">
      <formula>P26="TE"</formula>
    </cfRule>
    <cfRule type="expression" dxfId="8021" priority="1113">
      <formula>P26="WR"</formula>
    </cfRule>
    <cfRule type="expression" dxfId="8020" priority="1114">
      <formula>P26="RB"</formula>
    </cfRule>
    <cfRule type="expression" dxfId="8019" priority="1115">
      <formula>P26="QB"</formula>
    </cfRule>
  </conditionalFormatting>
  <conditionalFormatting sqref="N26">
    <cfRule type="expression" dxfId="8015" priority="1116">
      <formula>P26="K"</formula>
    </cfRule>
    <cfRule type="expression" dxfId="8014" priority="1117">
      <formula>P26="DEF"</formula>
    </cfRule>
    <cfRule type="expression" dxfId="8013" priority="1118">
      <formula>P26="TE"</formula>
    </cfRule>
    <cfRule type="expression" dxfId="8017" priority="1119">
      <formula>P26="WR"</formula>
    </cfRule>
    <cfRule type="expression" dxfId="8012" priority="1120">
      <formula>P26="RB"</formula>
    </cfRule>
    <cfRule type="expression" dxfId="8016" priority="1121">
      <formula>P26="QB"</formula>
    </cfRule>
  </conditionalFormatting>
  <conditionalFormatting sqref="N28">
    <cfRule type="expression" dxfId="8007" priority="1141">
      <formula>P29="DEF"</formula>
    </cfRule>
    <cfRule type="expression" dxfId="8008" priority="1142">
      <formula>P29="TE"</formula>
    </cfRule>
    <cfRule type="expression" dxfId="8009" priority="1143">
      <formula>P29="WR"</formula>
    </cfRule>
    <cfRule type="expression" dxfId="8010" priority="1144">
      <formula>P29="RB"</formula>
    </cfRule>
    <cfRule type="expression" dxfId="8011" priority="1145">
      <formula>P29="QB"</formula>
    </cfRule>
  </conditionalFormatting>
  <conditionalFormatting sqref="N29">
    <cfRule type="expression" dxfId="8006" priority="1146">
      <formula>P29="K"</formula>
    </cfRule>
    <cfRule type="expression" dxfId="8001" priority="1147">
      <formula>P29="DEF"</formula>
    </cfRule>
    <cfRule type="expression" dxfId="8002" priority="1148">
      <formula>P29="TE"</formula>
    </cfRule>
    <cfRule type="expression" dxfId="8003" priority="1149">
      <formula>P29="WR"</formula>
    </cfRule>
    <cfRule type="expression" dxfId="8004" priority="1150">
      <formula>P29="RB"</formula>
    </cfRule>
    <cfRule type="expression" dxfId="8005" priority="1151">
      <formula>P29="QB"</formula>
    </cfRule>
  </conditionalFormatting>
  <conditionalFormatting sqref="N31">
    <cfRule type="expression" dxfId="7996" priority="1171">
      <formula>P32="DEF"</formula>
    </cfRule>
    <cfRule type="expression" dxfId="7997" priority="1172">
      <formula>P32="TE"</formula>
    </cfRule>
    <cfRule type="expression" dxfId="8000" priority="1173">
      <formula>P32="WR"</formula>
    </cfRule>
    <cfRule type="expression" dxfId="7999" priority="1174">
      <formula>P32="RB"</formula>
    </cfRule>
    <cfRule type="expression" dxfId="7998" priority="1175">
      <formula>P32="QB"</formula>
    </cfRule>
  </conditionalFormatting>
  <conditionalFormatting sqref="N32">
    <cfRule type="expression" dxfId="7993" priority="1176">
      <formula>P32="K"</formula>
    </cfRule>
    <cfRule type="expression" dxfId="7991" priority="1177">
      <formula>P32="DEF"</formula>
    </cfRule>
    <cfRule type="expression" dxfId="7990" priority="1178">
      <formula>P32="TE"</formula>
    </cfRule>
    <cfRule type="expression" dxfId="7995" priority="1179">
      <formula>P32="WR"</formula>
    </cfRule>
    <cfRule type="expression" dxfId="7994" priority="1180">
      <formula>P32="RB"</formula>
    </cfRule>
    <cfRule type="expression" dxfId="7992" priority="1181">
      <formula>P32="QB"</formula>
    </cfRule>
  </conditionalFormatting>
  <conditionalFormatting sqref="N34">
    <cfRule type="expression" dxfId="7987" priority="1201">
      <formula>P35="DEF"</formula>
    </cfRule>
    <cfRule type="expression" dxfId="7988" priority="1202">
      <formula>P35="TE"</formula>
    </cfRule>
    <cfRule type="expression" dxfId="7986" priority="1203">
      <formula>P35="WR"</formula>
    </cfRule>
    <cfRule type="expression" dxfId="7989" priority="1204">
      <formula>P35="RB"</formula>
    </cfRule>
    <cfRule type="expression" dxfId="7985" priority="1205">
      <formula>P35="QB"</formula>
    </cfRule>
  </conditionalFormatting>
  <conditionalFormatting sqref="N35">
    <cfRule type="expression" dxfId="7981" priority="1206">
      <formula>P35="K"</formula>
    </cfRule>
    <cfRule type="expression" dxfId="7982" priority="1207">
      <formula>P35="DEF"</formula>
    </cfRule>
    <cfRule type="expression" dxfId="7980" priority="1208">
      <formula>P35="TE"</formula>
    </cfRule>
    <cfRule type="expression" dxfId="7983" priority="1209">
      <formula>P35="WR"</formula>
    </cfRule>
    <cfRule type="expression" dxfId="7984" priority="1210">
      <formula>P35="RB"</formula>
    </cfRule>
    <cfRule type="expression" dxfId="7979" priority="1211">
      <formula>P35="QB"</formula>
    </cfRule>
  </conditionalFormatting>
  <conditionalFormatting sqref="N37">
    <cfRule type="expression" dxfId="7975" priority="1231">
      <formula>P38="DEF"</formula>
    </cfRule>
    <cfRule type="expression" dxfId="7977" priority="1232">
      <formula>P38="TE"</formula>
    </cfRule>
    <cfRule type="expression" dxfId="7978" priority="1233">
      <formula>P38="WR"</formula>
    </cfRule>
    <cfRule type="expression" dxfId="7974" priority="1234">
      <formula>P38="RB"</formula>
    </cfRule>
    <cfRule type="expression" dxfId="7976" priority="1235">
      <formula>P38="QB"</formula>
    </cfRule>
  </conditionalFormatting>
  <conditionalFormatting sqref="N38">
    <cfRule type="expression" dxfId="7968" priority="1236">
      <formula>P38="K"</formula>
    </cfRule>
    <cfRule type="expression" dxfId="7973" priority="1237">
      <formula>P38="DEF"</formula>
    </cfRule>
    <cfRule type="expression" dxfId="7972" priority="1238">
      <formula>P38="TE"</formula>
    </cfRule>
    <cfRule type="expression" dxfId="7971" priority="1239">
      <formula>P38="WR"</formula>
    </cfRule>
    <cfRule type="expression" dxfId="7970" priority="1240">
      <formula>P38="RB"</formula>
    </cfRule>
    <cfRule type="expression" dxfId="7969" priority="1241">
      <formula>P38="QB"</formula>
    </cfRule>
  </conditionalFormatting>
  <conditionalFormatting sqref="N40">
    <cfRule type="expression" dxfId="7965" priority="1261">
      <formula>P41="DEF"</formula>
    </cfRule>
    <cfRule type="expression" dxfId="7967" priority="1262">
      <formula>P41="TE"</formula>
    </cfRule>
    <cfRule type="expression" dxfId="7964" priority="1263">
      <formula>P41="WR"</formula>
    </cfRule>
    <cfRule type="expression" dxfId="7963" priority="1264">
      <formula>P41="RB"</formula>
    </cfRule>
    <cfRule type="expression" dxfId="7966" priority="1265">
      <formula>P41="QB"</formula>
    </cfRule>
  </conditionalFormatting>
  <conditionalFormatting sqref="N41">
    <cfRule type="expression" dxfId="7960" priority="1266">
      <formula>P41="K"</formula>
    </cfRule>
    <cfRule type="expression" dxfId="7961" priority="1267">
      <formula>P41="DEF"</formula>
    </cfRule>
    <cfRule type="expression" dxfId="7959" priority="1268">
      <formula>P41="TE"</formula>
    </cfRule>
    <cfRule type="expression" dxfId="7962" priority="1269">
      <formula>P41="WR"</formula>
    </cfRule>
    <cfRule type="expression" dxfId="7958" priority="1270">
      <formula>P41="RB"</formula>
    </cfRule>
    <cfRule type="expression" dxfId="7957" priority="1271">
      <formula>P41="QB"</formula>
    </cfRule>
  </conditionalFormatting>
  <conditionalFormatting sqref="N43">
    <cfRule type="expression" dxfId="7952" priority="1291">
      <formula>P44="DEF"</formula>
    </cfRule>
    <cfRule type="expression" dxfId="7956" priority="1292">
      <formula>P44="TE"</formula>
    </cfRule>
    <cfRule type="expression" dxfId="7953" priority="1293">
      <formula>P44="WR"</formula>
    </cfRule>
    <cfRule type="expression" dxfId="7954" priority="1294">
      <formula>P44="RB"</formula>
    </cfRule>
    <cfRule type="expression" dxfId="7955" priority="1295">
      <formula>P44="QB"</formula>
    </cfRule>
  </conditionalFormatting>
  <conditionalFormatting sqref="N44">
    <cfRule type="expression" dxfId="7946" priority="1296">
      <formula>P44="K"</formula>
    </cfRule>
    <cfRule type="expression" dxfId="7947" priority="1297">
      <formula>P44="DEF"</formula>
    </cfRule>
    <cfRule type="expression" dxfId="7948" priority="1298">
      <formula>P44="TE"</formula>
    </cfRule>
    <cfRule type="expression" dxfId="7949" priority="1299">
      <formula>P44="WR"</formula>
    </cfRule>
    <cfRule type="expression" dxfId="7950" priority="1300">
      <formula>P44="RB"</formula>
    </cfRule>
    <cfRule type="expression" dxfId="7951" priority="1301">
      <formula>P44="QB"</formula>
    </cfRule>
  </conditionalFormatting>
  <conditionalFormatting sqref="N46">
    <cfRule type="expression" dxfId="7942" priority="1321">
      <formula>P47="DEF"</formula>
    </cfRule>
    <cfRule type="expression" dxfId="7941" priority="1322">
      <formula>P47="TE"</formula>
    </cfRule>
    <cfRule type="expression" dxfId="7943" priority="1323">
      <formula>P47="WR"</formula>
    </cfRule>
    <cfRule type="expression" dxfId="7944" priority="1324">
      <formula>P47="RB"</formula>
    </cfRule>
    <cfRule type="expression" dxfId="7945" priority="1325">
      <formula>P47="QB"</formula>
    </cfRule>
  </conditionalFormatting>
  <conditionalFormatting sqref="N47">
    <cfRule type="expression" dxfId="7940" priority="1326">
      <formula>P47="K"</formula>
    </cfRule>
    <cfRule type="expression" dxfId="7938" priority="1327">
      <formula>P47="DEF"</formula>
    </cfRule>
    <cfRule type="expression" dxfId="7939" priority="1328">
      <formula>P47="TE"</formula>
    </cfRule>
    <cfRule type="expression" dxfId="7937" priority="1329">
      <formula>P47="WR"</formula>
    </cfRule>
    <cfRule type="expression" dxfId="7936" priority="1330">
      <formula>P47="RB"</formula>
    </cfRule>
    <cfRule type="expression" dxfId="7935" priority="1331">
      <formula>P47="QB"</formula>
    </cfRule>
  </conditionalFormatting>
  <conditionalFormatting sqref="N4:Q4">
    <cfRule type="expression" dxfId="7934" priority="930">
      <formula>P5="K"</formula>
    </cfRule>
  </conditionalFormatting>
  <conditionalFormatting sqref="N7:Q7">
    <cfRule type="expression" dxfId="7933" priority="960">
      <formula>P8="K"</formula>
    </cfRule>
  </conditionalFormatting>
  <conditionalFormatting sqref="N10:Q10">
    <cfRule type="expression" dxfId="7932" priority="990">
      <formula>P11="K"</formula>
    </cfRule>
  </conditionalFormatting>
  <conditionalFormatting sqref="N13:Q13">
    <cfRule type="expression" dxfId="7931" priority="1020">
      <formula>P14="K"</formula>
    </cfRule>
  </conditionalFormatting>
  <conditionalFormatting sqref="N16:Q16">
    <cfRule type="expression" dxfId="7930" priority="1050">
      <formula>P17="K"</formula>
    </cfRule>
  </conditionalFormatting>
  <conditionalFormatting sqref="N19:Q19">
    <cfRule type="expression" dxfId="7929" priority="1080">
      <formula>P20="K"</formula>
    </cfRule>
  </conditionalFormatting>
  <conditionalFormatting sqref="N22:Q22">
    <cfRule type="expression" dxfId="7928" priority="1110">
      <formula>P23="K"</formula>
    </cfRule>
  </conditionalFormatting>
  <conditionalFormatting sqref="N25:Q25">
    <cfRule type="expression" dxfId="7927" priority="1140">
      <formula>P26="K"</formula>
    </cfRule>
  </conditionalFormatting>
  <conditionalFormatting sqref="N28:Q28">
    <cfRule type="expression" dxfId="7926" priority="1170">
      <formula>P29="K"</formula>
    </cfRule>
  </conditionalFormatting>
  <conditionalFormatting sqref="N31:Q31">
    <cfRule type="expression" dxfId="7925" priority="1200">
      <formula>P32="K"</formula>
    </cfRule>
  </conditionalFormatting>
  <conditionalFormatting sqref="N34:Q34">
    <cfRule type="expression" dxfId="7924" priority="1230">
      <formula>P35="K"</formula>
    </cfRule>
  </conditionalFormatting>
  <conditionalFormatting sqref="N37:Q37">
    <cfRule type="expression" dxfId="7923" priority="1260">
      <formula>P38="K"</formula>
    </cfRule>
  </conditionalFormatting>
  <conditionalFormatting sqref="N40:Q40">
    <cfRule type="expression" dxfId="7922" priority="1290">
      <formula>P41="K"</formula>
    </cfRule>
  </conditionalFormatting>
  <conditionalFormatting sqref="N43:Q43">
    <cfRule type="expression" dxfId="7921" priority="1320">
      <formula>P44="K"</formula>
    </cfRule>
  </conditionalFormatting>
  <conditionalFormatting sqref="N46:Q46">
    <cfRule type="expression" dxfId="7920" priority="1350">
      <formula>P47="K"</formula>
    </cfRule>
  </conditionalFormatting>
  <conditionalFormatting sqref="O5">
    <cfRule type="expression" dxfId="7915" priority="912">
      <formula>P5="K"</formula>
    </cfRule>
    <cfRule type="expression" dxfId="7914" priority="913">
      <formula>P5="DEF"</formula>
    </cfRule>
    <cfRule type="expression" dxfId="7916" priority="914">
      <formula>P5="TE"</formula>
    </cfRule>
    <cfRule type="expression" dxfId="7919" priority="915">
      <formula>P5="WR"</formula>
    </cfRule>
    <cfRule type="expression" dxfId="7918" priority="916">
      <formula>P5="RB"</formula>
    </cfRule>
    <cfRule type="expression" dxfId="7917" priority="917">
      <formula>P5="QB"</formula>
    </cfRule>
  </conditionalFormatting>
  <conditionalFormatting sqref="O8">
    <cfRule type="expression" dxfId="7912" priority="942">
      <formula>P8="K"</formula>
    </cfRule>
    <cfRule type="expression" dxfId="7908" priority="943">
      <formula>P8="DEF"</formula>
    </cfRule>
    <cfRule type="expression" dxfId="7909" priority="944">
      <formula>P8="TE"</formula>
    </cfRule>
    <cfRule type="expression" dxfId="7910" priority="945">
      <formula>P8="WR"</formula>
    </cfRule>
    <cfRule type="expression" dxfId="7913" priority="946">
      <formula>P8="RB"</formula>
    </cfRule>
    <cfRule type="expression" dxfId="7911" priority="947">
      <formula>P8="QB"</formula>
    </cfRule>
  </conditionalFormatting>
  <conditionalFormatting sqref="O11">
    <cfRule type="expression" dxfId="7904" priority="972">
      <formula>P11="K"</formula>
    </cfRule>
    <cfRule type="expression" dxfId="7905" priority="973">
      <formula>P11="DEF"</formula>
    </cfRule>
    <cfRule type="expression" dxfId="7907" priority="974">
      <formula>P11="TE"</formula>
    </cfRule>
    <cfRule type="expression" dxfId="7906" priority="975">
      <formula>P11="WR"</formula>
    </cfRule>
    <cfRule type="expression" dxfId="7903" priority="976">
      <formula>P11="RB"</formula>
    </cfRule>
    <cfRule type="expression" dxfId="7902" priority="977">
      <formula>P11="QB"</formula>
    </cfRule>
  </conditionalFormatting>
  <conditionalFormatting sqref="O14">
    <cfRule type="expression" dxfId="7896" priority="1002">
      <formula>P14="K"</formula>
    </cfRule>
    <cfRule type="expression" dxfId="7901" priority="1003">
      <formula>P14="DEF"</formula>
    </cfRule>
    <cfRule type="expression" dxfId="7900" priority="1004">
      <formula>P14="TE"</formula>
    </cfRule>
    <cfRule type="expression" dxfId="7899" priority="1005">
      <formula>P14="WR"</formula>
    </cfRule>
    <cfRule type="expression" dxfId="7898" priority="1006">
      <formula>P14="RB"</formula>
    </cfRule>
    <cfRule type="expression" dxfId="7897" priority="1007">
      <formula>P14="QB"</formula>
    </cfRule>
  </conditionalFormatting>
  <conditionalFormatting sqref="O17">
    <cfRule type="expression" dxfId="7894" priority="1032">
      <formula>P17="K"</formula>
    </cfRule>
    <cfRule type="expression" dxfId="7890" priority="1033">
      <formula>P17="DEF"</formula>
    </cfRule>
    <cfRule type="expression" dxfId="7895" priority="1034">
      <formula>P17="TE"</formula>
    </cfRule>
    <cfRule type="expression" dxfId="7891" priority="1035">
      <formula>P17="WR"</formula>
    </cfRule>
    <cfRule type="expression" dxfId="7892" priority="1036">
      <formula>P17="RB"</formula>
    </cfRule>
    <cfRule type="expression" dxfId="7893" priority="1037">
      <formula>P17="QB"</formula>
    </cfRule>
  </conditionalFormatting>
  <conditionalFormatting sqref="O20">
    <cfRule type="expression" dxfId="7886" priority="1062">
      <formula>P20="K"</formula>
    </cfRule>
    <cfRule type="expression" dxfId="7887" priority="1063">
      <formula>P20="DEF"</formula>
    </cfRule>
    <cfRule type="expression" dxfId="7888" priority="1064">
      <formula>P20="TE"</formula>
    </cfRule>
    <cfRule type="expression" dxfId="7889" priority="1065">
      <formula>P20="WR"</formula>
    </cfRule>
    <cfRule type="expression" dxfId="7885" priority="1066">
      <formula>P20="RB"</formula>
    </cfRule>
    <cfRule type="expression" dxfId="7884" priority="1067">
      <formula>P20="QB"</formula>
    </cfRule>
  </conditionalFormatting>
  <conditionalFormatting sqref="O23">
    <cfRule type="expression" dxfId="7879" priority="1092">
      <formula>P23="K"</formula>
    </cfRule>
    <cfRule type="expression" dxfId="7880" priority="1093">
      <formula>P23="DEF"</formula>
    </cfRule>
    <cfRule type="expression" dxfId="7881" priority="1094">
      <formula>P23="TE"</formula>
    </cfRule>
    <cfRule type="expression" dxfId="7878" priority="1095">
      <formula>P23="WR"</formula>
    </cfRule>
    <cfRule type="expression" dxfId="7882" priority="1096">
      <formula>P23="RB"</formula>
    </cfRule>
    <cfRule type="expression" dxfId="7883" priority="1097">
      <formula>P23="QB"</formula>
    </cfRule>
  </conditionalFormatting>
  <conditionalFormatting sqref="O26">
    <cfRule type="expression" dxfId="7872" priority="1122">
      <formula>P26="K"</formula>
    </cfRule>
    <cfRule type="expression" dxfId="7877" priority="1123">
      <formula>P26="DEF"</formula>
    </cfRule>
    <cfRule type="expression" dxfId="7876" priority="1124">
      <formula>P26="TE"</formula>
    </cfRule>
    <cfRule type="expression" dxfId="7875" priority="1125">
      <formula>P26="WR"</formula>
    </cfRule>
    <cfRule type="expression" dxfId="7874" priority="1126">
      <formula>P26="RB"</formula>
    </cfRule>
    <cfRule type="expression" dxfId="7873" priority="1127">
      <formula>P26="QB"</formula>
    </cfRule>
  </conditionalFormatting>
  <conditionalFormatting sqref="O29">
    <cfRule type="expression" dxfId="7871" priority="1152">
      <formula>P29="K"</formula>
    </cfRule>
    <cfRule type="expression" dxfId="7870" priority="1153">
      <formula>P29="DEF"</formula>
    </cfRule>
    <cfRule type="expression" dxfId="7869" priority="1154">
      <formula>P29="TE"</formula>
    </cfRule>
    <cfRule type="expression" dxfId="7868" priority="1155">
      <formula>P29="WR"</formula>
    </cfRule>
    <cfRule type="expression" dxfId="7867" priority="1156">
      <formula>P29="RB"</formula>
    </cfRule>
    <cfRule type="expression" dxfId="7866" priority="1157">
      <formula>P29="QB"</formula>
    </cfRule>
  </conditionalFormatting>
  <conditionalFormatting sqref="O32">
    <cfRule type="expression" dxfId="7860" priority="1182">
      <formula>P32="K"</formula>
    </cfRule>
    <cfRule type="expression" dxfId="7861" priority="1183">
      <formula>P32="DEF"</formula>
    </cfRule>
    <cfRule type="expression" dxfId="7862" priority="1184">
      <formula>P32="TE"</formula>
    </cfRule>
    <cfRule type="expression" dxfId="7863" priority="1185">
      <formula>P32="WR"</formula>
    </cfRule>
    <cfRule type="expression" dxfId="7864" priority="1186">
      <formula>P32="RB"</formula>
    </cfRule>
    <cfRule type="expression" dxfId="7865" priority="1187">
      <formula>P32="QB"</formula>
    </cfRule>
  </conditionalFormatting>
  <conditionalFormatting sqref="O35">
    <cfRule type="expression" dxfId="7859" priority="1212">
      <formula>P35="K"</formula>
    </cfRule>
    <cfRule type="expression" dxfId="7858" priority="1213">
      <formula>P35="DEF"</formula>
    </cfRule>
    <cfRule type="expression" dxfId="7857" priority="1214">
      <formula>P35="TE"</formula>
    </cfRule>
    <cfRule type="expression" dxfId="7856" priority="1215">
      <formula>P35="WR"</formula>
    </cfRule>
    <cfRule type="expression" dxfId="7855" priority="1216">
      <formula>P35="RB"</formula>
    </cfRule>
    <cfRule type="expression" dxfId="7854" priority="1217">
      <formula>P35="QB"</formula>
    </cfRule>
  </conditionalFormatting>
  <conditionalFormatting sqref="O38">
    <cfRule type="expression" dxfId="7853" priority="1242">
      <formula>P38="K"</formula>
    </cfRule>
    <cfRule type="expression" dxfId="7848" priority="1243">
      <formula>P38="DEF"</formula>
    </cfRule>
    <cfRule type="expression" dxfId="7849" priority="1244">
      <formula>P38="TE"</formula>
    </cfRule>
    <cfRule type="expression" dxfId="7850" priority="1245">
      <formula>P38="WR"</formula>
    </cfRule>
    <cfRule type="expression" dxfId="7851" priority="1246">
      <formula>P38="RB"</formula>
    </cfRule>
    <cfRule type="expression" dxfId="7852" priority="1247">
      <formula>P38="QB"</formula>
    </cfRule>
  </conditionalFormatting>
  <conditionalFormatting sqref="O41">
    <cfRule type="expression" dxfId="7846" priority="1272">
      <formula>P41="K"</formula>
    </cfRule>
    <cfRule type="expression" dxfId="7845" priority="1273">
      <formula>P41="DEF"</formula>
    </cfRule>
    <cfRule type="expression" dxfId="7844" priority="1274">
      <formula>P41="TE"</formula>
    </cfRule>
    <cfRule type="expression" dxfId="7843" priority="1275">
      <formula>P41="WR"</formula>
    </cfRule>
    <cfRule type="expression" dxfId="7842" priority="1276">
      <formula>P41="RB"</formula>
    </cfRule>
    <cfRule type="expression" dxfId="7847" priority="1277">
      <formula>P41="QB"</formula>
    </cfRule>
  </conditionalFormatting>
  <conditionalFormatting sqref="O44">
    <cfRule type="expression" dxfId="7840" priority="1302">
      <formula>P44="K"</formula>
    </cfRule>
    <cfRule type="expression" dxfId="7839" priority="1303">
      <formula>P44="DEF"</formula>
    </cfRule>
    <cfRule type="expression" dxfId="7838" priority="1304">
      <formula>P44="TE"</formula>
    </cfRule>
    <cfRule type="expression" dxfId="7837" priority="1305">
      <formula>P44="WR"</formula>
    </cfRule>
    <cfRule type="expression" dxfId="7841" priority="1306">
      <formula>P44="RB"</formula>
    </cfRule>
    <cfRule type="expression" dxfId="7836" priority="1307">
      <formula>P44="QB"</formula>
    </cfRule>
  </conditionalFormatting>
  <conditionalFormatting sqref="O47">
    <cfRule type="expression" dxfId="7830" priority="1332">
      <formula>P47="K"</formula>
    </cfRule>
    <cfRule type="expression" dxfId="7831" priority="1333">
      <formula>P47="DEF"</formula>
    </cfRule>
    <cfRule type="expression" dxfId="7832" priority="1334">
      <formula>P47="TE"</formula>
    </cfRule>
    <cfRule type="expression" dxfId="7833" priority="1335">
      <formula>P47="WR"</formula>
    </cfRule>
    <cfRule type="expression" dxfId="7834" priority="1336">
      <formula>P47="RB"</formula>
    </cfRule>
    <cfRule type="expression" dxfId="7835" priority="1337">
      <formula>P47="QB"</formula>
    </cfRule>
  </conditionalFormatting>
  <conditionalFormatting sqref="P5">
    <cfRule type="expression" dxfId="7827" priority="918">
      <formula>P5="K"</formula>
    </cfRule>
    <cfRule type="expression" dxfId="7829" priority="919">
      <formula>P5="DEF"</formula>
    </cfRule>
    <cfRule type="expression" dxfId="7824" priority="920">
      <formula>P5="TE"</formula>
    </cfRule>
    <cfRule type="expression" dxfId="7825" priority="921">
      <formula>P5="WR"</formula>
    </cfRule>
    <cfRule type="expression" dxfId="7826" priority="922">
      <formula>P5="RB"</formula>
    </cfRule>
    <cfRule type="expression" dxfId="7828" priority="923">
      <formula>P5="QB"</formula>
    </cfRule>
  </conditionalFormatting>
  <conditionalFormatting sqref="P8">
    <cfRule type="expression" dxfId="7820" priority="948">
      <formula>P8="K"</formula>
    </cfRule>
    <cfRule type="expression" dxfId="7818" priority="949">
      <formula>P8="DEF"</formula>
    </cfRule>
    <cfRule type="expression" dxfId="7819" priority="950">
      <formula>P8="TE"</formula>
    </cfRule>
    <cfRule type="expression" dxfId="7821" priority="951">
      <formula>P8="WR"</formula>
    </cfRule>
    <cfRule type="expression" dxfId="7822" priority="952">
      <formula>P8="RB"</formula>
    </cfRule>
    <cfRule type="expression" dxfId="7823" priority="953">
      <formula>P8="QB"</formula>
    </cfRule>
  </conditionalFormatting>
  <conditionalFormatting sqref="P11">
    <cfRule type="expression" dxfId="7816" priority="978">
      <formula>P11="K"</formula>
    </cfRule>
    <cfRule type="expression" dxfId="7812" priority="979">
      <formula>P11="DEF"</formula>
    </cfRule>
    <cfRule type="expression" dxfId="7817" priority="980">
      <formula>P11="TE"</formula>
    </cfRule>
    <cfRule type="expression" dxfId="7813" priority="981">
      <formula>P11="WR"</formula>
    </cfRule>
    <cfRule type="expression" dxfId="7814" priority="982">
      <formula>P11="RB"</formula>
    </cfRule>
    <cfRule type="expression" dxfId="7815" priority="983">
      <formula>P11="QB"</formula>
    </cfRule>
  </conditionalFormatting>
  <conditionalFormatting sqref="P14">
    <cfRule type="expression" dxfId="7808" priority="1008">
      <formula>P14="K"</formula>
    </cfRule>
    <cfRule type="expression" dxfId="7807" priority="1009">
      <formula>P14="DEF"</formula>
    </cfRule>
    <cfRule type="expression" dxfId="7806" priority="1010">
      <formula>P14="TE"</formula>
    </cfRule>
    <cfRule type="expression" dxfId="7809" priority="1011">
      <formula>P14="WR"</formula>
    </cfRule>
    <cfRule type="expression" dxfId="7810" priority="1012">
      <formula>P14="RB"</formula>
    </cfRule>
    <cfRule type="expression" dxfId="7811" priority="1013">
      <formula>P14="QB"</formula>
    </cfRule>
  </conditionalFormatting>
  <conditionalFormatting sqref="P17">
    <cfRule type="expression" dxfId="7800" priority="1038">
      <formula>P17="K"</formula>
    </cfRule>
    <cfRule type="expression" dxfId="7805" priority="1039">
      <formula>P17="DEF"</formula>
    </cfRule>
    <cfRule type="expression" dxfId="7801" priority="1040">
      <formula>P17="TE"</formula>
    </cfRule>
    <cfRule type="expression" dxfId="7804" priority="1041">
      <formula>P17="WR"</formula>
    </cfRule>
    <cfRule type="expression" dxfId="7803" priority="1042">
      <formula>P17="RB"</formula>
    </cfRule>
    <cfRule type="expression" dxfId="7802" priority="1043">
      <formula>P17="QB"</formula>
    </cfRule>
  </conditionalFormatting>
  <conditionalFormatting sqref="P20">
    <cfRule type="expression" dxfId="7797" priority="1068">
      <formula>P20="K"</formula>
    </cfRule>
    <cfRule type="expression" dxfId="7798" priority="1069">
      <formula>P20="DEF"</formula>
    </cfRule>
    <cfRule type="expression" dxfId="7799" priority="1070">
      <formula>P20="TE"</formula>
    </cfRule>
    <cfRule type="expression" dxfId="7796" priority="1071">
      <formula>P20="WR"</formula>
    </cfRule>
    <cfRule type="expression" dxfId="7794" priority="1072">
      <formula>P20="RB"</formula>
    </cfRule>
    <cfRule type="expression" dxfId="7795" priority="1073">
      <formula>P20="QB"</formula>
    </cfRule>
  </conditionalFormatting>
  <conditionalFormatting sqref="P23">
    <cfRule type="expression" dxfId="7793" priority="1098">
      <formula>P23="K"</formula>
    </cfRule>
    <cfRule type="expression" dxfId="7788" priority="1099">
      <formula>P23="DEF"</formula>
    </cfRule>
    <cfRule type="expression" dxfId="7789" priority="1100">
      <formula>P23="TE"</formula>
    </cfRule>
    <cfRule type="expression" dxfId="7790" priority="1101">
      <formula>P23="WR"</formula>
    </cfRule>
    <cfRule type="expression" dxfId="7791" priority="1102">
      <formula>P23="RB"</formula>
    </cfRule>
    <cfRule type="expression" dxfId="7792" priority="1103">
      <formula>P23="QB"</formula>
    </cfRule>
  </conditionalFormatting>
  <conditionalFormatting sqref="P26">
    <cfRule type="expression" dxfId="7783" priority="1128">
      <formula>P26="K"</formula>
    </cfRule>
    <cfRule type="expression" dxfId="7782" priority="1129">
      <formula>P26="DEF"</formula>
    </cfRule>
    <cfRule type="expression" dxfId="7784" priority="1130">
      <formula>P26="TE"</formula>
    </cfRule>
    <cfRule type="expression" dxfId="7787" priority="1131">
      <formula>P26="WR"</formula>
    </cfRule>
    <cfRule type="expression" dxfId="7786" priority="1132">
      <formula>P26="RB"</formula>
    </cfRule>
    <cfRule type="expression" dxfId="7785" priority="1133">
      <formula>P26="QB"</formula>
    </cfRule>
  </conditionalFormatting>
  <conditionalFormatting sqref="P29">
    <cfRule type="expression" dxfId="7781" priority="1158">
      <formula>P29="K"</formula>
    </cfRule>
    <cfRule type="expression" dxfId="7780" priority="1159">
      <formula>P29="DEF"</formula>
    </cfRule>
    <cfRule type="expression" dxfId="7779" priority="1160">
      <formula>P29="TE"</formula>
    </cfRule>
    <cfRule type="expression" dxfId="7778" priority="1161">
      <formula>P29="WR"</formula>
    </cfRule>
    <cfRule type="expression" dxfId="7777" priority="1162">
      <formula>P29="RB"</formula>
    </cfRule>
    <cfRule type="expression" dxfId="7776" priority="1163">
      <formula>P29="QB"</formula>
    </cfRule>
  </conditionalFormatting>
  <conditionalFormatting sqref="P32">
    <cfRule type="expression" dxfId="7775" priority="1188">
      <formula>P32="K"</formula>
    </cfRule>
    <cfRule type="expression" dxfId="7774" priority="1189">
      <formula>P32="DEF"</formula>
    </cfRule>
    <cfRule type="expression" dxfId="7773" priority="1190">
      <formula>P32="TE"</formula>
    </cfRule>
    <cfRule type="expression" dxfId="7772" priority="1191">
      <formula>P32="WR"</formula>
    </cfRule>
    <cfRule type="expression" dxfId="7771" priority="1192">
      <formula>P32="RB"</formula>
    </cfRule>
    <cfRule type="expression" dxfId="7770" priority="1193">
      <formula>P32="QB"</formula>
    </cfRule>
  </conditionalFormatting>
  <conditionalFormatting sqref="P35">
    <cfRule type="expression" dxfId="7766" priority="1218">
      <formula>P35="K"</formula>
    </cfRule>
    <cfRule type="expression" dxfId="7764" priority="1219">
      <formula>P35="DEF"</formula>
    </cfRule>
    <cfRule type="expression" dxfId="7765" priority="1220">
      <formula>P35="TE"</formula>
    </cfRule>
    <cfRule type="expression" dxfId="7767" priority="1221">
      <formula>P35="WR"</formula>
    </cfRule>
    <cfRule type="expression" dxfId="7768" priority="1222">
      <formula>P35="RB"</formula>
    </cfRule>
    <cfRule type="expression" dxfId="7769" priority="1223">
      <formula>P35="QB"</formula>
    </cfRule>
  </conditionalFormatting>
  <conditionalFormatting sqref="P38">
    <cfRule type="expression" dxfId="7758" priority="1248">
      <formula>P38="K"</formula>
    </cfRule>
    <cfRule type="expression" dxfId="7759" priority="1249">
      <formula>P38="DEF"</formula>
    </cfRule>
    <cfRule type="expression" dxfId="7763" priority="1250">
      <formula>P38="TE"</formula>
    </cfRule>
    <cfRule type="expression" dxfId="7760" priority="1251">
      <formula>P38="WR"</formula>
    </cfRule>
    <cfRule type="expression" dxfId="7761" priority="1252">
      <formula>P38="RB"</formula>
    </cfRule>
    <cfRule type="expression" dxfId="7762" priority="1253">
      <formula>P38="QB"</formula>
    </cfRule>
  </conditionalFormatting>
  <conditionalFormatting sqref="P41">
    <cfRule type="expression" dxfId="7757" priority="1278">
      <formula>P41="K"</formula>
    </cfRule>
    <cfRule type="expression" dxfId="7756" priority="1279">
      <formula>P41="DEF"</formula>
    </cfRule>
    <cfRule type="expression" dxfId="7755" priority="1280">
      <formula>P41="TE"</formula>
    </cfRule>
    <cfRule type="expression" dxfId="7754" priority="1281">
      <formula>P41="WR"</formula>
    </cfRule>
    <cfRule type="expression" dxfId="7753" priority="1282">
      <formula>P41="RB"</formula>
    </cfRule>
    <cfRule type="expression" dxfId="7752" priority="1283">
      <formula>P41="QB"</formula>
    </cfRule>
  </conditionalFormatting>
  <conditionalFormatting sqref="P44">
    <cfRule type="expression" dxfId="7746" priority="1308">
      <formula>P44="K"</formula>
    </cfRule>
    <cfRule type="expression" dxfId="7747" priority="1309">
      <formula>P44="DEF"</formula>
    </cfRule>
    <cfRule type="expression" dxfId="7748" priority="1310">
      <formula>P44="TE"</formula>
    </cfRule>
    <cfRule type="expression" dxfId="7751" priority="1311">
      <formula>P44="WR"</formula>
    </cfRule>
    <cfRule type="expression" dxfId="7749" priority="1312">
      <formula>P44="RB"</formula>
    </cfRule>
    <cfRule type="expression" dxfId="7750" priority="1313">
      <formula>P44="QB"</formula>
    </cfRule>
  </conditionalFormatting>
  <conditionalFormatting sqref="P47">
    <cfRule type="expression" dxfId="7740" priority="1338">
      <formula>P47="K"</formula>
    </cfRule>
    <cfRule type="expression" dxfId="7741" priority="1339">
      <formula>P47="DEF"</formula>
    </cfRule>
    <cfRule type="expression" dxfId="7742" priority="1340">
      <formula>P47="TE"</formula>
    </cfRule>
    <cfRule type="expression" dxfId="7743" priority="1341">
      <formula>P47="WR"</formula>
    </cfRule>
    <cfRule type="expression" dxfId="7744" priority="1342">
      <formula>P47="RB"</formula>
    </cfRule>
    <cfRule type="expression" dxfId="7745" priority="1343">
      <formula>P47="QB"</formula>
    </cfRule>
  </conditionalFormatting>
  <conditionalFormatting sqref="Q5">
    <cfRule type="expression" dxfId="7734" priority="924">
      <formula>P5="K"</formula>
    </cfRule>
    <cfRule type="expression" dxfId="7735" priority="925">
      <formula>P5="DEF"</formula>
    </cfRule>
    <cfRule type="expression" dxfId="7736" priority="926">
      <formula>P5="TE"</formula>
    </cfRule>
    <cfRule type="expression" dxfId="7739" priority="927">
      <formula>P5="WR"</formula>
    </cfRule>
    <cfRule type="expression" dxfId="7737" priority="928">
      <formula>P5="RB"</formula>
    </cfRule>
    <cfRule type="expression" dxfId="7738" priority="929">
      <formula>P5="QB"</formula>
    </cfRule>
  </conditionalFormatting>
  <conditionalFormatting sqref="Q8">
    <cfRule type="expression" dxfId="7733" priority="954">
      <formula>P8="K"</formula>
    </cfRule>
    <cfRule type="expression" dxfId="7732" priority="955">
      <formula>P8="DEF"</formula>
    </cfRule>
    <cfRule type="expression" dxfId="7731" priority="956">
      <formula>P8="TE"</formula>
    </cfRule>
    <cfRule type="expression" dxfId="7730" priority="957">
      <formula>P8="WR"</formula>
    </cfRule>
    <cfRule type="expression" dxfId="7729" priority="958">
      <formula>P8="RB"</formula>
    </cfRule>
    <cfRule type="expression" dxfId="7728" priority="959">
      <formula>P8="QB"</formula>
    </cfRule>
  </conditionalFormatting>
  <conditionalFormatting sqref="Q11">
    <cfRule type="expression" dxfId="7726" priority="984">
      <formula>P11="K"</formula>
    </cfRule>
    <cfRule type="expression" dxfId="7725" priority="985">
      <formula>P11="DEF"</formula>
    </cfRule>
    <cfRule type="expression" dxfId="7724" priority="986">
      <formula>P11="TE"</formula>
    </cfRule>
    <cfRule type="expression" dxfId="7723" priority="987">
      <formula>P11="WR"</formula>
    </cfRule>
    <cfRule type="expression" dxfId="7727" priority="988">
      <formula>P11="RB"</formula>
    </cfRule>
    <cfRule type="expression" dxfId="7722" priority="989">
      <formula>P11="QB"</formula>
    </cfRule>
  </conditionalFormatting>
  <conditionalFormatting sqref="Q14">
    <cfRule type="expression" dxfId="7716" priority="1014">
      <formula>P14="K"</formula>
    </cfRule>
    <cfRule type="expression" dxfId="7717" priority="1015">
      <formula>P14="DEF"</formula>
    </cfRule>
    <cfRule type="expression" dxfId="7718" priority="1016">
      <formula>P14="TE"</formula>
    </cfRule>
    <cfRule type="expression" dxfId="7719" priority="1017">
      <formula>P14="WR"</formula>
    </cfRule>
    <cfRule type="expression" dxfId="7720" priority="1018">
      <formula>P14="RB"</formula>
    </cfRule>
    <cfRule type="expression" dxfId="7721" priority="1019">
      <formula>P14="QB"</formula>
    </cfRule>
  </conditionalFormatting>
  <conditionalFormatting sqref="Q17">
    <cfRule type="expression" dxfId="7712" priority="1044">
      <formula>P17="K"</formula>
    </cfRule>
    <cfRule type="expression" dxfId="7711" priority="1045">
      <formula>P17="DEF"</formula>
    </cfRule>
    <cfRule type="expression" dxfId="7710" priority="1046">
      <formula>P17="TE"</formula>
    </cfRule>
    <cfRule type="expression" dxfId="7715" priority="1047">
      <formula>P17="WR"</formula>
    </cfRule>
    <cfRule type="expression" dxfId="7714" priority="1048">
      <formula>P17="RB"</formula>
    </cfRule>
    <cfRule type="expression" dxfId="7713" priority="1049">
      <formula>P17="QB"</formula>
    </cfRule>
  </conditionalFormatting>
  <conditionalFormatting sqref="Q20">
    <cfRule type="expression" dxfId="7709" priority="1074">
      <formula>P20="K"</formula>
    </cfRule>
    <cfRule type="expression" dxfId="7706" priority="1075">
      <formula>P20="DEF"</formula>
    </cfRule>
    <cfRule type="expression" dxfId="7705" priority="1076">
      <formula>P20="TE"</formula>
    </cfRule>
    <cfRule type="expression" dxfId="7704" priority="1077">
      <formula>P20="WR"</formula>
    </cfRule>
    <cfRule type="expression" dxfId="7708" priority="1078">
      <formula>P20="RB"</formula>
    </cfRule>
    <cfRule type="expression" dxfId="7707" priority="1079">
      <formula>P20="QB"</formula>
    </cfRule>
  </conditionalFormatting>
  <conditionalFormatting sqref="Q23">
    <cfRule type="expression" dxfId="7703" priority="1104">
      <formula>P23="K"</formula>
    </cfRule>
    <cfRule type="expression" dxfId="7702" priority="1105">
      <formula>P23="DEF"</formula>
    </cfRule>
    <cfRule type="expression" dxfId="7701" priority="1106">
      <formula>P23="TE"</formula>
    </cfRule>
    <cfRule type="expression" dxfId="7700" priority="1107">
      <formula>P23="WR"</formula>
    </cfRule>
    <cfRule type="expression" dxfId="7699" priority="1108">
      <formula>P23="RB"</formula>
    </cfRule>
    <cfRule type="expression" dxfId="7698" priority="1109">
      <formula>P23="QB"</formula>
    </cfRule>
  </conditionalFormatting>
  <conditionalFormatting sqref="Q26">
    <cfRule type="expression" dxfId="7697" priority="1134">
      <formula>P26="K"</formula>
    </cfRule>
    <cfRule type="expression" dxfId="7692" priority="1135">
      <formula>P26="DEF"</formula>
    </cfRule>
    <cfRule type="expression" dxfId="7693" priority="1136">
      <formula>P26="TE"</formula>
    </cfRule>
    <cfRule type="expression" dxfId="7694" priority="1137">
      <formula>P26="WR"</formula>
    </cfRule>
    <cfRule type="expression" dxfId="7695" priority="1138">
      <formula>P26="RB"</formula>
    </cfRule>
    <cfRule type="expression" dxfId="7696" priority="1139">
      <formula>P26="QB"</formula>
    </cfRule>
  </conditionalFormatting>
  <conditionalFormatting sqref="Q29">
    <cfRule type="expression" dxfId="7687" priority="1164">
      <formula>P29="K"</formula>
    </cfRule>
    <cfRule type="expression" dxfId="7688" priority="1165">
      <formula>P29="DEF"</formula>
    </cfRule>
    <cfRule type="expression" dxfId="7689" priority="1166">
      <formula>P29="TE"</formula>
    </cfRule>
    <cfRule type="expression" dxfId="7690" priority="1167">
      <formula>P29="WR"</formula>
    </cfRule>
    <cfRule type="expression" dxfId="7691" priority="1168">
      <formula>P29="RB"</formula>
    </cfRule>
    <cfRule type="expression" dxfId="7686" priority="1169">
      <formula>P29="QB"</formula>
    </cfRule>
  </conditionalFormatting>
  <conditionalFormatting sqref="Q32">
    <cfRule type="expression" dxfId="7680" priority="1194">
      <formula>P32="K"</formula>
    </cfRule>
    <cfRule type="expression" dxfId="7681" priority="1195">
      <formula>P32="DEF"</formula>
    </cfRule>
    <cfRule type="expression" dxfId="7684" priority="1196">
      <formula>P32="TE"</formula>
    </cfRule>
    <cfRule type="expression" dxfId="7685" priority="1197">
      <formula>P32="WR"</formula>
    </cfRule>
    <cfRule type="expression" dxfId="7683" priority="1198">
      <formula>P32="RB"</formula>
    </cfRule>
    <cfRule type="expression" dxfId="7682" priority="1199">
      <formula>P32="QB"</formula>
    </cfRule>
  </conditionalFormatting>
  <conditionalFormatting sqref="Q35">
    <cfRule type="expression" dxfId="7676" priority="1224">
      <formula>P35="K"</formula>
    </cfRule>
    <cfRule type="expression" dxfId="7675" priority="1225">
      <formula>P35="DEF"</formula>
    </cfRule>
    <cfRule type="expression" dxfId="7674" priority="1226">
      <formula>P35="TE"</formula>
    </cfRule>
    <cfRule type="expression" dxfId="7677" priority="1227">
      <formula>P35="WR"</formula>
    </cfRule>
    <cfRule type="expression" dxfId="7678" priority="1228">
      <formula>P35="RB"</formula>
    </cfRule>
    <cfRule type="expression" dxfId="7679" priority="1229">
      <formula>P35="QB"</formula>
    </cfRule>
  </conditionalFormatting>
  <conditionalFormatting sqref="Q38">
    <cfRule type="expression" dxfId="7669" priority="1254">
      <formula>P38="K"</formula>
    </cfRule>
    <cfRule type="expression" dxfId="7668" priority="1255">
      <formula>P38="DEF"</formula>
    </cfRule>
    <cfRule type="expression" dxfId="7673" priority="1256">
      <formula>P38="TE"</formula>
    </cfRule>
    <cfRule type="expression" dxfId="7672" priority="1257">
      <formula>P38="WR"</formula>
    </cfRule>
    <cfRule type="expression" dxfId="7671" priority="1258">
      <formula>P38="RB"</formula>
    </cfRule>
    <cfRule type="expression" dxfId="7670" priority="1259">
      <formula>P38="QB"</formula>
    </cfRule>
  </conditionalFormatting>
  <conditionalFormatting sqref="Q41">
    <cfRule type="expression" dxfId="7666" priority="1284">
      <formula>P41="K"</formula>
    </cfRule>
    <cfRule type="expression" dxfId="7665" priority="1285">
      <formula>P41="DEF"</formula>
    </cfRule>
    <cfRule type="expression" dxfId="7664" priority="1286">
      <formula>P41="TE"</formula>
    </cfRule>
    <cfRule type="expression" dxfId="7663" priority="1287">
      <formula>P41="WR"</formula>
    </cfRule>
    <cfRule type="expression" dxfId="7667" priority="1288">
      <formula>P41="RB"</formula>
    </cfRule>
    <cfRule type="expression" dxfId="7662" priority="1289">
      <formula>P41="QB"</formula>
    </cfRule>
  </conditionalFormatting>
  <conditionalFormatting sqref="Q44">
    <cfRule type="expression" dxfId="7656" priority="1314">
      <formula>P44="K"</formula>
    </cfRule>
    <cfRule type="expression" dxfId="7658" priority="1315">
      <formula>P44="DEF"</formula>
    </cfRule>
    <cfRule type="expression" dxfId="7659" priority="1316">
      <formula>P44="TE"</formula>
    </cfRule>
    <cfRule type="expression" dxfId="7660" priority="1317">
      <formula>P44="WR"</formula>
    </cfRule>
    <cfRule type="expression" dxfId="7661" priority="1318">
      <formula>P44="RB"</formula>
    </cfRule>
    <cfRule type="expression" dxfId="7657" priority="1319">
      <formula>P44="QB"</formula>
    </cfRule>
  </conditionalFormatting>
  <conditionalFormatting sqref="Q47">
    <cfRule type="expression" dxfId="7655" priority="1344">
      <formula>P47="K"</formula>
    </cfRule>
    <cfRule type="expression" dxfId="7654" priority="1345">
      <formula>P47="DEF"</formula>
    </cfRule>
    <cfRule type="expression" dxfId="7653" priority="1346">
      <formula>P47="TE"</formula>
    </cfRule>
    <cfRule type="expression" dxfId="7652" priority="1347">
      <formula>P47="WR"</formula>
    </cfRule>
    <cfRule type="expression" dxfId="7651" priority="1348">
      <formula>P47="RB"</formula>
    </cfRule>
    <cfRule type="expression" dxfId="7650" priority="1349">
      <formula>P47="QB"</formula>
    </cfRule>
  </conditionalFormatting>
  <conditionalFormatting sqref="S4">
    <cfRule type="expression" dxfId="7649" priority="1351">
      <formula>U5="DEF"</formula>
    </cfRule>
    <cfRule type="expression" dxfId="7648" priority="1352">
      <formula>U5="TE"</formula>
    </cfRule>
    <cfRule type="expression" dxfId="7647" priority="1353">
      <formula>U5="WR"</formula>
    </cfRule>
    <cfRule type="expression" dxfId="7646" priority="1354">
      <formula>U5="RB"</formula>
    </cfRule>
    <cfRule type="expression" dxfId="7645" priority="1355">
      <formula>U5="QB"</formula>
    </cfRule>
  </conditionalFormatting>
  <conditionalFormatting sqref="S5">
    <cfRule type="expression" dxfId="7644" priority="1356">
      <formula>U5="K"</formula>
    </cfRule>
    <cfRule type="expression" dxfId="7643" priority="1357">
      <formula>U5="DEF"</formula>
    </cfRule>
    <cfRule type="expression" dxfId="7642" priority="1358">
      <formula>U5="TE"</formula>
    </cfRule>
    <cfRule type="expression" dxfId="7641" priority="1359">
      <formula>U5="WR"</formula>
    </cfRule>
    <cfRule type="expression" dxfId="7640" priority="1360">
      <formula>U5="RB"</formula>
    </cfRule>
    <cfRule type="expression" dxfId="7639" priority="1361">
      <formula>U5="QB"</formula>
    </cfRule>
  </conditionalFormatting>
  <conditionalFormatting sqref="S7">
    <cfRule type="expression" dxfId="7638" priority="1381">
      <formula>U8="DEF"</formula>
    </cfRule>
    <cfRule type="expression" dxfId="7637" priority="1382">
      <formula>U8="TE"</formula>
    </cfRule>
    <cfRule type="expression" dxfId="7636" priority="1383">
      <formula>U8="WR"</formula>
    </cfRule>
    <cfRule type="expression" dxfId="7635" priority="1384">
      <formula>U8="RB"</formula>
    </cfRule>
    <cfRule type="expression" dxfId="7634" priority="1385">
      <formula>U8="QB"</formula>
    </cfRule>
  </conditionalFormatting>
  <conditionalFormatting sqref="S8">
    <cfRule type="expression" dxfId="7633" priority="1386">
      <formula>U8="K"</formula>
    </cfRule>
    <cfRule type="expression" dxfId="7632" priority="1387">
      <formula>U8="DEF"</formula>
    </cfRule>
    <cfRule type="expression" dxfId="7631" priority="1388">
      <formula>U8="TE"</formula>
    </cfRule>
    <cfRule type="expression" dxfId="7630" priority="1389">
      <formula>U8="WR"</formula>
    </cfRule>
    <cfRule type="expression" dxfId="7629" priority="1390">
      <formula>U8="RB"</formula>
    </cfRule>
    <cfRule type="expression" dxfId="7628" priority="1391">
      <formula>U8="QB"</formula>
    </cfRule>
  </conditionalFormatting>
  <conditionalFormatting sqref="S10">
    <cfRule type="expression" dxfId="7623" priority="1411">
      <formula>U11="DEF"</formula>
    </cfRule>
    <cfRule type="expression" dxfId="7624" priority="1412">
      <formula>U11="TE"</formula>
    </cfRule>
    <cfRule type="expression" dxfId="7625" priority="1413">
      <formula>U11="WR"</formula>
    </cfRule>
    <cfRule type="expression" dxfId="7626" priority="1414">
      <formula>U11="RB"</formula>
    </cfRule>
    <cfRule type="expression" dxfId="7627" priority="1415">
      <formula>U11="QB"</formula>
    </cfRule>
  </conditionalFormatting>
  <conditionalFormatting sqref="S11">
    <cfRule type="expression" dxfId="7620" priority="1416">
      <formula>U11="K"</formula>
    </cfRule>
    <cfRule type="expression" dxfId="7621" priority="1417">
      <formula>U11="DEF"</formula>
    </cfRule>
    <cfRule type="expression" dxfId="7622" priority="1418">
      <formula>U11="TE"</formula>
    </cfRule>
    <cfRule type="expression" dxfId="7617" priority="1419">
      <formula>U11="WR"</formula>
    </cfRule>
    <cfRule type="expression" dxfId="7618" priority="1420">
      <formula>U11="RB"</formula>
    </cfRule>
    <cfRule type="expression" dxfId="7619" priority="1421">
      <formula>U11="QB"</formula>
    </cfRule>
  </conditionalFormatting>
  <conditionalFormatting sqref="S13">
    <cfRule type="expression" dxfId="7615" priority="1441">
      <formula>U14="DEF"</formula>
    </cfRule>
    <cfRule type="expression" dxfId="7614" priority="1442">
      <formula>U14="TE"</formula>
    </cfRule>
    <cfRule type="expression" dxfId="7613" priority="1443">
      <formula>U14="WR"</formula>
    </cfRule>
    <cfRule type="expression" dxfId="7612" priority="1444">
      <formula>U14="RB"</formula>
    </cfRule>
    <cfRule type="expression" dxfId="7616" priority="1445">
      <formula>U14="QB"</formula>
    </cfRule>
  </conditionalFormatting>
  <conditionalFormatting sqref="S14">
    <cfRule type="expression" dxfId="7606" priority="1446">
      <formula>U14="K"</formula>
    </cfRule>
    <cfRule type="expression" dxfId="7611" priority="1447">
      <formula>U14="DEF"</formula>
    </cfRule>
    <cfRule type="expression" dxfId="7610" priority="1448">
      <formula>U14="TE"</formula>
    </cfRule>
    <cfRule type="expression" dxfId="7609" priority="1449">
      <formula>U14="WR"</formula>
    </cfRule>
    <cfRule type="expression" dxfId="7608" priority="1450">
      <formula>U14="RB"</formula>
    </cfRule>
    <cfRule type="expression" dxfId="7607" priority="1451">
      <formula>U14="QB"</formula>
    </cfRule>
  </conditionalFormatting>
  <conditionalFormatting sqref="S16">
    <cfRule type="expression" dxfId="7601" priority="1471">
      <formula>U17="DEF"</formula>
    </cfRule>
    <cfRule type="expression" dxfId="7605" priority="1472">
      <formula>U17="TE"</formula>
    </cfRule>
    <cfRule type="expression" dxfId="7604" priority="1473">
      <formula>U17="WR"</formula>
    </cfRule>
    <cfRule type="expression" dxfId="7603" priority="1474">
      <formula>U17="RB"</formula>
    </cfRule>
    <cfRule type="expression" dxfId="7602" priority="1475">
      <formula>U17="QB"</formula>
    </cfRule>
  </conditionalFormatting>
  <conditionalFormatting sqref="S17">
    <cfRule type="expression" dxfId="7598" priority="1476">
      <formula>U17="K"</formula>
    </cfRule>
    <cfRule type="expression" dxfId="7597" priority="1477">
      <formula>U17="DEF"</formula>
    </cfRule>
    <cfRule type="expression" dxfId="7596" priority="1478">
      <formula>U17="TE"</formula>
    </cfRule>
    <cfRule type="expression" dxfId="7600" priority="1479">
      <formula>U17="WR"</formula>
    </cfRule>
    <cfRule type="expression" dxfId="7595" priority="1480">
      <formula>U17="RB"</formula>
    </cfRule>
    <cfRule type="expression" dxfId="7599" priority="1481">
      <formula>U17="QB"</formula>
    </cfRule>
  </conditionalFormatting>
  <conditionalFormatting sqref="S19">
    <cfRule type="expression" dxfId="7590" priority="1501">
      <formula>U20="DEF"</formula>
    </cfRule>
    <cfRule type="expression" dxfId="7594" priority="1502">
      <formula>U20="TE"</formula>
    </cfRule>
    <cfRule type="expression" dxfId="7593" priority="1503">
      <formula>U20="WR"</formula>
    </cfRule>
    <cfRule type="expression" dxfId="7592" priority="1504">
      <formula>U20="RB"</formula>
    </cfRule>
    <cfRule type="expression" dxfId="7591" priority="1505">
      <formula>U20="QB"</formula>
    </cfRule>
  </conditionalFormatting>
  <conditionalFormatting sqref="S20">
    <cfRule type="expression" dxfId="7584" priority="1506">
      <formula>U20="K"</formula>
    </cfRule>
    <cfRule type="expression" dxfId="7585" priority="1507">
      <formula>U20="DEF"</formula>
    </cfRule>
    <cfRule type="expression" dxfId="7586" priority="1508">
      <formula>U20="TE"</formula>
    </cfRule>
    <cfRule type="expression" dxfId="7587" priority="1509">
      <formula>U20="WR"</formula>
    </cfRule>
    <cfRule type="expression" dxfId="7588" priority="1510">
      <formula>U20="RB"</formula>
    </cfRule>
    <cfRule type="expression" dxfId="7589" priority="1511">
      <formula>U20="QB"</formula>
    </cfRule>
  </conditionalFormatting>
  <conditionalFormatting sqref="S22">
    <cfRule type="expression" dxfId="7579" priority="1531">
      <formula>U23="DEF"</formula>
    </cfRule>
    <cfRule type="expression" dxfId="7580" priority="1532">
      <formula>U23="TE"</formula>
    </cfRule>
    <cfRule type="expression" dxfId="7581" priority="1533">
      <formula>U23="WR"</formula>
    </cfRule>
    <cfRule type="expression" dxfId="7582" priority="1534">
      <formula>U23="RB"</formula>
    </cfRule>
    <cfRule type="expression" dxfId="7583" priority="1535">
      <formula>U23="QB"</formula>
    </cfRule>
  </conditionalFormatting>
  <conditionalFormatting sqref="S23">
    <cfRule type="expression" dxfId="7578" priority="1536">
      <formula>U23="K"</formula>
    </cfRule>
    <cfRule type="expression" dxfId="7575" priority="1537">
      <formula>U23="DEF"</formula>
    </cfRule>
    <cfRule type="expression" dxfId="7576" priority="1538">
      <formula>U23="TE"</formula>
    </cfRule>
    <cfRule type="expression" dxfId="7574" priority="1539">
      <formula>U23="WR"</formula>
    </cfRule>
    <cfRule type="expression" dxfId="7577" priority="1540">
      <formula>U23="RB"</formula>
    </cfRule>
    <cfRule type="expression" dxfId="7573" priority="1541">
      <formula>U23="QB"</formula>
    </cfRule>
  </conditionalFormatting>
  <conditionalFormatting sqref="S25">
    <cfRule type="expression" dxfId="7568" priority="1561">
      <formula>U26="DEF"</formula>
    </cfRule>
    <cfRule type="expression" dxfId="7569" priority="1562">
      <formula>U26="TE"</formula>
    </cfRule>
    <cfRule type="expression" dxfId="7570" priority="1563">
      <formula>U26="WR"</formula>
    </cfRule>
    <cfRule type="expression" dxfId="7571" priority="1564">
      <formula>U26="RB"</formula>
    </cfRule>
    <cfRule type="expression" dxfId="7572" priority="1565">
      <formula>U26="QB"</formula>
    </cfRule>
  </conditionalFormatting>
  <conditionalFormatting sqref="S26">
    <cfRule type="expression" dxfId="7565" priority="1566">
      <formula>U26="K"</formula>
    </cfRule>
    <cfRule type="expression" dxfId="7566" priority="1567">
      <formula>U26="DEF"</formula>
    </cfRule>
    <cfRule type="expression" dxfId="7563" priority="1568">
      <formula>U26="TE"</formula>
    </cfRule>
    <cfRule type="expression" dxfId="7567" priority="1569">
      <formula>U26="WR"</formula>
    </cfRule>
    <cfRule type="expression" dxfId="7562" priority="1570">
      <formula>U26="RB"</formula>
    </cfRule>
    <cfRule type="expression" dxfId="7564" priority="1571">
      <formula>U26="QB"</formula>
    </cfRule>
  </conditionalFormatting>
  <conditionalFormatting sqref="S28">
    <cfRule type="expression" dxfId="7558" priority="1591">
      <formula>U29="DEF"</formula>
    </cfRule>
    <cfRule type="expression" dxfId="7561" priority="1592">
      <formula>U29="TE"</formula>
    </cfRule>
    <cfRule type="expression" dxfId="7560" priority="1593">
      <formula>U29="WR"</formula>
    </cfRule>
    <cfRule type="expression" dxfId="7559" priority="1594">
      <formula>U29="RB"</formula>
    </cfRule>
    <cfRule type="expression" dxfId="7557" priority="1595">
      <formula>U29="QB"</formula>
    </cfRule>
  </conditionalFormatting>
  <conditionalFormatting sqref="S29">
    <cfRule type="expression" dxfId="7551" priority="1596">
      <formula>U29="K"</formula>
    </cfRule>
    <cfRule type="expression" dxfId="7553" priority="1597">
      <formula>U29="DEF"</formula>
    </cfRule>
    <cfRule type="expression" dxfId="7552" priority="1598">
      <formula>U29="TE"</formula>
    </cfRule>
    <cfRule type="expression" dxfId="7556" priority="1599">
      <formula>U29="WR"</formula>
    </cfRule>
    <cfRule type="expression" dxfId="7555" priority="1600">
      <formula>U29="RB"</formula>
    </cfRule>
    <cfRule type="expression" dxfId="7554" priority="1601">
      <formula>U29="QB"</formula>
    </cfRule>
  </conditionalFormatting>
  <conditionalFormatting sqref="S31">
    <cfRule type="expression" dxfId="7550" priority="1621">
      <formula>U32="DEF"</formula>
    </cfRule>
    <cfRule type="expression" dxfId="7549" priority="1622">
      <formula>U32="TE"</formula>
    </cfRule>
    <cfRule type="expression" dxfId="7548" priority="1623">
      <formula>U32="WR"</formula>
    </cfRule>
    <cfRule type="expression" dxfId="7547" priority="1624">
      <formula>U32="RB"</formula>
    </cfRule>
    <cfRule type="expression" dxfId="7546" priority="1625">
      <formula>U32="QB"</formula>
    </cfRule>
  </conditionalFormatting>
  <conditionalFormatting sqref="S32">
    <cfRule type="expression" dxfId="7545" priority="1626">
      <formula>U32="K"</formula>
    </cfRule>
    <cfRule type="expression" dxfId="7544" priority="1627">
      <formula>U32="DEF"</formula>
    </cfRule>
    <cfRule type="expression" dxfId="7543" priority="1628">
      <formula>U32="TE"</formula>
    </cfRule>
    <cfRule type="expression" dxfId="7542" priority="1629">
      <formula>U32="WR"</formula>
    </cfRule>
    <cfRule type="expression" dxfId="7541" priority="1630">
      <formula>U32="RB"</formula>
    </cfRule>
    <cfRule type="expression" dxfId="7540" priority="1631">
      <formula>U32="QB"</formula>
    </cfRule>
  </conditionalFormatting>
  <conditionalFormatting sqref="S34">
    <cfRule type="expression" dxfId="7537" priority="1651">
      <formula>U35="DEF"</formula>
    </cfRule>
    <cfRule type="expression" dxfId="7536" priority="1652">
      <formula>U35="TE"</formula>
    </cfRule>
    <cfRule type="expression" dxfId="7535" priority="1653">
      <formula>U35="WR"</formula>
    </cfRule>
    <cfRule type="expression" dxfId="7538" priority="1654">
      <formula>U35="RB"</formula>
    </cfRule>
    <cfRule type="expression" dxfId="7539" priority="1655">
      <formula>U35="QB"</formula>
    </cfRule>
  </conditionalFormatting>
  <conditionalFormatting sqref="S35">
    <cfRule type="expression" dxfId="7534" priority="1656">
      <formula>U35="K"</formula>
    </cfRule>
    <cfRule type="expression" dxfId="7531" priority="1657">
      <formula>U35="DEF"</formula>
    </cfRule>
    <cfRule type="expression" dxfId="7530" priority="1658">
      <formula>U35="TE"</formula>
    </cfRule>
    <cfRule type="expression" dxfId="7529" priority="1659">
      <formula>U35="WR"</formula>
    </cfRule>
    <cfRule type="expression" dxfId="7533" priority="1660">
      <formula>U35="RB"</formula>
    </cfRule>
    <cfRule type="expression" dxfId="7532" priority="1661">
      <formula>U35="QB"</formula>
    </cfRule>
  </conditionalFormatting>
  <conditionalFormatting sqref="S37">
    <cfRule type="expression" dxfId="7524" priority="1681">
      <formula>U38="DEF"</formula>
    </cfRule>
    <cfRule type="expression" dxfId="7526" priority="1682">
      <formula>U38="TE"</formula>
    </cfRule>
    <cfRule type="expression" dxfId="7525" priority="1683">
      <formula>U38="WR"</formula>
    </cfRule>
    <cfRule type="expression" dxfId="7528" priority="1684">
      <formula>U38="RB"</formula>
    </cfRule>
    <cfRule type="expression" dxfId="7527" priority="1685">
      <formula>U38="QB"</formula>
    </cfRule>
  </conditionalFormatting>
  <conditionalFormatting sqref="S38">
    <cfRule type="expression" dxfId="7522" priority="1686">
      <formula>U38="K"</formula>
    </cfRule>
    <cfRule type="expression" dxfId="7519" priority="1687">
      <formula>U38="DEF"</formula>
    </cfRule>
    <cfRule type="expression" dxfId="7520" priority="1688">
      <formula>U38="TE"</formula>
    </cfRule>
    <cfRule type="expression" dxfId="7521" priority="1689">
      <formula>U38="WR"</formula>
    </cfRule>
    <cfRule type="expression" dxfId="7523" priority="1690">
      <formula>U38="RB"</formula>
    </cfRule>
    <cfRule type="expression" dxfId="7518" priority="1691">
      <formula>U38="QB"</formula>
    </cfRule>
  </conditionalFormatting>
  <conditionalFormatting sqref="S40">
    <cfRule type="expression" dxfId="7516" priority="1711">
      <formula>U41="DEF"</formula>
    </cfRule>
    <cfRule type="expression" dxfId="7514" priority="1712">
      <formula>U41="TE"</formula>
    </cfRule>
    <cfRule type="expression" dxfId="7517" priority="1713">
      <formula>U41="WR"</formula>
    </cfRule>
    <cfRule type="expression" dxfId="7515" priority="1714">
      <formula>U41="RB"</formula>
    </cfRule>
    <cfRule type="expression" dxfId="7513" priority="1715">
      <formula>U41="QB"</formula>
    </cfRule>
  </conditionalFormatting>
  <conditionalFormatting sqref="S41">
    <cfRule type="expression" dxfId="7507" priority="1716">
      <formula>U41="K"</formula>
    </cfRule>
    <cfRule type="expression" dxfId="7511" priority="1717">
      <formula>U41="DEF"</formula>
    </cfRule>
    <cfRule type="expression" dxfId="7512" priority="1718">
      <formula>U41="TE"</formula>
    </cfRule>
    <cfRule type="expression" dxfId="7508" priority="1719">
      <formula>U41="WR"</formula>
    </cfRule>
    <cfRule type="expression" dxfId="7509" priority="1720">
      <formula>U41="RB"</formula>
    </cfRule>
    <cfRule type="expression" dxfId="7510" priority="1721">
      <formula>U41="QB"</formula>
    </cfRule>
  </conditionalFormatting>
  <conditionalFormatting sqref="S43">
    <cfRule type="expression" dxfId="7504" priority="1741">
      <formula>U44="DEF"</formula>
    </cfRule>
    <cfRule type="expression" dxfId="7502" priority="1742">
      <formula>U44="TE"</formula>
    </cfRule>
    <cfRule type="expression" dxfId="7505" priority="1743">
      <formula>U44="WR"</formula>
    </cfRule>
    <cfRule type="expression" dxfId="7503" priority="1744">
      <formula>U44="RB"</formula>
    </cfRule>
    <cfRule type="expression" dxfId="7506" priority="1745">
      <formula>U44="QB"</formula>
    </cfRule>
  </conditionalFormatting>
  <conditionalFormatting sqref="S44">
    <cfRule type="expression" dxfId="7501" priority="1746">
      <formula>U44="K"</formula>
    </cfRule>
    <cfRule type="expression" dxfId="7496" priority="1747">
      <formula>U44="DEF"</formula>
    </cfRule>
    <cfRule type="expression" dxfId="7498" priority="1748">
      <formula>U44="TE"</formula>
    </cfRule>
    <cfRule type="expression" dxfId="7500" priority="1749">
      <formula>U44="WR"</formula>
    </cfRule>
    <cfRule type="expression" dxfId="7499" priority="1750">
      <formula>U44="RB"</formula>
    </cfRule>
    <cfRule type="expression" dxfId="7497" priority="1751">
      <formula>U44="QB"</formula>
    </cfRule>
  </conditionalFormatting>
  <conditionalFormatting sqref="S46">
    <cfRule type="expression" dxfId="7494" priority="1771">
      <formula>U47="DEF"</formula>
    </cfRule>
    <cfRule type="expression" dxfId="7495" priority="1772">
      <formula>U47="TE"</formula>
    </cfRule>
    <cfRule type="expression" dxfId="7491" priority="1773">
      <formula>U47="WR"</formula>
    </cfRule>
    <cfRule type="expression" dxfId="7492" priority="1774">
      <formula>U47="RB"</formula>
    </cfRule>
    <cfRule type="expression" dxfId="7493" priority="1775">
      <formula>U47="QB"</formula>
    </cfRule>
  </conditionalFormatting>
  <conditionalFormatting sqref="S47">
    <cfRule type="expression" dxfId="7490" priority="1776">
      <formula>U47="K"</formula>
    </cfRule>
    <cfRule type="expression" dxfId="7485" priority="1777">
      <formula>U47="DEF"</formula>
    </cfRule>
    <cfRule type="expression" dxfId="7488" priority="1778">
      <formula>U47="TE"</formula>
    </cfRule>
    <cfRule type="expression" dxfId="7486" priority="1779">
      <formula>U47="WR"</formula>
    </cfRule>
    <cfRule type="expression" dxfId="7487" priority="1780">
      <formula>U47="RB"</formula>
    </cfRule>
    <cfRule type="expression" dxfId="7489" priority="1781">
      <formula>U47="QB"</formula>
    </cfRule>
  </conditionalFormatting>
  <conditionalFormatting sqref="S4:V4">
    <cfRule type="expression" dxfId="7484" priority="1380">
      <formula>U5="K"</formula>
    </cfRule>
  </conditionalFormatting>
  <conditionalFormatting sqref="S7:V7">
    <cfRule type="expression" dxfId="7483" priority="1410">
      <formula>U8="K"</formula>
    </cfRule>
  </conditionalFormatting>
  <conditionalFormatting sqref="S10:V10">
    <cfRule type="expression" dxfId="7482" priority="1440">
      <formula>U11="K"</formula>
    </cfRule>
  </conditionalFormatting>
  <conditionalFormatting sqref="S13:V13">
    <cfRule type="expression" dxfId="7481" priority="1470">
      <formula>U14="K"</formula>
    </cfRule>
  </conditionalFormatting>
  <conditionalFormatting sqref="S16:V16">
    <cfRule type="expression" dxfId="7480" priority="1500">
      <formula>U17="K"</formula>
    </cfRule>
  </conditionalFormatting>
  <conditionalFormatting sqref="S19:V19">
    <cfRule type="expression" dxfId="7479" priority="1530">
      <formula>U20="K"</formula>
    </cfRule>
  </conditionalFormatting>
  <conditionalFormatting sqref="S22:V22">
    <cfRule type="expression" dxfId="7478" priority="1560">
      <formula>U23="K"</formula>
    </cfRule>
  </conditionalFormatting>
  <conditionalFormatting sqref="S25:V25">
    <cfRule type="expression" dxfId="7477" priority="1590">
      <formula>U26="K"</formula>
    </cfRule>
  </conditionalFormatting>
  <conditionalFormatting sqref="S28:V28">
    <cfRule type="expression" dxfId="7476" priority="1620">
      <formula>U29="K"</formula>
    </cfRule>
  </conditionalFormatting>
  <conditionalFormatting sqref="S31:V31">
    <cfRule type="expression" dxfId="7475" priority="1650">
      <formula>U32="K"</formula>
    </cfRule>
  </conditionalFormatting>
  <conditionalFormatting sqref="S34:V34">
    <cfRule type="expression" dxfId="7474" priority="1680">
      <formula>U35="K"</formula>
    </cfRule>
  </conditionalFormatting>
  <conditionalFormatting sqref="S37:V37">
    <cfRule type="expression" dxfId="7473" priority="1710">
      <formula>U38="K"</formula>
    </cfRule>
  </conditionalFormatting>
  <conditionalFormatting sqref="S40:V40">
    <cfRule type="expression" dxfId="7472" priority="1740">
      <formula>U41="K"</formula>
    </cfRule>
  </conditionalFormatting>
  <conditionalFormatting sqref="S43:V43">
    <cfRule type="expression" dxfId="7471" priority="1770">
      <formula>U44="K"</formula>
    </cfRule>
  </conditionalFormatting>
  <conditionalFormatting sqref="S46:V46">
    <cfRule type="expression" dxfId="7470" priority="1800">
      <formula>U47="K"</formula>
    </cfRule>
  </conditionalFormatting>
  <conditionalFormatting sqref="T5">
    <cfRule type="expression" dxfId="7464" priority="1362">
      <formula>U5="K"</formula>
    </cfRule>
    <cfRule type="expression" dxfId="7465" priority="1363">
      <formula>U5="DEF"</formula>
    </cfRule>
    <cfRule type="expression" dxfId="7468" priority="1364">
      <formula>U5="TE"</formula>
    </cfRule>
    <cfRule type="expression" dxfId="7467" priority="1365">
      <formula>U5="WR"</formula>
    </cfRule>
    <cfRule type="expression" dxfId="7466" priority="1366">
      <formula>U5="RB"</formula>
    </cfRule>
    <cfRule type="expression" dxfId="7469" priority="1367">
      <formula>U5="QB"</formula>
    </cfRule>
  </conditionalFormatting>
  <conditionalFormatting sqref="T8">
    <cfRule type="expression" dxfId="7462" priority="1392">
      <formula>U8="K"</formula>
    </cfRule>
    <cfRule type="expression" dxfId="7459" priority="1393">
      <formula>U8="DEF"</formula>
    </cfRule>
    <cfRule type="expression" dxfId="7460" priority="1394">
      <formula>U8="TE"</formula>
    </cfRule>
    <cfRule type="expression" dxfId="7461" priority="1395">
      <formula>U8="WR"</formula>
    </cfRule>
    <cfRule type="expression" dxfId="7463" priority="1396">
      <formula>U8="RB"</formula>
    </cfRule>
    <cfRule type="expression" dxfId="7458" priority="1397">
      <formula>U8="QB"</formula>
    </cfRule>
  </conditionalFormatting>
  <conditionalFormatting sqref="T11">
    <cfRule type="expression" dxfId="7452" priority="1422">
      <formula>U11="K"</formula>
    </cfRule>
    <cfRule type="expression" dxfId="7455" priority="1423">
      <formula>U11="DEF"</formula>
    </cfRule>
    <cfRule type="expression" dxfId="7456" priority="1424">
      <formula>U11="TE"</formula>
    </cfRule>
    <cfRule type="expression" dxfId="7457" priority="1425">
      <formula>U11="WR"</formula>
    </cfRule>
    <cfRule type="expression" dxfId="7453" priority="1426">
      <formula>U11="RB"</formula>
    </cfRule>
    <cfRule type="expression" dxfId="7454" priority="1427">
      <formula>U11="QB"</formula>
    </cfRule>
  </conditionalFormatting>
  <conditionalFormatting sqref="T14">
    <cfRule type="expression" dxfId="7450" priority="1452">
      <formula>U14="K"</formula>
    </cfRule>
    <cfRule type="expression" dxfId="7446" priority="1453">
      <formula>U14="DEF"</formula>
    </cfRule>
    <cfRule type="expression" dxfId="7451" priority="1454">
      <formula>U14="TE"</formula>
    </cfRule>
    <cfRule type="expression" dxfId="7449" priority="1455">
      <formula>U14="WR"</formula>
    </cfRule>
    <cfRule type="expression" dxfId="7447" priority="1456">
      <formula>U14="RB"</formula>
    </cfRule>
    <cfRule type="expression" dxfId="7448" priority="1457">
      <formula>U14="QB"</formula>
    </cfRule>
  </conditionalFormatting>
  <conditionalFormatting sqref="T17">
    <cfRule type="expression" dxfId="7443" priority="1482">
      <formula>U17="K"</formula>
    </cfRule>
    <cfRule type="expression" dxfId="7445" priority="1483">
      <formula>U17="DEF"</formula>
    </cfRule>
    <cfRule type="expression" dxfId="7444" priority="1484">
      <formula>U17="TE"</formula>
    </cfRule>
    <cfRule type="expression" dxfId="7440" priority="1485">
      <formula>U17="WR"</formula>
    </cfRule>
    <cfRule type="expression" dxfId="7441" priority="1486">
      <formula>U17="RB"</formula>
    </cfRule>
    <cfRule type="expression" dxfId="7442" priority="1487">
      <formula>U17="QB"</formula>
    </cfRule>
  </conditionalFormatting>
  <conditionalFormatting sqref="T20">
    <cfRule type="expression" dxfId="7439" priority="1512">
      <formula>U20="K"</formula>
    </cfRule>
    <cfRule type="expression" dxfId="7438" priority="1513">
      <formula>U20="DEF"</formula>
    </cfRule>
    <cfRule type="expression" dxfId="7437" priority="1514">
      <formula>U20="TE"</formula>
    </cfRule>
    <cfRule type="expression" dxfId="7436" priority="1515">
      <formula>U20="WR"</formula>
    </cfRule>
    <cfRule type="expression" dxfId="7435" priority="1516">
      <formula>U20="RB"</formula>
    </cfRule>
    <cfRule type="expression" dxfId="7434" priority="1517">
      <formula>U20="QB"</formula>
    </cfRule>
  </conditionalFormatting>
  <conditionalFormatting sqref="T23">
    <cfRule type="expression" dxfId="7428" priority="1542">
      <formula>U23="K"</formula>
    </cfRule>
    <cfRule type="expression" dxfId="7433" priority="1543">
      <formula>U23="DEF"</formula>
    </cfRule>
    <cfRule type="expression" dxfId="7432" priority="1544">
      <formula>U23="TE"</formula>
    </cfRule>
    <cfRule type="expression" dxfId="7429" priority="1545">
      <formula>U23="WR"</formula>
    </cfRule>
    <cfRule type="expression" dxfId="7431" priority="1546">
      <formula>U23="RB"</formula>
    </cfRule>
    <cfRule type="expression" dxfId="7430" priority="1547">
      <formula>U23="QB"</formula>
    </cfRule>
  </conditionalFormatting>
  <conditionalFormatting sqref="T26">
    <cfRule type="expression" dxfId="7426" priority="1572">
      <formula>U26="K"</formula>
    </cfRule>
    <cfRule type="expression" dxfId="7425" priority="1573">
      <formula>U26="DEF"</formula>
    </cfRule>
    <cfRule type="expression" dxfId="7427" priority="1574">
      <formula>U26="TE"</formula>
    </cfRule>
    <cfRule type="expression" dxfId="7424" priority="1575">
      <formula>U26="WR"</formula>
    </cfRule>
    <cfRule type="expression" dxfId="7423" priority="1576">
      <formula>U26="RB"</formula>
    </cfRule>
    <cfRule type="expression" dxfId="7422" priority="1577">
      <formula>U26="QB"</formula>
    </cfRule>
  </conditionalFormatting>
  <conditionalFormatting sqref="T29">
    <cfRule type="expression" dxfId="7416" priority="1602">
      <formula>U29="K"</formula>
    </cfRule>
    <cfRule type="expression" dxfId="7421" priority="1603">
      <formula>U29="DEF"</formula>
    </cfRule>
    <cfRule type="expression" dxfId="7417" priority="1604">
      <formula>U29="TE"</formula>
    </cfRule>
    <cfRule type="expression" dxfId="7418" priority="1605">
      <formula>U29="WR"</formula>
    </cfRule>
    <cfRule type="expression" dxfId="7419" priority="1606">
      <formula>U29="RB"</formula>
    </cfRule>
    <cfRule type="expression" dxfId="7420" priority="1607">
      <formula>U29="QB"</formula>
    </cfRule>
  </conditionalFormatting>
  <conditionalFormatting sqref="T32">
    <cfRule type="expression" dxfId="7410" priority="1632">
      <formula>U32="K"</formula>
    </cfRule>
    <cfRule type="expression" dxfId="7411" priority="1633">
      <formula>U32="DEF"</formula>
    </cfRule>
    <cfRule type="expression" dxfId="7412" priority="1634">
      <formula>U32="TE"</formula>
    </cfRule>
    <cfRule type="expression" dxfId="7413" priority="1635">
      <formula>U32="WR"</formula>
    </cfRule>
    <cfRule type="expression" dxfId="7414" priority="1636">
      <formula>U32="RB"</formula>
    </cfRule>
    <cfRule type="expression" dxfId="7415" priority="1637">
      <formula>U32="QB"</formula>
    </cfRule>
  </conditionalFormatting>
  <conditionalFormatting sqref="T35">
    <cfRule type="expression" dxfId="7405" priority="1662">
      <formula>U35="K"</formula>
    </cfRule>
    <cfRule type="expression" dxfId="7409" priority="1663">
      <formula>U35="DEF"</formula>
    </cfRule>
    <cfRule type="expression" dxfId="7404" priority="1664">
      <formula>U35="TE"</formula>
    </cfRule>
    <cfRule type="expression" dxfId="7408" priority="1665">
      <formula>U35="WR"</formula>
    </cfRule>
    <cfRule type="expression" dxfId="7407" priority="1666">
      <formula>U35="RB"</formula>
    </cfRule>
    <cfRule type="expression" dxfId="7406" priority="1667">
      <formula>U35="QB"</formula>
    </cfRule>
  </conditionalFormatting>
  <conditionalFormatting sqref="T38">
    <cfRule type="expression" dxfId="7399" priority="1692">
      <formula>U38="K"</formula>
    </cfRule>
    <cfRule type="expression" dxfId="7398" priority="1693">
      <formula>U38="DEF"</formula>
    </cfRule>
    <cfRule type="expression" dxfId="7403" priority="1694">
      <formula>U38="TE"</formula>
    </cfRule>
    <cfRule type="expression" dxfId="7401" priority="1695">
      <formula>U38="WR"</formula>
    </cfRule>
    <cfRule type="expression" dxfId="7400" priority="1696">
      <formula>U38="RB"</formula>
    </cfRule>
    <cfRule type="expression" dxfId="7402" priority="1697">
      <formula>U38="QB"</formula>
    </cfRule>
  </conditionalFormatting>
  <conditionalFormatting sqref="T41">
    <cfRule type="expression" dxfId="7392" priority="1722">
      <formula>U41="K"</formula>
    </cfRule>
    <cfRule type="expression" dxfId="7397" priority="1723">
      <formula>U41="DEF"</formula>
    </cfRule>
    <cfRule type="expression" dxfId="7396" priority="1724">
      <formula>U41="TE"</formula>
    </cfRule>
    <cfRule type="expression" dxfId="7395" priority="1725">
      <formula>U41="WR"</formula>
    </cfRule>
    <cfRule type="expression" dxfId="7394" priority="1726">
      <formula>U41="RB"</formula>
    </cfRule>
    <cfRule type="expression" dxfId="7393" priority="1727">
      <formula>U41="QB"</formula>
    </cfRule>
  </conditionalFormatting>
  <conditionalFormatting sqref="T44">
    <cfRule type="expression" dxfId="7390" priority="1752">
      <formula>U44="K"</formula>
    </cfRule>
    <cfRule type="expression" dxfId="7389" priority="1753">
      <formula>U44="DEF"</formula>
    </cfRule>
    <cfRule type="expression" dxfId="7388" priority="1754">
      <formula>U44="TE"</formula>
    </cfRule>
    <cfRule type="expression" dxfId="7387" priority="1755">
      <formula>U44="WR"</formula>
    </cfRule>
    <cfRule type="expression" dxfId="7386" priority="1756">
      <formula>U44="RB"</formula>
    </cfRule>
    <cfRule type="expression" dxfId="7391" priority="1757">
      <formula>U44="QB"</formula>
    </cfRule>
  </conditionalFormatting>
  <conditionalFormatting sqref="T47">
    <cfRule type="expression" dxfId="7384" priority="1782">
      <formula>U47="K"</formula>
    </cfRule>
    <cfRule type="expression" dxfId="7383" priority="1783">
      <formula>U47="DEF"</formula>
    </cfRule>
    <cfRule type="expression" dxfId="7382" priority="1784">
      <formula>U47="TE"</formula>
    </cfRule>
    <cfRule type="expression" dxfId="7381" priority="1785">
      <formula>U47="WR"</formula>
    </cfRule>
    <cfRule type="expression" dxfId="7385" priority="1786">
      <formula>U47="RB"</formula>
    </cfRule>
    <cfRule type="expression" dxfId="7380" priority="1787">
      <formula>U47="QB"</formula>
    </cfRule>
  </conditionalFormatting>
  <conditionalFormatting sqref="U5">
    <cfRule type="expression" dxfId="7376" priority="1368">
      <formula>U5="K"</formula>
    </cfRule>
    <cfRule type="expression" dxfId="7379" priority="1369">
      <formula>U5="DEF"</formula>
    </cfRule>
    <cfRule type="expression" dxfId="7378" priority="1370">
      <formula>U5="TE"</formula>
    </cfRule>
    <cfRule type="expression" dxfId="7377" priority="1371">
      <formula>U5="WR"</formula>
    </cfRule>
    <cfRule type="expression" dxfId="7374" priority="1372">
      <formula>U5="RB"</formula>
    </cfRule>
    <cfRule type="expression" dxfId="7375" priority="1373">
      <formula>U5="QB"</formula>
    </cfRule>
  </conditionalFormatting>
  <conditionalFormatting sqref="U8">
    <cfRule type="expression" dxfId="7369" priority="1398">
      <formula>U8="K"</formula>
    </cfRule>
    <cfRule type="expression" dxfId="7368" priority="1399">
      <formula>U8="DEF"</formula>
    </cfRule>
    <cfRule type="expression" dxfId="7371" priority="1400">
      <formula>U8="TE"</formula>
    </cfRule>
    <cfRule type="expression" dxfId="7370" priority="1401">
      <formula>U8="WR"</formula>
    </cfRule>
    <cfRule type="expression" dxfId="7372" priority="1402">
      <formula>U8="RB"</formula>
    </cfRule>
    <cfRule type="expression" dxfId="7373" priority="1403">
      <formula>U8="QB"</formula>
    </cfRule>
  </conditionalFormatting>
  <conditionalFormatting sqref="U11">
    <cfRule type="expression" dxfId="7366" priority="1428">
      <formula>U11="K"</formula>
    </cfRule>
    <cfRule type="expression" dxfId="7363" priority="1429">
      <formula>U11="DEF"</formula>
    </cfRule>
    <cfRule type="expression" dxfId="7365" priority="1430">
      <formula>U11="TE"</formula>
    </cfRule>
    <cfRule type="expression" dxfId="7364" priority="1431">
      <formula>U11="WR"</formula>
    </cfRule>
    <cfRule type="expression" dxfId="7362" priority="1432">
      <formula>U11="RB"</formula>
    </cfRule>
    <cfRule type="expression" dxfId="7367" priority="1433">
      <formula>U11="QB"</formula>
    </cfRule>
  </conditionalFormatting>
  <conditionalFormatting sqref="U14">
    <cfRule type="expression" dxfId="7356" priority="1458">
      <formula>U14="K"</formula>
    </cfRule>
    <cfRule type="expression" dxfId="7361" priority="1459">
      <formula>U14="DEF"</formula>
    </cfRule>
    <cfRule type="expression" dxfId="7360" priority="1460">
      <formula>U14="TE"</formula>
    </cfRule>
    <cfRule type="expression" dxfId="7359" priority="1461">
      <formula>U14="WR"</formula>
    </cfRule>
    <cfRule type="expression" dxfId="7358" priority="1462">
      <formula>U14="RB"</formula>
    </cfRule>
    <cfRule type="expression" dxfId="7357" priority="1463">
      <formula>U14="QB"</formula>
    </cfRule>
  </conditionalFormatting>
  <conditionalFormatting sqref="U17">
    <cfRule type="expression" dxfId="7354" priority="1488">
      <formula>U17="K"</formula>
    </cfRule>
    <cfRule type="expression" dxfId="7355" priority="1489">
      <formula>U17="DEF"</formula>
    </cfRule>
    <cfRule type="expression" dxfId="7350" priority="1490">
      <formula>U17="TE"</formula>
    </cfRule>
    <cfRule type="expression" dxfId="7351" priority="1491">
      <formula>U17="WR"</formula>
    </cfRule>
    <cfRule type="expression" dxfId="7352" priority="1492">
      <formula>U17="RB"</formula>
    </cfRule>
    <cfRule type="expression" dxfId="7353" priority="1493">
      <formula>U17="QB"</formula>
    </cfRule>
  </conditionalFormatting>
  <conditionalFormatting sqref="U20">
    <cfRule type="expression" dxfId="7344" priority="1518">
      <formula>U20="K"</formula>
    </cfRule>
    <cfRule type="expression" dxfId="7349" priority="1519">
      <formula>U20="DEF"</formula>
    </cfRule>
    <cfRule type="expression" dxfId="7348" priority="1520">
      <formula>U20="TE"</formula>
    </cfRule>
    <cfRule type="expression" dxfId="7347" priority="1521">
      <formula>U20="WR"</formula>
    </cfRule>
    <cfRule type="expression" dxfId="7346" priority="1522">
      <formula>U20="RB"</formula>
    </cfRule>
    <cfRule type="expression" dxfId="7345" priority="1523">
      <formula>U20="QB"</formula>
    </cfRule>
  </conditionalFormatting>
  <conditionalFormatting sqref="U23">
    <cfRule type="expression" dxfId="7339" priority="1548">
      <formula>U23="K"</formula>
    </cfRule>
    <cfRule type="expression" dxfId="7338" priority="1549">
      <formula>U23="DEF"</formula>
    </cfRule>
    <cfRule type="expression" dxfId="7340" priority="1550">
      <formula>U23="TE"</formula>
    </cfRule>
    <cfRule type="expression" dxfId="7343" priority="1551">
      <formula>U23="WR"</formula>
    </cfRule>
    <cfRule type="expression" dxfId="7342" priority="1552">
      <formula>U23="RB"</formula>
    </cfRule>
    <cfRule type="expression" dxfId="7341" priority="1553">
      <formula>U23="QB"</formula>
    </cfRule>
  </conditionalFormatting>
  <conditionalFormatting sqref="U26">
    <cfRule type="expression" dxfId="7333" priority="1578">
      <formula>U26="K"</formula>
    </cfRule>
    <cfRule type="expression" dxfId="7337" priority="1579">
      <formula>U26="DEF"</formula>
    </cfRule>
    <cfRule type="expression" dxfId="7336" priority="1580">
      <formula>U26="TE"</formula>
    </cfRule>
    <cfRule type="expression" dxfId="7335" priority="1581">
      <formula>U26="WR"</formula>
    </cfRule>
    <cfRule type="expression" dxfId="7334" priority="1582">
      <formula>U26="RB"</formula>
    </cfRule>
    <cfRule type="expression" dxfId="7332" priority="1583">
      <formula>U26="QB"</formula>
    </cfRule>
  </conditionalFormatting>
  <conditionalFormatting sqref="U29">
    <cfRule type="expression" dxfId="7329" priority="1608">
      <formula>U29="K"</formula>
    </cfRule>
    <cfRule type="expression" dxfId="7327" priority="1609">
      <formula>U29="DEF"</formula>
    </cfRule>
    <cfRule type="expression" dxfId="7328" priority="1610">
      <formula>U29="TE"</formula>
    </cfRule>
    <cfRule type="expression" dxfId="7326" priority="1611">
      <formula>U29="WR"</formula>
    </cfRule>
    <cfRule type="expression" dxfId="7330" priority="1612">
      <formula>U29="RB"</formula>
    </cfRule>
    <cfRule type="expression" dxfId="7331" priority="1613">
      <formula>U29="QB"</formula>
    </cfRule>
  </conditionalFormatting>
  <conditionalFormatting sqref="U32">
    <cfRule type="expression" dxfId="7320" priority="1638">
      <formula>U32="K"</formula>
    </cfRule>
    <cfRule type="expression" dxfId="7325" priority="1639">
      <formula>U32="DEF"</formula>
    </cfRule>
    <cfRule type="expression" dxfId="7321" priority="1640">
      <formula>U32="TE"</formula>
    </cfRule>
    <cfRule type="expression" dxfId="7322" priority="1641">
      <formula>U32="WR"</formula>
    </cfRule>
    <cfRule type="expression" dxfId="7323" priority="1642">
      <formula>U32="RB"</formula>
    </cfRule>
    <cfRule type="expression" dxfId="7324" priority="1643">
      <formula>U32="QB"</formula>
    </cfRule>
  </conditionalFormatting>
  <conditionalFormatting sqref="U35">
    <cfRule type="expression" dxfId="7314" priority="1668">
      <formula>U35="K"</formula>
    </cfRule>
    <cfRule type="expression" dxfId="7318" priority="1669">
      <formula>U35="DEF"</formula>
    </cfRule>
    <cfRule type="expression" dxfId="7317" priority="1670">
      <formula>U35="TE"</formula>
    </cfRule>
    <cfRule type="expression" dxfId="7319" priority="1671">
      <formula>U35="WR"</formula>
    </cfRule>
    <cfRule type="expression" dxfId="7315" priority="1672">
      <formula>U35="RB"</formula>
    </cfRule>
    <cfRule type="expression" dxfId="7316" priority="1673">
      <formula>U35="QB"</formula>
    </cfRule>
  </conditionalFormatting>
  <conditionalFormatting sqref="U38">
    <cfRule type="expression" dxfId="7313" priority="1698">
      <formula>U38="K"</formula>
    </cfRule>
    <cfRule type="expression" dxfId="7312" priority="1699">
      <formula>U38="DEF"</formula>
    </cfRule>
    <cfRule type="expression" dxfId="7308" priority="1700">
      <formula>U38="TE"</formula>
    </cfRule>
    <cfRule type="expression" dxfId="7309" priority="1701">
      <formula>U38="WR"</formula>
    </cfRule>
    <cfRule type="expression" dxfId="7310" priority="1702">
      <formula>U38="RB"</formula>
    </cfRule>
    <cfRule type="expression" dxfId="7311" priority="1703">
      <formula>U38="QB"</formula>
    </cfRule>
  </conditionalFormatting>
  <conditionalFormatting sqref="U41">
    <cfRule type="expression" dxfId="7304" priority="1728">
      <formula>U41="K"</formula>
    </cfRule>
    <cfRule type="expression" dxfId="7303" priority="1729">
      <formula>U41="DEF"</formula>
    </cfRule>
    <cfRule type="expression" dxfId="7302" priority="1730">
      <formula>U41="TE"</formula>
    </cfRule>
    <cfRule type="expression" dxfId="7307" priority="1731">
      <formula>U41="WR"</formula>
    </cfRule>
    <cfRule type="expression" dxfId="7306" priority="1732">
      <formula>U41="RB"</formula>
    </cfRule>
    <cfRule type="expression" dxfId="7305" priority="1733">
      <formula>U41="QB"</formula>
    </cfRule>
  </conditionalFormatting>
  <conditionalFormatting sqref="U44">
    <cfRule type="expression" dxfId="7299" priority="1758">
      <formula>U44="K"</formula>
    </cfRule>
    <cfRule type="expression" dxfId="7298" priority="1759">
      <formula>U44="DEF"</formula>
    </cfRule>
    <cfRule type="expression" dxfId="7297" priority="1760">
      <formula>U44="TE"</formula>
    </cfRule>
    <cfRule type="expression" dxfId="7296" priority="1761">
      <formula>U44="WR"</formula>
    </cfRule>
    <cfRule type="expression" dxfId="7301" priority="1762">
      <formula>U44="RB"</formula>
    </cfRule>
    <cfRule type="expression" dxfId="7300" priority="1763">
      <formula>U44="QB"</formula>
    </cfRule>
  </conditionalFormatting>
  <conditionalFormatting sqref="U47">
    <cfRule type="expression" dxfId="7295" priority="1788">
      <formula>U47="K"</formula>
    </cfRule>
    <cfRule type="expression" dxfId="7294" priority="1789">
      <formula>U47="DEF"</formula>
    </cfRule>
    <cfRule type="expression" dxfId="7291" priority="1790">
      <formula>U47="TE"</formula>
    </cfRule>
    <cfRule type="expression" dxfId="7292" priority="1791">
      <formula>U47="WR"</formula>
    </cfRule>
    <cfRule type="expression" dxfId="7290" priority="1792">
      <formula>U47="RB"</formula>
    </cfRule>
    <cfRule type="expression" dxfId="7293" priority="1793">
      <formula>U47="QB"</formula>
    </cfRule>
  </conditionalFormatting>
  <conditionalFormatting sqref="V5">
    <cfRule type="expression" dxfId="7285" priority="1374">
      <formula>U5="K"</formula>
    </cfRule>
    <cfRule type="expression" dxfId="7284" priority="1375">
      <formula>U5="DEF"</formula>
    </cfRule>
    <cfRule type="expression" dxfId="7289" priority="1376">
      <formula>U5="TE"</formula>
    </cfRule>
    <cfRule type="expression" dxfId="7288" priority="1377">
      <formula>U5="WR"</formula>
    </cfRule>
    <cfRule type="expression" dxfId="7287" priority="1378">
      <formula>U5="RB"</formula>
    </cfRule>
    <cfRule type="expression" dxfId="7286" priority="1379">
      <formula>U5="QB"</formula>
    </cfRule>
  </conditionalFormatting>
  <conditionalFormatting sqref="V8">
    <cfRule type="expression" dxfId="7278" priority="1404">
      <formula>U8="K"</formula>
    </cfRule>
    <cfRule type="expression" dxfId="7283" priority="1405">
      <formula>U8="DEF"</formula>
    </cfRule>
    <cfRule type="expression" dxfId="7282" priority="1406">
      <formula>U8="TE"</formula>
    </cfRule>
    <cfRule type="expression" dxfId="7279" priority="1407">
      <formula>U8="WR"</formula>
    </cfRule>
    <cfRule type="expression" dxfId="7281" priority="1408">
      <formula>U8="RB"</formula>
    </cfRule>
    <cfRule type="expression" dxfId="7280" priority="1409">
      <formula>U8="QB"</formula>
    </cfRule>
  </conditionalFormatting>
  <conditionalFormatting sqref="V11">
    <cfRule type="expression" dxfId="7277" priority="1434">
      <formula>U11="K"</formula>
    </cfRule>
    <cfRule type="expression" dxfId="7276" priority="1435">
      <formula>U11="DEF"</formula>
    </cfRule>
    <cfRule type="expression" dxfId="7275" priority="1436">
      <formula>U11="TE"</formula>
    </cfRule>
    <cfRule type="expression" dxfId="7272" priority="1437">
      <formula>U11="WR"</formula>
    </cfRule>
    <cfRule type="expression" dxfId="7273" priority="1438">
      <formula>U11="RB"</formula>
    </cfRule>
    <cfRule type="expression" dxfId="7274" priority="1439">
      <formula>U11="QB"</formula>
    </cfRule>
  </conditionalFormatting>
  <conditionalFormatting sqref="V14">
    <cfRule type="expression" dxfId="7269" priority="1464">
      <formula>U14="K"</formula>
    </cfRule>
    <cfRule type="expression" dxfId="7270" priority="1465">
      <formula>U14="DEF"</formula>
    </cfRule>
    <cfRule type="expression" dxfId="7271" priority="1466">
      <formula>U14="TE"</formula>
    </cfRule>
    <cfRule type="expression" dxfId="7267" priority="1467">
      <formula>U14="WR"</formula>
    </cfRule>
    <cfRule type="expression" dxfId="7268" priority="1468">
      <formula>U14="RB"</formula>
    </cfRule>
    <cfRule type="expression" dxfId="7266" priority="1469">
      <formula>U14="QB"</formula>
    </cfRule>
  </conditionalFormatting>
  <conditionalFormatting sqref="V17">
    <cfRule type="expression" dxfId="7265" priority="1494">
      <formula>U17="K"</formula>
    </cfRule>
    <cfRule type="expression" dxfId="7264" priority="1495">
      <formula>U17="DEF"</formula>
    </cfRule>
    <cfRule type="expression" dxfId="7263" priority="1496">
      <formula>U17="TE"</formula>
    </cfRule>
    <cfRule type="expression" dxfId="7260" priority="1497">
      <formula>U17="WR"</formula>
    </cfRule>
    <cfRule type="expression" dxfId="7261" priority="1498">
      <formula>U17="RB"</formula>
    </cfRule>
    <cfRule type="expression" dxfId="7262" priority="1499">
      <formula>U17="QB"</formula>
    </cfRule>
  </conditionalFormatting>
  <conditionalFormatting sqref="V20">
    <cfRule type="expression" dxfId="7254" priority="1524">
      <formula>U20="K"</formula>
    </cfRule>
    <cfRule type="expression" dxfId="7255" priority="1525">
      <formula>U20="DEF"</formula>
    </cfRule>
    <cfRule type="expression" dxfId="7256" priority="1526">
      <formula>U20="TE"</formula>
    </cfRule>
    <cfRule type="expression" dxfId="7257" priority="1527">
      <formula>U20="WR"</formula>
    </cfRule>
    <cfRule type="expression" dxfId="7258" priority="1528">
      <formula>U20="RB"</formula>
    </cfRule>
    <cfRule type="expression" dxfId="7259" priority="1529">
      <formula>U20="QB"</formula>
    </cfRule>
  </conditionalFormatting>
  <conditionalFormatting sqref="V23">
    <cfRule type="expression" dxfId="7248" priority="1554">
      <formula>U23="K"</formula>
    </cfRule>
    <cfRule type="expression" dxfId="7249" priority="1555">
      <formula>U23="DEF"</formula>
    </cfRule>
    <cfRule type="expression" dxfId="7250" priority="1556">
      <formula>U23="TE"</formula>
    </cfRule>
    <cfRule type="expression" dxfId="7251" priority="1557">
      <formula>U23="WR"</formula>
    </cfRule>
    <cfRule type="expression" dxfId="7252" priority="1558">
      <formula>U23="RB"</formula>
    </cfRule>
    <cfRule type="expression" dxfId="7253" priority="1559">
      <formula>U23="QB"</formula>
    </cfRule>
  </conditionalFormatting>
  <conditionalFormatting sqref="V26">
    <cfRule type="expression" dxfId="7246" priority="1584">
      <formula>U26="K"</formula>
    </cfRule>
    <cfRule type="expression" dxfId="7247" priority="1585">
      <formula>U26="DEF"</formula>
    </cfRule>
    <cfRule type="expression" dxfId="7242" priority="1586">
      <formula>U26="TE"</formula>
    </cfRule>
    <cfRule type="expression" dxfId="7243" priority="1587">
      <formula>U26="WR"</formula>
    </cfRule>
    <cfRule type="expression" dxfId="7244" priority="1588">
      <formula>U26="RB"</formula>
    </cfRule>
    <cfRule type="expression" dxfId="7245" priority="1589">
      <formula>U26="QB"</formula>
    </cfRule>
  </conditionalFormatting>
  <conditionalFormatting sqref="V29">
    <cfRule type="expression" dxfId="7236" priority="1614">
      <formula>U29="K"</formula>
    </cfRule>
    <cfRule type="expression" dxfId="7238" priority="1615">
      <formula>U29="DEF"</formula>
    </cfRule>
    <cfRule type="expression" dxfId="7239" priority="1616">
      <formula>U29="TE"</formula>
    </cfRule>
    <cfRule type="expression" dxfId="7240" priority="1617">
      <formula>U29="WR"</formula>
    </cfRule>
    <cfRule type="expression" dxfId="7241" priority="1618">
      <formula>U29="RB"</formula>
    </cfRule>
    <cfRule type="expression" dxfId="7237" priority="1619">
      <formula>U29="QB"</formula>
    </cfRule>
  </conditionalFormatting>
  <conditionalFormatting sqref="V32">
    <cfRule type="expression" dxfId="7231" priority="1644">
      <formula>U32="K"</formula>
    </cfRule>
    <cfRule type="expression" dxfId="7232" priority="1645">
      <formula>U32="DEF"</formula>
    </cfRule>
    <cfRule type="expression" dxfId="7233" priority="1646">
      <formula>U32="TE"</formula>
    </cfRule>
    <cfRule type="expression" dxfId="7234" priority="1647">
      <formula>U32="WR"</formula>
    </cfRule>
    <cfRule type="expression" dxfId="7230" priority="1648">
      <formula>U32="RB"</formula>
    </cfRule>
    <cfRule type="expression" dxfId="7235" priority="1649">
      <formula>U32="QB"</formula>
    </cfRule>
  </conditionalFormatting>
  <conditionalFormatting sqref="V35">
    <cfRule type="expression" dxfId="7225" priority="1674">
      <formula>U35="K"</formula>
    </cfRule>
    <cfRule type="expression" dxfId="7226" priority="1675">
      <formula>U35="DEF"</formula>
    </cfRule>
    <cfRule type="expression" dxfId="7227" priority="1676">
      <formula>U35="TE"</formula>
    </cfRule>
    <cfRule type="expression" dxfId="7228" priority="1677">
      <formula>U35="WR"</formula>
    </cfRule>
    <cfRule type="expression" dxfId="7229" priority="1678">
      <formula>U35="RB"</formula>
    </cfRule>
    <cfRule type="expression" dxfId="7224" priority="1679">
      <formula>U35="QB"</formula>
    </cfRule>
  </conditionalFormatting>
  <conditionalFormatting sqref="V38">
    <cfRule type="expression" dxfId="7223" priority="1704">
      <formula>U38="K"</formula>
    </cfRule>
    <cfRule type="expression" dxfId="7222" priority="1705">
      <formula>U38="DEF"</formula>
    </cfRule>
    <cfRule type="expression" dxfId="7221" priority="1706">
      <formula>U38="TE"</formula>
    </cfRule>
    <cfRule type="expression" dxfId="7220" priority="1707">
      <formula>U38="WR"</formula>
    </cfRule>
    <cfRule type="expression" dxfId="7219" priority="1708">
      <formula>U38="RB"</formula>
    </cfRule>
    <cfRule type="expression" dxfId="7218" priority="1709">
      <formula>U38="QB"</formula>
    </cfRule>
  </conditionalFormatting>
  <conditionalFormatting sqref="V41">
    <cfRule type="expression" dxfId="7213" priority="1734">
      <formula>U41="K"</formula>
    </cfRule>
    <cfRule type="expression" dxfId="7212" priority="1735">
      <formula>U41="DEF"</formula>
    </cfRule>
    <cfRule type="expression" dxfId="7217" priority="1736">
      <formula>U41="TE"</formula>
    </cfRule>
    <cfRule type="expression" dxfId="7216" priority="1737">
      <formula>U41="WR"</formula>
    </cfRule>
    <cfRule type="expression" dxfId="7215" priority="1738">
      <formula>U41="RB"</formula>
    </cfRule>
    <cfRule type="expression" dxfId="7214" priority="1739">
      <formula>U41="QB"</formula>
    </cfRule>
  </conditionalFormatting>
  <conditionalFormatting sqref="V44">
    <cfRule type="expression" dxfId="7206" priority="1764">
      <formula>U44="K"</formula>
    </cfRule>
    <cfRule type="expression" dxfId="7207" priority="1765">
      <formula>U44="DEF"</formula>
    </cfRule>
    <cfRule type="expression" dxfId="7208" priority="1766">
      <formula>U44="TE"</formula>
    </cfRule>
    <cfRule type="expression" dxfId="7209" priority="1767">
      <formula>U44="WR"</formula>
    </cfRule>
    <cfRule type="expression" dxfId="7210" priority="1768">
      <formula>U44="RB"</formula>
    </cfRule>
    <cfRule type="expression" dxfId="7211" priority="1769">
      <formula>U44="QB"</formula>
    </cfRule>
  </conditionalFormatting>
  <conditionalFormatting sqref="V47">
    <cfRule type="expression" dxfId="7205" priority="1794">
      <formula>U47="K"</formula>
    </cfRule>
    <cfRule type="expression" dxfId="7204" priority="1795">
      <formula>U47="DEF"</formula>
    </cfRule>
    <cfRule type="expression" dxfId="7203" priority="1796">
      <formula>U47="TE"</formula>
    </cfRule>
    <cfRule type="expression" dxfId="7202" priority="1797">
      <formula>U47="WR"</formula>
    </cfRule>
    <cfRule type="expression" dxfId="7201" priority="1798">
      <formula>U47="RB"</formula>
    </cfRule>
    <cfRule type="expression" dxfId="7200" priority="1799">
      <formula>U47="QB"</formula>
    </cfRule>
  </conditionalFormatting>
  <conditionalFormatting sqref="X4">
    <cfRule type="expression" dxfId="7199" priority="1801">
      <formula>Z5="DEF"</formula>
    </cfRule>
    <cfRule type="expression" dxfId="7198" priority="1802">
      <formula>Z5="TE"</formula>
    </cfRule>
    <cfRule type="expression" dxfId="7197" priority="1803">
      <formula>Z5="WR"</formula>
    </cfRule>
    <cfRule type="expression" dxfId="7196" priority="1804">
      <formula>Z5="RB"</formula>
    </cfRule>
    <cfRule type="expression" dxfId="7195" priority="1805">
      <formula>Z5="QB"</formula>
    </cfRule>
  </conditionalFormatting>
  <conditionalFormatting sqref="X5">
    <cfRule type="expression" dxfId="7194" priority="1806">
      <formula>Z5="K"</formula>
    </cfRule>
    <cfRule type="expression" dxfId="7193" priority="1807">
      <formula>Z5="DEF"</formula>
    </cfRule>
    <cfRule type="expression" dxfId="7192" priority="1808">
      <formula>Z5="TE"</formula>
    </cfRule>
    <cfRule type="expression" dxfId="7191" priority="1809">
      <formula>Z5="WR"</formula>
    </cfRule>
    <cfRule type="expression" dxfId="7190" priority="1810">
      <formula>Z5="RB"</formula>
    </cfRule>
    <cfRule type="expression" dxfId="7189" priority="1811">
      <formula>Z5="QB"</formula>
    </cfRule>
  </conditionalFormatting>
  <conditionalFormatting sqref="X7">
    <cfRule type="expression" dxfId="7186" priority="1831">
      <formula>Z8="DEF"</formula>
    </cfRule>
    <cfRule type="expression" dxfId="7185" priority="1832">
      <formula>Z8="TE"</formula>
    </cfRule>
    <cfRule type="expression" dxfId="7184" priority="1833">
      <formula>Z8="WR"</formula>
    </cfRule>
    <cfRule type="expression" dxfId="7188" priority="1834">
      <formula>Z8="RB"</formula>
    </cfRule>
    <cfRule type="expression" dxfId="7187" priority="1835">
      <formula>Z8="QB"</formula>
    </cfRule>
  </conditionalFormatting>
  <conditionalFormatting sqref="X8">
    <cfRule type="expression" dxfId="7182" priority="1836">
      <formula>Z8="K"</formula>
    </cfRule>
    <cfRule type="expression" dxfId="7181" priority="1837">
      <formula>Z8="DEF"</formula>
    </cfRule>
    <cfRule type="expression" dxfId="7183" priority="1838">
      <formula>Z8="TE"</formula>
    </cfRule>
    <cfRule type="expression" dxfId="7180" priority="1839">
      <formula>Z8="WR"</formula>
    </cfRule>
    <cfRule type="expression" dxfId="7179" priority="1840">
      <formula>Z8="RB"</formula>
    </cfRule>
    <cfRule type="expression" dxfId="7178" priority="1841">
      <formula>Z8="QB"</formula>
    </cfRule>
  </conditionalFormatting>
  <conditionalFormatting sqref="X10">
    <cfRule type="expression" dxfId="7177" priority="1861">
      <formula>Z11="DEF"</formula>
    </cfRule>
    <cfRule type="expression" dxfId="7173" priority="1862">
      <formula>Z11="TE"</formula>
    </cfRule>
    <cfRule type="expression" dxfId="7174" priority="1863">
      <formula>Z11="WR"</formula>
    </cfRule>
    <cfRule type="expression" dxfId="7175" priority="1864">
      <formula>Z11="RB"</formula>
    </cfRule>
    <cfRule type="expression" dxfId="7176" priority="1865">
      <formula>Z11="QB"</formula>
    </cfRule>
  </conditionalFormatting>
  <conditionalFormatting sqref="X11">
    <cfRule type="expression" dxfId="7167" priority="1866">
      <formula>Z11="K"</formula>
    </cfRule>
    <cfRule type="expression" dxfId="7168" priority="1867">
      <formula>Z11="DEF"</formula>
    </cfRule>
    <cfRule type="expression" dxfId="7169" priority="1868">
      <formula>Z11="TE"</formula>
    </cfRule>
    <cfRule type="expression" dxfId="7170" priority="1869">
      <formula>Z11="WR"</formula>
    </cfRule>
    <cfRule type="expression" dxfId="7171" priority="1870">
      <formula>Z11="RB"</formula>
    </cfRule>
    <cfRule type="expression" dxfId="7172" priority="1871">
      <formula>Z11="QB"</formula>
    </cfRule>
  </conditionalFormatting>
  <conditionalFormatting sqref="X13">
    <cfRule type="expression" dxfId="7163" priority="1891">
      <formula>Z14="DEF"</formula>
    </cfRule>
    <cfRule type="expression" dxfId="7164" priority="1892">
      <formula>Z14="TE"</formula>
    </cfRule>
    <cfRule type="expression" dxfId="7165" priority="1893">
      <formula>Z14="WR"</formula>
    </cfRule>
    <cfRule type="expression" dxfId="7166" priority="1894">
      <formula>Z14="RB"</formula>
    </cfRule>
    <cfRule type="expression" dxfId="7162" priority="1895">
      <formula>Z14="QB"</formula>
    </cfRule>
  </conditionalFormatting>
  <conditionalFormatting sqref="X14">
    <cfRule type="expression" dxfId="7156" priority="1896">
      <formula>Z14="K"</formula>
    </cfRule>
    <cfRule type="expression" dxfId="7157" priority="1897">
      <formula>Z14="DEF"</formula>
    </cfRule>
    <cfRule type="expression" dxfId="7158" priority="1898">
      <formula>Z14="TE"</formula>
    </cfRule>
    <cfRule type="expression" dxfId="7159" priority="1899">
      <formula>Z14="WR"</formula>
    </cfRule>
    <cfRule type="expression" dxfId="7160" priority="1900">
      <formula>Z14="RB"</formula>
    </cfRule>
    <cfRule type="expression" dxfId="7161" priority="1901">
      <formula>Z14="QB"</formula>
    </cfRule>
  </conditionalFormatting>
  <conditionalFormatting sqref="X16">
    <cfRule type="expression" dxfId="7154" priority="1921">
      <formula>Z17="DEF"</formula>
    </cfRule>
    <cfRule type="expression" dxfId="7153" priority="1922">
      <formula>Z17="TE"</formula>
    </cfRule>
    <cfRule type="expression" dxfId="7152" priority="1923">
      <formula>Z17="WR"</formula>
    </cfRule>
    <cfRule type="expression" dxfId="7155" priority="1924">
      <formula>Z17="RB"</formula>
    </cfRule>
    <cfRule type="expression" dxfId="7151" priority="1925">
      <formula>Z17="QB"</formula>
    </cfRule>
  </conditionalFormatting>
  <conditionalFormatting sqref="X17">
    <cfRule type="expression" dxfId="7150" priority="1926">
      <formula>Z17="K"</formula>
    </cfRule>
    <cfRule type="expression" dxfId="7149" priority="1927">
      <formula>Z17="DEF"</formula>
    </cfRule>
    <cfRule type="expression" dxfId="7148" priority="1928">
      <formula>Z17="TE"</formula>
    </cfRule>
    <cfRule type="expression" dxfId="7147" priority="1929">
      <formula>Z17="WR"</formula>
    </cfRule>
    <cfRule type="expression" dxfId="7146" priority="1930">
      <formula>Z17="RB"</formula>
    </cfRule>
    <cfRule type="expression" dxfId="7145" priority="1931">
      <formula>Z17="QB"</formula>
    </cfRule>
  </conditionalFormatting>
  <conditionalFormatting sqref="X19">
    <cfRule type="expression" dxfId="7144" priority="1951">
      <formula>Z20="DEF"</formula>
    </cfRule>
    <cfRule type="expression" dxfId="7143" priority="1952">
      <formula>Z20="TE"</formula>
    </cfRule>
    <cfRule type="expression" dxfId="7142" priority="1953">
      <formula>Z20="WR"</formula>
    </cfRule>
    <cfRule type="expression" dxfId="7141" priority="1954">
      <formula>Z20="RB"</formula>
    </cfRule>
    <cfRule type="expression" dxfId="7140" priority="1955">
      <formula>Z20="QB"</formula>
    </cfRule>
  </conditionalFormatting>
  <conditionalFormatting sqref="X20">
    <cfRule type="expression" dxfId="7138" priority="1956">
      <formula>Z20="K"</formula>
    </cfRule>
    <cfRule type="expression" dxfId="7139" priority="1957">
      <formula>Z20="DEF"</formula>
    </cfRule>
    <cfRule type="expression" dxfId="7134" priority="1958">
      <formula>Z20="TE"</formula>
    </cfRule>
    <cfRule type="expression" dxfId="7135" priority="1959">
      <formula>Z20="WR"</formula>
    </cfRule>
    <cfRule type="expression" dxfId="7136" priority="1960">
      <formula>Z20="RB"</formula>
    </cfRule>
    <cfRule type="expression" dxfId="7137" priority="1961">
      <formula>Z20="QB"</formula>
    </cfRule>
  </conditionalFormatting>
  <conditionalFormatting sqref="X22">
    <cfRule type="expression" dxfId="7129" priority="1981">
      <formula>Z23="DEF"</formula>
    </cfRule>
    <cfRule type="expression" dxfId="7130" priority="1982">
      <formula>Z23="TE"</formula>
    </cfRule>
    <cfRule type="expression" dxfId="7131" priority="1983">
      <formula>Z23="WR"</formula>
    </cfRule>
    <cfRule type="expression" dxfId="7132" priority="1984">
      <formula>Z23="RB"</formula>
    </cfRule>
    <cfRule type="expression" dxfId="7133" priority="1985">
      <formula>Z23="QB"</formula>
    </cfRule>
  </conditionalFormatting>
  <conditionalFormatting sqref="X23">
    <cfRule type="expression" dxfId="7123" priority="1986">
      <formula>Z23="K"</formula>
    </cfRule>
    <cfRule type="expression" dxfId="7124" priority="1987">
      <formula>Z23="DEF"</formula>
    </cfRule>
    <cfRule type="expression" dxfId="7125" priority="1988">
      <formula>Z23="TE"</formula>
    </cfRule>
    <cfRule type="expression" dxfId="7126" priority="1989">
      <formula>Z23="WR"</formula>
    </cfRule>
    <cfRule type="expression" dxfId="7128" priority="1990">
      <formula>Z23="RB"</formula>
    </cfRule>
    <cfRule type="expression" dxfId="7127" priority="1991">
      <formula>Z23="QB"</formula>
    </cfRule>
  </conditionalFormatting>
  <conditionalFormatting sqref="X25">
    <cfRule type="expression" dxfId="7122" priority="2011">
      <formula>Z26="DEF"</formula>
    </cfRule>
    <cfRule type="expression" dxfId="7121" priority="2012">
      <formula>Z26="TE"</formula>
    </cfRule>
    <cfRule type="expression" dxfId="7118" priority="2013">
      <formula>Z26="WR"</formula>
    </cfRule>
    <cfRule type="expression" dxfId="7119" priority="2014">
      <formula>Z26="RB"</formula>
    </cfRule>
    <cfRule type="expression" dxfId="7120" priority="2015">
      <formula>Z26="QB"</formula>
    </cfRule>
  </conditionalFormatting>
  <conditionalFormatting sqref="X26">
    <cfRule type="expression" dxfId="7112" priority="2016">
      <formula>Z26="K"</formula>
    </cfRule>
    <cfRule type="expression" dxfId="7113" priority="2017">
      <formula>Z26="DEF"</formula>
    </cfRule>
    <cfRule type="expression" dxfId="7114" priority="2018">
      <formula>Z26="TE"</formula>
    </cfRule>
    <cfRule type="expression" dxfId="7115" priority="2019">
      <formula>Z26="WR"</formula>
    </cfRule>
    <cfRule type="expression" dxfId="7116" priority="2020">
      <formula>Z26="RB"</formula>
    </cfRule>
    <cfRule type="expression" dxfId="7117" priority="2021">
      <formula>Z26="QB"</formula>
    </cfRule>
  </conditionalFormatting>
  <conditionalFormatting sqref="X28">
    <cfRule type="expression" dxfId="7108" priority="2041">
      <formula>Z29="DEF"</formula>
    </cfRule>
    <cfRule type="expression" dxfId="7109" priority="2042">
      <formula>Z29="TE"</formula>
    </cfRule>
    <cfRule type="expression" dxfId="7107" priority="2043">
      <formula>Z29="WR"</formula>
    </cfRule>
    <cfRule type="expression" dxfId="7111" priority="2044">
      <formula>Z29="RB"</formula>
    </cfRule>
    <cfRule type="expression" dxfId="7110" priority="2045">
      <formula>Z29="QB"</formula>
    </cfRule>
  </conditionalFormatting>
  <conditionalFormatting sqref="X29">
    <cfRule type="expression" dxfId="7105" priority="2046">
      <formula>Z29="K"</formula>
    </cfRule>
    <cfRule type="expression" dxfId="7104" priority="2047">
      <formula>Z29="DEF"</formula>
    </cfRule>
    <cfRule type="expression" dxfId="7103" priority="2048">
      <formula>Z29="TE"</formula>
    </cfRule>
    <cfRule type="expression" dxfId="7102" priority="2049">
      <formula>Z29="WR"</formula>
    </cfRule>
    <cfRule type="expression" dxfId="7106" priority="2050">
      <formula>Z29="RB"</formula>
    </cfRule>
    <cfRule type="expression" dxfId="7101" priority="2051">
      <formula>Z29="QB"</formula>
    </cfRule>
  </conditionalFormatting>
  <conditionalFormatting sqref="X31">
    <cfRule type="expression" dxfId="7099" priority="2071">
      <formula>Z32="DEF"</formula>
    </cfRule>
    <cfRule type="expression" dxfId="7098" priority="2072">
      <formula>Z32="TE"</formula>
    </cfRule>
    <cfRule type="expression" dxfId="7097" priority="2073">
      <formula>Z32="WR"</formula>
    </cfRule>
    <cfRule type="expression" dxfId="7096" priority="2074">
      <formula>Z32="RB"</formula>
    </cfRule>
    <cfRule type="expression" dxfId="7100" priority="2075">
      <formula>Z32="QB"</formula>
    </cfRule>
  </conditionalFormatting>
  <conditionalFormatting sqref="X32">
    <cfRule type="expression" dxfId="7091" priority="2076">
      <formula>Z32="K"</formula>
    </cfRule>
    <cfRule type="expression" dxfId="7090" priority="2077">
      <formula>Z32="DEF"</formula>
    </cfRule>
    <cfRule type="expression" dxfId="7092" priority="2078">
      <formula>Z32="TE"</formula>
    </cfRule>
    <cfRule type="expression" dxfId="7093" priority="2079">
      <formula>Z32="WR"</formula>
    </cfRule>
    <cfRule type="expression" dxfId="7094" priority="2080">
      <formula>Z32="RB"</formula>
    </cfRule>
    <cfRule type="expression" dxfId="7095" priority="2081">
      <formula>Z32="QB"</formula>
    </cfRule>
  </conditionalFormatting>
  <conditionalFormatting sqref="X34">
    <cfRule type="expression" dxfId="7089" priority="2101">
      <formula>Z35="DEF"</formula>
    </cfRule>
    <cfRule type="expression" dxfId="7088" priority="2102">
      <formula>Z35="TE"</formula>
    </cfRule>
    <cfRule type="expression" dxfId="7085" priority="2103">
      <formula>Z35="WR"</formula>
    </cfRule>
    <cfRule type="expression" dxfId="7086" priority="2104">
      <formula>Z35="RB"</formula>
    </cfRule>
    <cfRule type="expression" dxfId="7087" priority="2105">
      <formula>Z35="QB"</formula>
    </cfRule>
  </conditionalFormatting>
  <conditionalFormatting sqref="X35">
    <cfRule type="expression" dxfId="7080" priority="2106">
      <formula>Z35="K"</formula>
    </cfRule>
    <cfRule type="expression" dxfId="7082" priority="2107">
      <formula>Z35="DEF"</formula>
    </cfRule>
    <cfRule type="expression" dxfId="7081" priority="2108">
      <formula>Z35="TE"</formula>
    </cfRule>
    <cfRule type="expression" dxfId="7083" priority="2109">
      <formula>Z35="WR"</formula>
    </cfRule>
    <cfRule type="expression" dxfId="7084" priority="2110">
      <formula>Z35="RB"</formula>
    </cfRule>
    <cfRule type="expression" dxfId="7079" priority="2111">
      <formula>Z35="QB"</formula>
    </cfRule>
  </conditionalFormatting>
  <conditionalFormatting sqref="X37">
    <cfRule type="expression" dxfId="7077" priority="2131">
      <formula>Z38="DEF"</formula>
    </cfRule>
    <cfRule type="expression" dxfId="7076" priority="2132">
      <formula>Z38="TE"</formula>
    </cfRule>
    <cfRule type="expression" dxfId="7075" priority="2133">
      <formula>Z38="WR"</formula>
    </cfRule>
    <cfRule type="expression" dxfId="7078" priority="2134">
      <formula>Z38="RB"</formula>
    </cfRule>
    <cfRule type="expression" dxfId="7074" priority="2135">
      <formula>Z38="QB"</formula>
    </cfRule>
  </conditionalFormatting>
  <conditionalFormatting sqref="X38">
    <cfRule type="expression" dxfId="7072" priority="2136">
      <formula>Z38="K"</formula>
    </cfRule>
    <cfRule type="expression" dxfId="7068" priority="2137">
      <formula>Z38="DEF"</formula>
    </cfRule>
    <cfRule type="expression" dxfId="7073" priority="2138">
      <formula>Z38="TE"</formula>
    </cfRule>
    <cfRule type="expression" dxfId="7069" priority="2139">
      <formula>Z38="WR"</formula>
    </cfRule>
    <cfRule type="expression" dxfId="7070" priority="2140">
      <formula>Z38="RB"</formula>
    </cfRule>
    <cfRule type="expression" dxfId="7071" priority="2141">
      <formula>Z38="QB"</formula>
    </cfRule>
  </conditionalFormatting>
  <conditionalFormatting sqref="X40">
    <cfRule type="expression" dxfId="7067" priority="2161">
      <formula>Z41="DEF"</formula>
    </cfRule>
    <cfRule type="expression" dxfId="7066" priority="2162">
      <formula>Z41="TE"</formula>
    </cfRule>
    <cfRule type="expression" dxfId="7063" priority="2163">
      <formula>Z41="WR"</formula>
    </cfRule>
    <cfRule type="expression" dxfId="7064" priority="2164">
      <formula>Z41="RB"</formula>
    </cfRule>
    <cfRule type="expression" dxfId="7065" priority="2165">
      <formula>Z41="QB"</formula>
    </cfRule>
  </conditionalFormatting>
  <conditionalFormatting sqref="X41">
    <cfRule type="expression" dxfId="7062" priority="2166">
      <formula>Z41="K"</formula>
    </cfRule>
    <cfRule type="expression" dxfId="7057" priority="2167">
      <formula>Z41="DEF"</formula>
    </cfRule>
    <cfRule type="expression" dxfId="7058" priority="2168">
      <formula>Z41="TE"</formula>
    </cfRule>
    <cfRule type="expression" dxfId="7059" priority="2169">
      <formula>Z41="WR"</formula>
    </cfRule>
    <cfRule type="expression" dxfId="7060" priority="2170">
      <formula>Z41="RB"</formula>
    </cfRule>
    <cfRule type="expression" dxfId="7061" priority="2171">
      <formula>Z41="QB"</formula>
    </cfRule>
  </conditionalFormatting>
  <conditionalFormatting sqref="X43">
    <cfRule type="expression" dxfId="7055" priority="2191">
      <formula>Z44="DEF"</formula>
    </cfRule>
    <cfRule type="expression" dxfId="7054" priority="2192">
      <formula>Z44="TE"</formula>
    </cfRule>
    <cfRule type="expression" dxfId="7056" priority="2193">
      <formula>Z44="WR"</formula>
    </cfRule>
    <cfRule type="expression" dxfId="7053" priority="2194">
      <formula>Z44="RB"</formula>
    </cfRule>
    <cfRule type="expression" dxfId="7052" priority="2195">
      <formula>Z44="QB"</formula>
    </cfRule>
  </conditionalFormatting>
  <conditionalFormatting sqref="X44">
    <cfRule type="expression" dxfId="7049" priority="2196">
      <formula>Z44="K"</formula>
    </cfRule>
    <cfRule type="expression" dxfId="7051" priority="2197">
      <formula>Z44="DEF"</formula>
    </cfRule>
    <cfRule type="expression" dxfId="7050" priority="2198">
      <formula>Z44="TE"</formula>
    </cfRule>
    <cfRule type="expression" dxfId="7048" priority="2199">
      <formula>Z44="WR"</formula>
    </cfRule>
    <cfRule type="expression" dxfId="7047" priority="2200">
      <formula>Z44="RB"</formula>
    </cfRule>
    <cfRule type="expression" dxfId="7046" priority="2201">
      <formula>Z44="QB"</formula>
    </cfRule>
  </conditionalFormatting>
  <conditionalFormatting sqref="X46">
    <cfRule type="expression" dxfId="7045" priority="2221">
      <formula>Z47="DEF"</formula>
    </cfRule>
    <cfRule type="expression" dxfId="7044" priority="2222">
      <formula>Z47="TE"</formula>
    </cfRule>
    <cfRule type="expression" dxfId="7043" priority="2223">
      <formula>Z47="WR"</formula>
    </cfRule>
    <cfRule type="expression" dxfId="7041" priority="2224">
      <formula>Z47="RB"</formula>
    </cfRule>
    <cfRule type="expression" dxfId="7042" priority="2225">
      <formula>Z47="QB"</formula>
    </cfRule>
  </conditionalFormatting>
  <conditionalFormatting sqref="X47">
    <cfRule type="expression" dxfId="7040" priority="2226">
      <formula>Z47="K"</formula>
    </cfRule>
    <cfRule type="expression" dxfId="7039" priority="2227">
      <formula>Z47="DEF"</formula>
    </cfRule>
    <cfRule type="expression" dxfId="7038" priority="2228">
      <formula>Z47="TE"</formula>
    </cfRule>
    <cfRule type="expression" dxfId="7037" priority="2229">
      <formula>Z47="WR"</formula>
    </cfRule>
    <cfRule type="expression" dxfId="7036" priority="2230">
      <formula>Z47="RB"</formula>
    </cfRule>
    <cfRule type="expression" dxfId="7035" priority="2231">
      <formula>Z47="QB"</formula>
    </cfRule>
  </conditionalFormatting>
  <conditionalFormatting sqref="X4:AA4">
    <cfRule type="expression" dxfId="7034" priority="1830">
      <formula>Z5="K"</formula>
    </cfRule>
  </conditionalFormatting>
  <conditionalFormatting sqref="X7:AA7">
    <cfRule type="expression" dxfId="7033" priority="1860">
      <formula>Z8="K"</formula>
    </cfRule>
  </conditionalFormatting>
  <conditionalFormatting sqref="X10:AA10">
    <cfRule type="expression" dxfId="7032" priority="1890">
      <formula>Z11="K"</formula>
    </cfRule>
  </conditionalFormatting>
  <conditionalFormatting sqref="X13:AA13">
    <cfRule type="expression" dxfId="7031" priority="1920">
      <formula>Z14="K"</formula>
    </cfRule>
  </conditionalFormatting>
  <conditionalFormatting sqref="X16:AA16">
    <cfRule type="expression" dxfId="7030" priority="1950">
      <formula>Z17="K"</formula>
    </cfRule>
  </conditionalFormatting>
  <conditionalFormatting sqref="X19:AA19">
    <cfRule type="expression" dxfId="7029" priority="1980">
      <formula>Z20="K"</formula>
    </cfRule>
  </conditionalFormatting>
  <conditionalFormatting sqref="X22:AA22">
    <cfRule type="expression" dxfId="7028" priority="2010">
      <formula>Z23="K"</formula>
    </cfRule>
  </conditionalFormatting>
  <conditionalFormatting sqref="X25:AA25">
    <cfRule type="expression" dxfId="7027" priority="2040">
      <formula>Z26="K"</formula>
    </cfRule>
  </conditionalFormatting>
  <conditionalFormatting sqref="X28:AA28">
    <cfRule type="expression" dxfId="7026" priority="2070">
      <formula>Z29="K"</formula>
    </cfRule>
  </conditionalFormatting>
  <conditionalFormatting sqref="X31:AA31">
    <cfRule type="expression" dxfId="7025" priority="2100">
      <formula>Z32="K"</formula>
    </cfRule>
  </conditionalFormatting>
  <conditionalFormatting sqref="X34:AA34">
    <cfRule type="expression" dxfId="7024" priority="2130">
      <formula>Z35="K"</formula>
    </cfRule>
  </conditionalFormatting>
  <conditionalFormatting sqref="X37:AA37">
    <cfRule type="expression" dxfId="7023" priority="2160">
      <formula>Z38="K"</formula>
    </cfRule>
  </conditionalFormatting>
  <conditionalFormatting sqref="X40:AA40">
    <cfRule type="expression" dxfId="7022" priority="2190">
      <formula>Z41="K"</formula>
    </cfRule>
  </conditionalFormatting>
  <conditionalFormatting sqref="X43:AA43">
    <cfRule type="expression" dxfId="7021" priority="2220">
      <formula>Z44="K"</formula>
    </cfRule>
  </conditionalFormatting>
  <conditionalFormatting sqref="X46:AA46">
    <cfRule type="expression" dxfId="7020" priority="2250">
      <formula>Z47="K"</formula>
    </cfRule>
  </conditionalFormatting>
  <conditionalFormatting sqref="Y5">
    <cfRule type="expression" dxfId="7015" priority="1812">
      <formula>Z5="K"</formula>
    </cfRule>
    <cfRule type="expression" dxfId="7016" priority="1813">
      <formula>Z5="DEF"</formula>
    </cfRule>
    <cfRule type="expression" dxfId="7017" priority="1814">
      <formula>Z5="TE"</formula>
    </cfRule>
    <cfRule type="expression" dxfId="7018" priority="1815">
      <formula>Z5="WR"</formula>
    </cfRule>
    <cfRule type="expression" dxfId="7019" priority="1816">
      <formula>Z5="RB"</formula>
    </cfRule>
    <cfRule type="expression" dxfId="7014" priority="1817">
      <formula>Z5="QB"</formula>
    </cfRule>
  </conditionalFormatting>
  <conditionalFormatting sqref="Y8">
    <cfRule type="expression" dxfId="7009" priority="1842">
      <formula>Z8="K"</formula>
    </cfRule>
    <cfRule type="expression" dxfId="7010" priority="1843">
      <formula>Z8="DEF"</formula>
    </cfRule>
    <cfRule type="expression" dxfId="7011" priority="1844">
      <formula>Z8="TE"</formula>
    </cfRule>
    <cfRule type="expression" dxfId="7012" priority="1845">
      <formula>Z8="WR"</formula>
    </cfRule>
    <cfRule type="expression" dxfId="7013" priority="1846">
      <formula>Z8="RB"</formula>
    </cfRule>
    <cfRule type="expression" dxfId="7008" priority="1847">
      <formula>Z8="QB"</formula>
    </cfRule>
  </conditionalFormatting>
  <conditionalFormatting sqref="Y11">
    <cfRule type="expression" dxfId="7005" priority="1872">
      <formula>Z11="K"</formula>
    </cfRule>
    <cfRule type="expression" dxfId="7004" priority="1873">
      <formula>Z11="DEF"</formula>
    </cfRule>
    <cfRule type="expression" dxfId="7003" priority="1874">
      <formula>Z11="TE"</formula>
    </cfRule>
    <cfRule type="expression" dxfId="7002" priority="1875">
      <formula>Z11="WR"</formula>
    </cfRule>
    <cfRule type="expression" dxfId="7006" priority="1876">
      <formula>Z11="RB"</formula>
    </cfRule>
    <cfRule type="expression" dxfId="7007" priority="1877">
      <formula>Z11="QB"</formula>
    </cfRule>
  </conditionalFormatting>
  <conditionalFormatting sqref="Y14">
    <cfRule type="expression" dxfId="6996" priority="1902">
      <formula>Z14="K"</formula>
    </cfRule>
    <cfRule type="expression" dxfId="6997" priority="1903">
      <formula>Z14="DEF"</formula>
    </cfRule>
    <cfRule type="expression" dxfId="6998" priority="1904">
      <formula>Z14="TE"</formula>
    </cfRule>
    <cfRule type="expression" dxfId="6999" priority="1905">
      <formula>Z14="WR"</formula>
    </cfRule>
    <cfRule type="expression" dxfId="7000" priority="1906">
      <formula>Z14="RB"</formula>
    </cfRule>
    <cfRule type="expression" dxfId="7001" priority="1907">
      <formula>Z14="QB"</formula>
    </cfRule>
  </conditionalFormatting>
  <conditionalFormatting sqref="Y17">
    <cfRule type="expression" dxfId="6993" priority="1932">
      <formula>Z17="K"</formula>
    </cfRule>
    <cfRule type="expression" dxfId="6994" priority="1933">
      <formula>Z17="DEF"</formula>
    </cfRule>
    <cfRule type="expression" dxfId="6995" priority="1934">
      <formula>Z17="TE"</formula>
    </cfRule>
    <cfRule type="expression" dxfId="6990" priority="1935">
      <formula>Z17="WR"</formula>
    </cfRule>
    <cfRule type="expression" dxfId="6991" priority="1936">
      <formula>Z17="RB"</formula>
    </cfRule>
    <cfRule type="expression" dxfId="6992" priority="1937">
      <formula>Z17="QB"</formula>
    </cfRule>
  </conditionalFormatting>
  <conditionalFormatting sqref="Y20">
    <cfRule type="expression" dxfId="6984" priority="1962">
      <formula>Z20="K"</formula>
    </cfRule>
    <cfRule type="expression" dxfId="6985" priority="1963">
      <formula>Z20="DEF"</formula>
    </cfRule>
    <cfRule type="expression" dxfId="6986" priority="1964">
      <formula>Z20="TE"</formula>
    </cfRule>
    <cfRule type="expression" dxfId="6987" priority="1965">
      <formula>Z20="WR"</formula>
    </cfRule>
    <cfRule type="expression" dxfId="6989" priority="1966">
      <formula>Z20="RB"</formula>
    </cfRule>
    <cfRule type="expression" dxfId="6988" priority="1967">
      <formula>Z20="QB"</formula>
    </cfRule>
  </conditionalFormatting>
  <conditionalFormatting sqref="Y23">
    <cfRule type="expression" dxfId="6980" priority="1992">
      <formula>Z23="K"</formula>
    </cfRule>
    <cfRule type="expression" dxfId="6979" priority="1993">
      <formula>Z23="DEF"</formula>
    </cfRule>
    <cfRule type="expression" dxfId="6978" priority="1994">
      <formula>Z23="TE"</formula>
    </cfRule>
    <cfRule type="expression" dxfId="6983" priority="1995">
      <formula>Z23="WR"</formula>
    </cfRule>
    <cfRule type="expression" dxfId="6982" priority="1996">
      <formula>Z23="RB"</formula>
    </cfRule>
    <cfRule type="expression" dxfId="6981" priority="1997">
      <formula>Z23="QB"</formula>
    </cfRule>
  </conditionalFormatting>
  <conditionalFormatting sqref="Y26">
    <cfRule type="expression" dxfId="6972" priority="2022">
      <formula>Z26="K"</formula>
    </cfRule>
    <cfRule type="expression" dxfId="6977" priority="2023">
      <formula>Z26="DEF"</formula>
    </cfRule>
    <cfRule type="expression" dxfId="6976" priority="2024">
      <formula>Z26="TE"</formula>
    </cfRule>
    <cfRule type="expression" dxfId="6975" priority="2025">
      <formula>Z26="WR"</formula>
    </cfRule>
    <cfRule type="expression" dxfId="6973" priority="2026">
      <formula>Z26="RB"</formula>
    </cfRule>
    <cfRule type="expression" dxfId="6974" priority="2027">
      <formula>Z26="QB"</formula>
    </cfRule>
  </conditionalFormatting>
  <conditionalFormatting sqref="Y29">
    <cfRule type="expression" dxfId="6971" priority="2052">
      <formula>Z29="K"</formula>
    </cfRule>
    <cfRule type="expression" dxfId="6970" priority="2053">
      <formula>Z29="DEF"</formula>
    </cfRule>
    <cfRule type="expression" dxfId="6969" priority="2054">
      <formula>Z29="TE"</formula>
    </cfRule>
    <cfRule type="expression" dxfId="6966" priority="2055">
      <formula>Z29="WR"</formula>
    </cfRule>
    <cfRule type="expression" dxfId="6967" priority="2056">
      <formula>Z29="RB"</formula>
    </cfRule>
    <cfRule type="expression" dxfId="6968" priority="2057">
      <formula>Z29="QB"</formula>
    </cfRule>
  </conditionalFormatting>
  <conditionalFormatting sqref="Y32">
    <cfRule type="expression" dxfId="6960" priority="2082">
      <formula>Z32="K"</formula>
    </cfRule>
    <cfRule type="expression" dxfId="6965" priority="2083">
      <formula>Z32="DEF"</formula>
    </cfRule>
    <cfRule type="expression" dxfId="6962" priority="2084">
      <formula>Z32="TE"</formula>
    </cfRule>
    <cfRule type="expression" dxfId="6961" priority="2085">
      <formula>Z32="WR"</formula>
    </cfRule>
    <cfRule type="expression" dxfId="6963" priority="2086">
      <formula>Z32="RB"</formula>
    </cfRule>
    <cfRule type="expression" dxfId="6964" priority="2087">
      <formula>Z32="QB"</formula>
    </cfRule>
  </conditionalFormatting>
  <conditionalFormatting sqref="Y35">
    <cfRule type="expression" dxfId="6954" priority="2112">
      <formula>Z35="K"</formula>
    </cfRule>
    <cfRule type="expression" dxfId="6959" priority="2113">
      <formula>Z35="DEF"</formula>
    </cfRule>
    <cfRule type="expression" dxfId="6958" priority="2114">
      <formula>Z35="TE"</formula>
    </cfRule>
    <cfRule type="expression" dxfId="6957" priority="2115">
      <formula>Z35="WR"</formula>
    </cfRule>
    <cfRule type="expression" dxfId="6956" priority="2116">
      <formula>Z35="RB"</formula>
    </cfRule>
    <cfRule type="expression" dxfId="6955" priority="2117">
      <formula>Z35="QB"</formula>
    </cfRule>
  </conditionalFormatting>
  <conditionalFormatting sqref="Y38">
    <cfRule type="expression" dxfId="6949" priority="2142">
      <formula>Z38="K"</formula>
    </cfRule>
    <cfRule type="expression" dxfId="6948" priority="2143">
      <formula>Z38="DEF"</formula>
    </cfRule>
    <cfRule type="expression" dxfId="6950" priority="2144">
      <formula>Z38="TE"</formula>
    </cfRule>
    <cfRule type="expression" dxfId="6952" priority="2145">
      <formula>Z38="WR"</formula>
    </cfRule>
    <cfRule type="expression" dxfId="6953" priority="2146">
      <formula>Z38="RB"</formula>
    </cfRule>
    <cfRule type="expression" dxfId="6951" priority="2147">
      <formula>Z38="QB"</formula>
    </cfRule>
  </conditionalFormatting>
  <conditionalFormatting sqref="Y41">
    <cfRule type="expression" dxfId="6946" priority="2172">
      <formula>Z41="K"</formula>
    </cfRule>
    <cfRule type="expression" dxfId="6945" priority="2173">
      <formula>Z41="DEF"</formula>
    </cfRule>
    <cfRule type="expression" dxfId="6944" priority="2174">
      <formula>Z41="TE"</formula>
    </cfRule>
    <cfRule type="expression" dxfId="6943" priority="2175">
      <formula>Z41="WR"</formula>
    </cfRule>
    <cfRule type="expression" dxfId="6942" priority="2176">
      <formula>Z41="RB"</formula>
    </cfRule>
    <cfRule type="expression" dxfId="6947" priority="2177">
      <formula>Z41="QB"</formula>
    </cfRule>
  </conditionalFormatting>
  <conditionalFormatting sqref="Y44">
    <cfRule type="expression" dxfId="6936" priority="2202">
      <formula>Z44="K"</formula>
    </cfRule>
    <cfRule type="expression" dxfId="6937" priority="2203">
      <formula>Z44="DEF"</formula>
    </cfRule>
    <cfRule type="expression" dxfId="6938" priority="2204">
      <formula>Z44="TE"</formula>
    </cfRule>
    <cfRule type="expression" dxfId="6939" priority="2205">
      <formula>Z44="WR"</formula>
    </cfRule>
    <cfRule type="expression" dxfId="6940" priority="2206">
      <formula>Z44="RB"</formula>
    </cfRule>
    <cfRule type="expression" dxfId="6941" priority="2207">
      <formula>Z44="QB"</formula>
    </cfRule>
  </conditionalFormatting>
  <conditionalFormatting sqref="Y47">
    <cfRule type="expression" dxfId="6934" priority="2232">
      <formula>Z47="K"</formula>
    </cfRule>
    <cfRule type="expression" dxfId="6935" priority="2233">
      <formula>Z47="DEF"</formula>
    </cfRule>
    <cfRule type="expression" dxfId="6930" priority="2234">
      <formula>Z47="TE"</formula>
    </cfRule>
    <cfRule type="expression" dxfId="6933" priority="2235">
      <formula>Z47="WR"</formula>
    </cfRule>
    <cfRule type="expression" dxfId="6932" priority="2236">
      <formula>Z47="RB"</formula>
    </cfRule>
    <cfRule type="expression" dxfId="6931" priority="2237">
      <formula>Z47="QB"</formula>
    </cfRule>
  </conditionalFormatting>
  <conditionalFormatting sqref="Z5">
    <cfRule type="expression" dxfId="6928" priority="1818">
      <formula>Z5="K"</formula>
    </cfRule>
    <cfRule type="expression" dxfId="6927" priority="1819">
      <formula>Z5="DEF"</formula>
    </cfRule>
    <cfRule type="expression" dxfId="6926" priority="1820">
      <formula>Z5="TE"</formula>
    </cfRule>
    <cfRule type="expression" dxfId="6929" priority="1821">
      <formula>Z5="WR"</formula>
    </cfRule>
    <cfRule type="expression" dxfId="6925" priority="1822">
      <formula>Z5="RB"</formula>
    </cfRule>
    <cfRule type="expression" dxfId="6924" priority="1823">
      <formula>Z5="QB"</formula>
    </cfRule>
  </conditionalFormatting>
  <conditionalFormatting sqref="Z8">
    <cfRule type="expression" dxfId="6918" priority="1848">
      <formula>Z8="K"</formula>
    </cfRule>
    <cfRule type="expression" dxfId="6919" priority="1849">
      <formula>Z8="DEF"</formula>
    </cfRule>
    <cfRule type="expression" dxfId="6920" priority="1850">
      <formula>Z8="TE"</formula>
    </cfRule>
    <cfRule type="expression" dxfId="6921" priority="1851">
      <formula>Z8="WR"</formula>
    </cfRule>
    <cfRule type="expression" dxfId="6922" priority="1852">
      <formula>Z8="RB"</formula>
    </cfRule>
    <cfRule type="expression" dxfId="6923" priority="1853">
      <formula>Z8="QB"</formula>
    </cfRule>
  </conditionalFormatting>
  <conditionalFormatting sqref="Z11">
    <cfRule type="expression" dxfId="6916" priority="1878">
      <formula>Z11="K"</formula>
    </cfRule>
    <cfRule type="expression" dxfId="6915" priority="1879">
      <formula>Z11="DEF"</formula>
    </cfRule>
    <cfRule type="expression" dxfId="6914" priority="1880">
      <formula>Z11="TE"</formula>
    </cfRule>
    <cfRule type="expression" dxfId="6913" priority="1881">
      <formula>Z11="WR"</formula>
    </cfRule>
    <cfRule type="expression" dxfId="6912" priority="1882">
      <formula>Z11="RB"</formula>
    </cfRule>
    <cfRule type="expression" dxfId="6917" priority="1883">
      <formula>Z11="QB"</formula>
    </cfRule>
  </conditionalFormatting>
  <conditionalFormatting sqref="Z14">
    <cfRule type="expression" dxfId="6907" priority="1908">
      <formula>Z14="K"</formula>
    </cfRule>
    <cfRule type="expression" dxfId="6911" priority="1909">
      <formula>Z14="DEF"</formula>
    </cfRule>
    <cfRule type="expression" dxfId="6908" priority="1910">
      <formula>Z14="TE"</formula>
    </cfRule>
    <cfRule type="expression" dxfId="6909" priority="1911">
      <formula>Z14="WR"</formula>
    </cfRule>
    <cfRule type="expression" dxfId="6906" priority="1912">
      <formula>Z14="RB"</formula>
    </cfRule>
    <cfRule type="expression" dxfId="6910" priority="1913">
      <formula>Z14="QB"</formula>
    </cfRule>
  </conditionalFormatting>
  <conditionalFormatting sqref="Z17">
    <cfRule type="expression" dxfId="6905" priority="1938">
      <formula>Z17="K"</formula>
    </cfRule>
    <cfRule type="expression" dxfId="6904" priority="1939">
      <formula>Z17="DEF"</formula>
    </cfRule>
    <cfRule type="expression" dxfId="6903" priority="1940">
      <formula>Z17="TE"</formula>
    </cfRule>
    <cfRule type="expression" dxfId="6902" priority="1941">
      <formula>Z17="WR"</formula>
    </cfRule>
    <cfRule type="expression" dxfId="6901" priority="1942">
      <formula>Z17="RB"</formula>
    </cfRule>
    <cfRule type="expression" dxfId="6900" priority="1943">
      <formula>Z17="QB"</formula>
    </cfRule>
  </conditionalFormatting>
  <conditionalFormatting sqref="Z20">
    <cfRule type="expression" dxfId="6895" priority="1968">
      <formula>Z20="K"</formula>
    </cfRule>
    <cfRule type="expression" dxfId="6896" priority="1969">
      <formula>Z20="DEF"</formula>
    </cfRule>
    <cfRule type="expression" dxfId="6894" priority="1970">
      <formula>Z20="TE"</formula>
    </cfRule>
    <cfRule type="expression" dxfId="6897" priority="1971">
      <formula>Z20="WR"</formula>
    </cfRule>
    <cfRule type="expression" dxfId="6898" priority="1972">
      <formula>Z20="RB"</formula>
    </cfRule>
    <cfRule type="expression" dxfId="6899" priority="1973">
      <formula>Z20="QB"</formula>
    </cfRule>
  </conditionalFormatting>
  <conditionalFormatting sqref="Z23">
    <cfRule type="expression" dxfId="6890" priority="1998">
      <formula>Z23="K"</formula>
    </cfRule>
    <cfRule type="expression" dxfId="6889" priority="1999">
      <formula>Z23="DEF"</formula>
    </cfRule>
    <cfRule type="expression" dxfId="6893" priority="2000">
      <formula>Z23="TE"</formula>
    </cfRule>
    <cfRule type="expression" dxfId="6888" priority="2001">
      <formula>Z23="WR"</formula>
    </cfRule>
    <cfRule type="expression" dxfId="6891" priority="2002">
      <formula>Z23="RB"</formula>
    </cfRule>
    <cfRule type="expression" dxfId="6892" priority="2003">
      <formula>Z23="QB"</formula>
    </cfRule>
  </conditionalFormatting>
  <conditionalFormatting sqref="Z26">
    <cfRule type="expression" dxfId="6884" priority="2028">
      <formula>Z26="K"</formula>
    </cfRule>
    <cfRule type="expression" dxfId="6885" priority="2029">
      <formula>Z26="DEF"</formula>
    </cfRule>
    <cfRule type="expression" dxfId="6882" priority="2030">
      <formula>Z26="TE"</formula>
    </cfRule>
    <cfRule type="expression" dxfId="6886" priority="2031">
      <formula>Z26="WR"</formula>
    </cfRule>
    <cfRule type="expression" dxfId="6887" priority="2032">
      <formula>Z26="RB"</formula>
    </cfRule>
    <cfRule type="expression" dxfId="6883" priority="2033">
      <formula>Z26="QB"</formula>
    </cfRule>
  </conditionalFormatting>
  <conditionalFormatting sqref="Z29">
    <cfRule type="expression" dxfId="6876" priority="2058">
      <formula>Z29="K"</formula>
    </cfRule>
    <cfRule type="expression" dxfId="6877" priority="2059">
      <formula>Z29="DEF"</formula>
    </cfRule>
    <cfRule type="expression" dxfId="6881" priority="2060">
      <formula>Z29="TE"</formula>
    </cfRule>
    <cfRule type="expression" dxfId="6880" priority="2061">
      <formula>Z29="WR"</formula>
    </cfRule>
    <cfRule type="expression" dxfId="6879" priority="2062">
      <formula>Z29="RB"</formula>
    </cfRule>
    <cfRule type="expression" dxfId="6878" priority="2063">
      <formula>Z29="QB"</formula>
    </cfRule>
  </conditionalFormatting>
  <conditionalFormatting sqref="Z32">
    <cfRule type="expression" dxfId="6873" priority="2088">
      <formula>Z32="K"</formula>
    </cfRule>
    <cfRule type="expression" dxfId="6875" priority="2089">
      <formula>Z32="DEF"</formula>
    </cfRule>
    <cfRule type="expression" dxfId="6872" priority="2090">
      <formula>Z32="TE"</formula>
    </cfRule>
    <cfRule type="expression" dxfId="6871" priority="2091">
      <formula>Z32="WR"</formula>
    </cfRule>
    <cfRule type="expression" dxfId="6870" priority="2092">
      <formula>Z32="RB"</formula>
    </cfRule>
    <cfRule type="expression" dxfId="6874" priority="2093">
      <formula>Z32="QB"</formula>
    </cfRule>
  </conditionalFormatting>
  <conditionalFormatting sqref="Z35">
    <cfRule type="expression" dxfId="6866" priority="2118">
      <formula>Z35="K"</formula>
    </cfRule>
    <cfRule type="expression" dxfId="6865" priority="2119">
      <formula>Z35="DEF"</formula>
    </cfRule>
    <cfRule type="expression" dxfId="6864" priority="2120">
      <formula>Z35="TE"</formula>
    </cfRule>
    <cfRule type="expression" dxfId="6869" priority="2121">
      <formula>Z35="WR"</formula>
    </cfRule>
    <cfRule type="expression" dxfId="6868" priority="2122">
      <formula>Z35="RB"</formula>
    </cfRule>
    <cfRule type="expression" dxfId="6867" priority="2123">
      <formula>Z35="QB"</formula>
    </cfRule>
  </conditionalFormatting>
  <conditionalFormatting sqref="Z38">
    <cfRule type="expression" dxfId="6863" priority="2148">
      <formula>Z38="K"</formula>
    </cfRule>
    <cfRule type="expression" dxfId="6862" priority="2149">
      <formula>Z38="DEF"</formula>
    </cfRule>
    <cfRule type="expression" dxfId="6860" priority="2150">
      <formula>Z38="TE"</formula>
    </cfRule>
    <cfRule type="expression" dxfId="6861" priority="2151">
      <formula>Z38="WR"</formula>
    </cfRule>
    <cfRule type="expression" dxfId="6859" priority="2152">
      <formula>Z38="RB"</formula>
    </cfRule>
    <cfRule type="expression" dxfId="6858" priority="2153">
      <formula>Z38="QB"</formula>
    </cfRule>
  </conditionalFormatting>
  <conditionalFormatting sqref="Z41">
    <cfRule type="expression" dxfId="6856" priority="2178">
      <formula>Z41="K"</formula>
    </cfRule>
    <cfRule type="expression" dxfId="6855" priority="2179">
      <formula>Z41="DEF"</formula>
    </cfRule>
    <cfRule type="expression" dxfId="6857" priority="2180">
      <formula>Z41="TE"</formula>
    </cfRule>
    <cfRule type="expression" dxfId="6854" priority="2181">
      <formula>Z41="WR"</formula>
    </cfRule>
    <cfRule type="expression" dxfId="6853" priority="2182">
      <formula>Z41="RB"</formula>
    </cfRule>
    <cfRule type="expression" dxfId="6852" priority="2183">
      <formula>Z41="QB"</formula>
    </cfRule>
  </conditionalFormatting>
  <conditionalFormatting sqref="Z44">
    <cfRule type="expression" dxfId="6849" priority="2208">
      <formula>Z44="K"</formula>
    </cfRule>
    <cfRule type="expression" dxfId="6848" priority="2209">
      <formula>Z44="DEF"</formula>
    </cfRule>
    <cfRule type="expression" dxfId="6847" priority="2210">
      <formula>Z44="TE"</formula>
    </cfRule>
    <cfRule type="expression" dxfId="6846" priority="2211">
      <formula>Z44="WR"</formula>
    </cfRule>
    <cfRule type="expression" dxfId="6850" priority="2212">
      <formula>Z44="RB"</formula>
    </cfRule>
    <cfRule type="expression" dxfId="6851" priority="2213">
      <formula>Z44="QB"</formula>
    </cfRule>
  </conditionalFormatting>
  <conditionalFormatting sqref="Z47">
    <cfRule type="expression" dxfId="6840" priority="2238">
      <formula>Z47="K"</formula>
    </cfRule>
    <cfRule type="expression" dxfId="6845" priority="2239">
      <formula>Z47="DEF"</formula>
    </cfRule>
    <cfRule type="expression" dxfId="6841" priority="2240">
      <formula>Z47="TE"</formula>
    </cfRule>
    <cfRule type="expression" dxfId="6842" priority="2241">
      <formula>Z47="WR"</formula>
    </cfRule>
    <cfRule type="expression" dxfId="6843" priority="2242">
      <formula>Z47="RB"</formula>
    </cfRule>
    <cfRule type="expression" dxfId="6844" priority="2243">
      <formula>Z47="QB"</formula>
    </cfRule>
  </conditionalFormatting>
  <conditionalFormatting sqref="AA5">
    <cfRule type="expression" dxfId="6837" priority="1824">
      <formula>Z5="K"</formula>
    </cfRule>
    <cfRule type="expression" dxfId="6839" priority="1825">
      <formula>Z5="DEF"</formula>
    </cfRule>
    <cfRule type="expression" dxfId="6834" priority="1826">
      <formula>Z5="TE"</formula>
    </cfRule>
    <cfRule type="expression" dxfId="6836" priority="1827">
      <formula>Z5="WR"</formula>
    </cfRule>
    <cfRule type="expression" dxfId="6835" priority="1828">
      <formula>Z5="RB"</formula>
    </cfRule>
    <cfRule type="expression" dxfId="6838" priority="1829">
      <formula>Z5="QB"</formula>
    </cfRule>
  </conditionalFormatting>
  <conditionalFormatting sqref="AA8">
    <cfRule type="expression" dxfId="6833" priority="1854">
      <formula>Z8="K"</formula>
    </cfRule>
    <cfRule type="expression" dxfId="6829" priority="1855">
      <formula>Z8="DEF"</formula>
    </cfRule>
    <cfRule type="expression" dxfId="6828" priority="1856">
      <formula>Z8="TE"</formula>
    </cfRule>
    <cfRule type="expression" dxfId="6832" priority="1857">
      <formula>Z8="WR"</formula>
    </cfRule>
    <cfRule type="expression" dxfId="6831" priority="1858">
      <formula>Z8="RB"</formula>
    </cfRule>
    <cfRule type="expression" dxfId="6830" priority="1859">
      <formula>Z8="QB"</formula>
    </cfRule>
  </conditionalFormatting>
  <conditionalFormatting sqref="AA11">
    <cfRule type="expression" dxfId="6822" priority="1884">
      <formula>Z11="K"</formula>
    </cfRule>
    <cfRule type="expression" dxfId="6824" priority="1885">
      <formula>Z11="DEF"</formula>
    </cfRule>
    <cfRule type="expression" dxfId="6827" priority="1886">
      <formula>Z11="TE"</formula>
    </cfRule>
    <cfRule type="expression" dxfId="6825" priority="1887">
      <formula>Z11="WR"</formula>
    </cfRule>
    <cfRule type="expression" dxfId="6823" priority="1888">
      <formula>Z11="RB"</formula>
    </cfRule>
    <cfRule type="expression" dxfId="6826" priority="1889">
      <formula>Z11="QB"</formula>
    </cfRule>
  </conditionalFormatting>
  <conditionalFormatting sqref="AA14">
    <cfRule type="expression" dxfId="6821" priority="1914">
      <formula>Z14="K"</formula>
    </cfRule>
    <cfRule type="expression" dxfId="6816" priority="1915">
      <formula>Z14="DEF"</formula>
    </cfRule>
    <cfRule type="expression" dxfId="6820" priority="1916">
      <formula>Z14="TE"</formula>
    </cfRule>
    <cfRule type="expression" dxfId="6819" priority="1917">
      <formula>Z14="WR"</formula>
    </cfRule>
    <cfRule type="expression" dxfId="6818" priority="1918">
      <formula>Z14="RB"</formula>
    </cfRule>
    <cfRule type="expression" dxfId="6817" priority="1919">
      <formula>Z14="QB"</formula>
    </cfRule>
  </conditionalFormatting>
  <conditionalFormatting sqref="AA17">
    <cfRule type="expression" dxfId="6813" priority="1944">
      <formula>Z17="K"</formula>
    </cfRule>
    <cfRule type="expression" dxfId="6814" priority="1945">
      <formula>Z17="DEF"</formula>
    </cfRule>
    <cfRule type="expression" dxfId="6815" priority="1946">
      <formula>Z17="TE"</formula>
    </cfRule>
    <cfRule type="expression" dxfId="6812" priority="1947">
      <formula>Z17="WR"</formula>
    </cfRule>
    <cfRule type="expression" dxfId="6810" priority="1948">
      <formula>Z17="RB"</formula>
    </cfRule>
    <cfRule type="expression" dxfId="6811" priority="1949">
      <formula>Z17="QB"</formula>
    </cfRule>
  </conditionalFormatting>
  <conditionalFormatting sqref="AA20">
    <cfRule type="expression" dxfId="6804" priority="1974">
      <formula>Z20="K"</formula>
    </cfRule>
    <cfRule type="expression" dxfId="6805" priority="1975">
      <formula>Z20="DEF"</formula>
    </cfRule>
    <cfRule type="expression" dxfId="6809" priority="1976">
      <formula>Z20="TE"</formula>
    </cfRule>
    <cfRule type="expression" dxfId="6808" priority="1977">
      <formula>Z20="WR"</formula>
    </cfRule>
    <cfRule type="expression" dxfId="6806" priority="1978">
      <formula>Z20="RB"</formula>
    </cfRule>
    <cfRule type="expression" dxfId="6807" priority="1979">
      <formula>Z20="QB"</formula>
    </cfRule>
  </conditionalFormatting>
  <conditionalFormatting sqref="AA23">
    <cfRule type="expression" dxfId="6800" priority="2004">
      <formula>Z23="K"</formula>
    </cfRule>
    <cfRule type="expression" dxfId="6801" priority="2005">
      <formula>Z23="DEF"</formula>
    </cfRule>
    <cfRule type="expression" dxfId="6802" priority="2006">
      <formula>Z23="TE"</formula>
    </cfRule>
    <cfRule type="expression" dxfId="6803" priority="2007">
      <formula>Z23="WR"</formula>
    </cfRule>
    <cfRule type="expression" dxfId="6799" priority="2008">
      <formula>Z23="RB"</formula>
    </cfRule>
    <cfRule type="expression" dxfId="6798" priority="2009">
      <formula>Z23="QB"</formula>
    </cfRule>
  </conditionalFormatting>
  <conditionalFormatting sqref="AA26">
    <cfRule type="expression" dxfId="6795" priority="2034">
      <formula>Z26="K"</formula>
    </cfRule>
    <cfRule type="expression" dxfId="6796" priority="2035">
      <formula>Z26="DEF"</formula>
    </cfRule>
    <cfRule type="expression" dxfId="6792" priority="2036">
      <formula>Z26="TE"</formula>
    </cfRule>
    <cfRule type="expression" dxfId="6794" priority="2037">
      <formula>Z26="WR"</formula>
    </cfRule>
    <cfRule type="expression" dxfId="6793" priority="2038">
      <formula>Z26="RB"</formula>
    </cfRule>
    <cfRule type="expression" dxfId="6797" priority="2039">
      <formula>Z26="QB"</formula>
    </cfRule>
  </conditionalFormatting>
  <conditionalFormatting sqref="AA29">
    <cfRule type="expression" dxfId="6787" priority="2064">
      <formula>Z29="K"</formula>
    </cfRule>
    <cfRule type="expression" dxfId="6791" priority="2065">
      <formula>Z29="DEF"</formula>
    </cfRule>
    <cfRule type="expression" dxfId="6790" priority="2066">
      <formula>Z29="TE"</formula>
    </cfRule>
    <cfRule type="expression" dxfId="6789" priority="2067">
      <formula>Z29="WR"</formula>
    </cfRule>
    <cfRule type="expression" dxfId="6788" priority="2068">
      <formula>Z29="RB"</formula>
    </cfRule>
    <cfRule type="expression" dxfId="6786" priority="2069">
      <formula>Z29="QB"</formula>
    </cfRule>
  </conditionalFormatting>
  <conditionalFormatting sqref="AA32">
    <cfRule type="expression" dxfId="6785" priority="2094">
      <formula>Z32="K"</formula>
    </cfRule>
    <cfRule type="expression" dxfId="6784" priority="2095">
      <formula>Z32="DEF"</formula>
    </cfRule>
    <cfRule type="expression" dxfId="6783" priority="2096">
      <formula>Z32="TE"</formula>
    </cfRule>
    <cfRule type="expression" dxfId="6782" priority="2097">
      <formula>Z32="WR"</formula>
    </cfRule>
    <cfRule type="expression" dxfId="6781" priority="2098">
      <formula>Z32="RB"</formula>
    </cfRule>
    <cfRule type="expression" dxfId="6780" priority="2099">
      <formula>Z32="QB"</formula>
    </cfRule>
  </conditionalFormatting>
  <conditionalFormatting sqref="AA35">
    <cfRule type="expression" dxfId="6775" priority="2124">
      <formula>Z35="K"</formula>
    </cfRule>
    <cfRule type="expression" dxfId="6774" priority="2125">
      <formula>Z35="DEF"</formula>
    </cfRule>
    <cfRule type="expression" dxfId="6776" priority="2126">
      <formula>Z35="TE"</formula>
    </cfRule>
    <cfRule type="expression" dxfId="6777" priority="2127">
      <formula>Z35="WR"</formula>
    </cfRule>
    <cfRule type="expression" dxfId="6779" priority="2128">
      <formula>Z35="RB"</formula>
    </cfRule>
    <cfRule type="expression" dxfId="6778" priority="2129">
      <formula>Z35="QB"</formula>
    </cfRule>
  </conditionalFormatting>
  <conditionalFormatting sqref="AA38">
    <cfRule type="expression" dxfId="6770" priority="2154">
      <formula>Z38="K"</formula>
    </cfRule>
    <cfRule type="expression" dxfId="6769" priority="2155">
      <formula>Z38="DEF"</formula>
    </cfRule>
    <cfRule type="expression" dxfId="6772" priority="2156">
      <formula>Z38="TE"</formula>
    </cfRule>
    <cfRule type="expression" dxfId="6768" priority="2157">
      <formula>Z38="WR"</formula>
    </cfRule>
    <cfRule type="expression" dxfId="6773" priority="2158">
      <formula>Z38="RB"</formula>
    </cfRule>
    <cfRule type="expression" dxfId="6771" priority="2159">
      <formula>Z38="QB"</formula>
    </cfRule>
  </conditionalFormatting>
  <conditionalFormatting sqref="AA41">
    <cfRule type="expression" dxfId="6767" priority="2184">
      <formula>Z41="K"</formula>
    </cfRule>
    <cfRule type="expression" dxfId="6765" priority="2185">
      <formula>Z41="DEF"</formula>
    </cfRule>
    <cfRule type="expression" dxfId="6764" priority="2186">
      <formula>Z41="TE"</formula>
    </cfRule>
    <cfRule type="expression" dxfId="6763" priority="2187">
      <formula>Z41="WR"</formula>
    </cfRule>
    <cfRule type="expression" dxfId="6766" priority="2188">
      <formula>Z41="RB"</formula>
    </cfRule>
    <cfRule type="expression" dxfId="6762" priority="2189">
      <formula>Z41="QB"</formula>
    </cfRule>
  </conditionalFormatting>
  <conditionalFormatting sqref="AA44">
    <cfRule type="expression" dxfId="6760" priority="2214">
      <formula>Z44="K"</formula>
    </cfRule>
    <cfRule type="expression" dxfId="6759" priority="2215">
      <formula>Z44="DEF"</formula>
    </cfRule>
    <cfRule type="expression" dxfId="6761" priority="2216">
      <formula>Z44="TE"</formula>
    </cfRule>
    <cfRule type="expression" dxfId="6756" priority="2217">
      <formula>Z44="WR"</formula>
    </cfRule>
    <cfRule type="expression" dxfId="6757" priority="2218">
      <formula>Z44="RB"</formula>
    </cfRule>
    <cfRule type="expression" dxfId="6758" priority="2219">
      <formula>Z44="QB"</formula>
    </cfRule>
  </conditionalFormatting>
  <conditionalFormatting sqref="AA47">
    <cfRule type="expression" dxfId="6755" priority="2244">
      <formula>Z47="K"</formula>
    </cfRule>
    <cfRule type="expression" dxfId="6754" priority="2245">
      <formula>Z47="DEF"</formula>
    </cfRule>
    <cfRule type="expression" dxfId="6753" priority="2246">
      <formula>Z47="TE"</formula>
    </cfRule>
    <cfRule type="expression" dxfId="6752" priority="2247">
      <formula>Z47="WR"</formula>
    </cfRule>
    <cfRule type="expression" dxfId="6751" priority="2248">
      <formula>Z47="RB"</formula>
    </cfRule>
    <cfRule type="expression" dxfId="6750" priority="2249">
      <formula>Z47="QB"</formula>
    </cfRule>
  </conditionalFormatting>
  <conditionalFormatting sqref="AC4">
    <cfRule type="expression" dxfId="6749" priority="2251">
      <formula>AE5="DEF"</formula>
    </cfRule>
    <cfRule type="expression" dxfId="6748" priority="2252">
      <formula>AE5="TE"</formula>
    </cfRule>
    <cfRule type="expression" dxfId="6747" priority="2253">
      <formula>AE5="WR"</formula>
    </cfRule>
    <cfRule type="expression" dxfId="6746" priority="2254">
      <formula>AE5="RB"</formula>
    </cfRule>
    <cfRule type="expression" dxfId="6745" priority="2255">
      <formula>AE5="QB"</formula>
    </cfRule>
  </conditionalFormatting>
  <conditionalFormatting sqref="AC5">
    <cfRule type="expression" dxfId="6744" priority="2256">
      <formula>AE5="K"</formula>
    </cfRule>
    <cfRule type="expression" dxfId="6743" priority="2257">
      <formula>AE5="DEF"</formula>
    </cfRule>
    <cfRule type="expression" dxfId="6742" priority="2258">
      <formula>AE5="TE"</formula>
    </cfRule>
    <cfRule type="expression" dxfId="6741" priority="2259">
      <formula>AE5="WR"</formula>
    </cfRule>
    <cfRule type="expression" dxfId="6740" priority="2260">
      <formula>AE5="RB"</formula>
    </cfRule>
    <cfRule type="expression" dxfId="6739" priority="2261">
      <formula>AE5="QB"</formula>
    </cfRule>
  </conditionalFormatting>
  <conditionalFormatting sqref="AC7">
    <cfRule type="expression" dxfId="6734" priority="2281">
      <formula>AE8="DEF"</formula>
    </cfRule>
    <cfRule type="expression" dxfId="6735" priority="2282">
      <formula>AE8="TE"</formula>
    </cfRule>
    <cfRule type="expression" dxfId="6736" priority="2283">
      <formula>AE8="WR"</formula>
    </cfRule>
    <cfRule type="expression" dxfId="6737" priority="2284">
      <formula>AE8="RB"</formula>
    </cfRule>
    <cfRule type="expression" dxfId="6738" priority="2285">
      <formula>AE8="QB"</formula>
    </cfRule>
  </conditionalFormatting>
  <conditionalFormatting sqref="AC8">
    <cfRule type="expression" dxfId="6730" priority="2286">
      <formula>AE8="K"</formula>
    </cfRule>
    <cfRule type="expression" dxfId="6729" priority="2287">
      <formula>AE8="DEF"</formula>
    </cfRule>
    <cfRule type="expression" dxfId="6728" priority="2288">
      <formula>AE8="TE"</formula>
    </cfRule>
    <cfRule type="expression" dxfId="6733" priority="2289">
      <formula>AE8="WR"</formula>
    </cfRule>
    <cfRule type="expression" dxfId="6732" priority="2290">
      <formula>AE8="RB"</formula>
    </cfRule>
    <cfRule type="expression" dxfId="6731" priority="2291">
      <formula>AE8="QB"</formula>
    </cfRule>
  </conditionalFormatting>
  <conditionalFormatting sqref="AC10">
    <cfRule type="expression" dxfId="6723" priority="2311">
      <formula>AE11="DEF"</formula>
    </cfRule>
    <cfRule type="expression" dxfId="6724" priority="2312">
      <formula>AE11="TE"</formula>
    </cfRule>
    <cfRule type="expression" dxfId="6726" priority="2313">
      <formula>AE11="WR"</formula>
    </cfRule>
    <cfRule type="expression" dxfId="6727" priority="2314">
      <formula>AE11="RB"</formula>
    </cfRule>
    <cfRule type="expression" dxfId="6725" priority="2315">
      <formula>AE11="QB"</formula>
    </cfRule>
  </conditionalFormatting>
  <conditionalFormatting sqref="AC11">
    <cfRule type="expression" dxfId="6718" priority="2316">
      <formula>AE11="K"</formula>
    </cfRule>
    <cfRule type="expression" dxfId="6719" priority="2317">
      <formula>AE11="DEF"</formula>
    </cfRule>
    <cfRule type="expression" dxfId="6720" priority="2318">
      <formula>AE11="TE"</formula>
    </cfRule>
    <cfRule type="expression" dxfId="6721" priority="2319">
      <formula>AE11="WR"</formula>
    </cfRule>
    <cfRule type="expression" dxfId="6722" priority="2320">
      <formula>AE11="RB"</formula>
    </cfRule>
    <cfRule type="expression" dxfId="6717" priority="2321">
      <formula>AE11="QB"</formula>
    </cfRule>
  </conditionalFormatting>
  <conditionalFormatting sqref="AC13">
    <cfRule type="expression" dxfId="6712" priority="2341">
      <formula>AE14="DEF"</formula>
    </cfRule>
    <cfRule type="expression" dxfId="6713" priority="2342">
      <formula>AE14="TE"</formula>
    </cfRule>
    <cfRule type="expression" dxfId="6716" priority="2343">
      <formula>AE14="WR"</formula>
    </cfRule>
    <cfRule type="expression" dxfId="6715" priority="2344">
      <formula>AE14="RB"</formula>
    </cfRule>
    <cfRule type="expression" dxfId="6714" priority="2345">
      <formula>AE14="QB"</formula>
    </cfRule>
  </conditionalFormatting>
  <conditionalFormatting sqref="AC14">
    <cfRule type="expression" dxfId="6711" priority="2346">
      <formula>AE14="K"</formula>
    </cfRule>
    <cfRule type="expression" dxfId="6707" priority="2347">
      <formula>AE14="DEF"</formula>
    </cfRule>
    <cfRule type="expression" dxfId="6708" priority="2348">
      <formula>AE14="TE"</formula>
    </cfRule>
    <cfRule type="expression" dxfId="6706" priority="2349">
      <formula>AE14="WR"</formula>
    </cfRule>
    <cfRule type="expression" dxfId="6709" priority="2350">
      <formula>AE14="RB"</formula>
    </cfRule>
    <cfRule type="expression" dxfId="6710" priority="2351">
      <formula>AE14="QB"</formula>
    </cfRule>
  </conditionalFormatting>
  <conditionalFormatting sqref="AC16">
    <cfRule type="expression" dxfId="6703" priority="2371">
      <formula>AE17="DEF"</formula>
    </cfRule>
    <cfRule type="expression" dxfId="6705" priority="2372">
      <formula>AE17="TE"</formula>
    </cfRule>
    <cfRule type="expression" dxfId="6704" priority="2373">
      <formula>AE17="WR"</formula>
    </cfRule>
    <cfRule type="expression" dxfId="6702" priority="2374">
      <formula>AE17="RB"</formula>
    </cfRule>
    <cfRule type="expression" dxfId="6701" priority="2375">
      <formula>AE17="QB"</formula>
    </cfRule>
  </conditionalFormatting>
  <conditionalFormatting sqref="AC17">
    <cfRule type="expression" dxfId="6700" priority="2376">
      <formula>AE17="K"</formula>
    </cfRule>
    <cfRule type="expression" dxfId="6699" priority="2377">
      <formula>AE17="DEF"</formula>
    </cfRule>
    <cfRule type="expression" dxfId="6696" priority="2378">
      <formula>AE17="TE"</formula>
    </cfRule>
    <cfRule type="expression" dxfId="6695" priority="2379">
      <formula>AE17="WR"</formula>
    </cfRule>
    <cfRule type="expression" dxfId="6697" priority="2380">
      <formula>AE17="RB"</formula>
    </cfRule>
    <cfRule type="expression" dxfId="6698" priority="2381">
      <formula>AE17="QB"</formula>
    </cfRule>
  </conditionalFormatting>
  <conditionalFormatting sqref="AC19">
    <cfRule type="expression" dxfId="6693" priority="2401">
      <formula>AE20="DEF"</formula>
    </cfRule>
    <cfRule type="expression" dxfId="6694" priority="2402">
      <formula>AE20="TE"</formula>
    </cfRule>
    <cfRule type="expression" dxfId="6692" priority="2403">
      <formula>AE20="WR"</formula>
    </cfRule>
    <cfRule type="expression" dxfId="6690" priority="2404">
      <formula>AE20="RB"</formula>
    </cfRule>
    <cfRule type="expression" dxfId="6691" priority="2405">
      <formula>AE20="QB"</formula>
    </cfRule>
  </conditionalFormatting>
  <conditionalFormatting sqref="AC20">
    <cfRule type="expression" dxfId="6684" priority="2406">
      <formula>AE20="K"</formula>
    </cfRule>
    <cfRule type="expression" dxfId="6688" priority="2407">
      <formula>AE20="DEF"</formula>
    </cfRule>
    <cfRule type="expression" dxfId="6687" priority="2408">
      <formula>AE20="TE"</formula>
    </cfRule>
    <cfRule type="expression" dxfId="6689" priority="2409">
      <formula>AE20="WR"</formula>
    </cfRule>
    <cfRule type="expression" dxfId="6685" priority="2410">
      <formula>AE20="RB"</formula>
    </cfRule>
    <cfRule type="expression" dxfId="6686" priority="2411">
      <formula>AE20="QB"</formula>
    </cfRule>
  </conditionalFormatting>
  <conditionalFormatting sqref="AC22">
    <cfRule type="expression" dxfId="6683" priority="2431">
      <formula>AE23="DEF"</formula>
    </cfRule>
    <cfRule type="expression" dxfId="6682" priority="2432">
      <formula>AE23="TE"</formula>
    </cfRule>
    <cfRule type="expression" dxfId="6680" priority="2433">
      <formula>AE23="WR"</formula>
    </cfRule>
    <cfRule type="expression" dxfId="6681" priority="2434">
      <formula>AE23="RB"</formula>
    </cfRule>
    <cfRule type="expression" dxfId="6679" priority="2435">
      <formula>AE23="QB"</formula>
    </cfRule>
  </conditionalFormatting>
  <conditionalFormatting sqref="AC23">
    <cfRule type="expression" dxfId="6678" priority="2436">
      <formula>AE23="K"</formula>
    </cfRule>
    <cfRule type="expression" dxfId="6677" priority="2437">
      <formula>AE23="DEF"</formula>
    </cfRule>
    <cfRule type="expression" dxfId="6676" priority="2438">
      <formula>AE23="TE"</formula>
    </cfRule>
    <cfRule type="expression" dxfId="6673" priority="2439">
      <formula>AE23="WR"</formula>
    </cfRule>
    <cfRule type="expression" dxfId="6674" priority="2440">
      <formula>AE23="RB"</formula>
    </cfRule>
    <cfRule type="expression" dxfId="6675" priority="2441">
      <formula>AE23="QB"</formula>
    </cfRule>
  </conditionalFormatting>
  <conditionalFormatting sqref="AC25">
    <cfRule type="expression" dxfId="6668" priority="2461">
      <formula>AE26="DEF"</formula>
    </cfRule>
    <cfRule type="expression" dxfId="6669" priority="2462">
      <formula>AE26="TE"</formula>
    </cfRule>
    <cfRule type="expression" dxfId="6672" priority="2463">
      <formula>AE26="WR"</formula>
    </cfRule>
    <cfRule type="expression" dxfId="6671" priority="2464">
      <formula>AE26="RB"</formula>
    </cfRule>
    <cfRule type="expression" dxfId="6670" priority="2465">
      <formula>AE26="QB"</formula>
    </cfRule>
  </conditionalFormatting>
  <conditionalFormatting sqref="AC26">
    <cfRule type="expression" dxfId="6663" priority="2466">
      <formula>AE26="K"</formula>
    </cfRule>
    <cfRule type="expression" dxfId="6664" priority="2467">
      <formula>AE26="DEF"</formula>
    </cfRule>
    <cfRule type="expression" dxfId="6662" priority="2468">
      <formula>AE26="TE"</formula>
    </cfRule>
    <cfRule type="expression" dxfId="6665" priority="2469">
      <formula>AE26="WR"</formula>
    </cfRule>
    <cfRule type="expression" dxfId="6666" priority="2470">
      <formula>AE26="RB"</formula>
    </cfRule>
    <cfRule type="expression" dxfId="6667" priority="2471">
      <formula>AE26="QB"</formula>
    </cfRule>
  </conditionalFormatting>
  <conditionalFormatting sqref="AC28">
    <cfRule type="expression" dxfId="6659" priority="2491">
      <formula>AE29="DEF"</formula>
    </cfRule>
    <cfRule type="expression" dxfId="6660" priority="2492">
      <formula>AE29="TE"</formula>
    </cfRule>
    <cfRule type="expression" dxfId="6658" priority="2493">
      <formula>AE29="WR"</formula>
    </cfRule>
    <cfRule type="expression" dxfId="6661" priority="2494">
      <formula>AE29="RB"</formula>
    </cfRule>
    <cfRule type="expression" dxfId="6657" priority="2495">
      <formula>AE29="QB"</formula>
    </cfRule>
  </conditionalFormatting>
  <conditionalFormatting sqref="AC29">
    <cfRule type="expression" dxfId="6655" priority="2496">
      <formula>AE29="K"</formula>
    </cfRule>
    <cfRule type="expression" dxfId="6656" priority="2497">
      <formula>AE29="DEF"</formula>
    </cfRule>
    <cfRule type="expression" dxfId="6651" priority="2498">
      <formula>AE29="TE"</formula>
    </cfRule>
    <cfRule type="expression" dxfId="6654" priority="2499">
      <formula>AE29="WR"</formula>
    </cfRule>
    <cfRule type="expression" dxfId="6652" priority="2500">
      <formula>AE29="RB"</formula>
    </cfRule>
    <cfRule type="expression" dxfId="6653" priority="2501">
      <formula>AE29="QB"</formula>
    </cfRule>
  </conditionalFormatting>
  <conditionalFormatting sqref="AC31">
    <cfRule type="expression" dxfId="6648" priority="2521">
      <formula>AE32="DEF"</formula>
    </cfRule>
    <cfRule type="expression" dxfId="6649" priority="2522">
      <formula>AE32="TE"</formula>
    </cfRule>
    <cfRule type="expression" dxfId="6650" priority="2523">
      <formula>AE32="WR"</formula>
    </cfRule>
    <cfRule type="expression" dxfId="6647" priority="2524">
      <formula>AE32="RB"</formula>
    </cfRule>
    <cfRule type="expression" dxfId="6646" priority="2525">
      <formula>AE32="QB"</formula>
    </cfRule>
  </conditionalFormatting>
  <conditionalFormatting sqref="AC32">
    <cfRule type="expression" dxfId="6644" priority="2526">
      <formula>AE32="K"</formula>
    </cfRule>
    <cfRule type="expression" dxfId="6643" priority="2527">
      <formula>AE32="DEF"</formula>
    </cfRule>
    <cfRule type="expression" dxfId="6642" priority="2528">
      <formula>AE32="TE"</formula>
    </cfRule>
    <cfRule type="expression" dxfId="6641" priority="2529">
      <formula>AE32="WR"</formula>
    </cfRule>
    <cfRule type="expression" dxfId="6645" priority="2530">
      <formula>AE32="RB"</formula>
    </cfRule>
    <cfRule type="expression" dxfId="6640" priority="2531">
      <formula>AE32="QB"</formula>
    </cfRule>
  </conditionalFormatting>
  <conditionalFormatting sqref="AC34">
    <cfRule type="expression" dxfId="6639" priority="2551">
      <formula>AE35="DEF"</formula>
    </cfRule>
    <cfRule type="expression" dxfId="6635" priority="2552">
      <formula>AE35="TE"</formula>
    </cfRule>
    <cfRule type="expression" dxfId="6636" priority="2553">
      <formula>AE35="WR"</formula>
    </cfRule>
    <cfRule type="expression" dxfId="6637" priority="2554">
      <formula>AE35="RB"</formula>
    </cfRule>
    <cfRule type="expression" dxfId="6638" priority="2555">
      <formula>AE35="QB"</formula>
    </cfRule>
  </conditionalFormatting>
  <conditionalFormatting sqref="AC35">
    <cfRule type="expression" dxfId="6629" priority="2556">
      <formula>AE35="K"</formula>
    </cfRule>
    <cfRule type="expression" dxfId="6630" priority="2557">
      <formula>AE35="DEF"</formula>
    </cfRule>
    <cfRule type="expression" dxfId="6631" priority="2558">
      <formula>AE35="TE"</formula>
    </cfRule>
    <cfRule type="expression" dxfId="6632" priority="2559">
      <formula>AE35="WR"</formula>
    </cfRule>
    <cfRule type="expression" dxfId="6633" priority="2560">
      <formula>AE35="RB"</formula>
    </cfRule>
    <cfRule type="expression" dxfId="6634" priority="2561">
      <formula>AE35="QB"</formula>
    </cfRule>
  </conditionalFormatting>
  <conditionalFormatting sqref="AC37">
    <cfRule type="expression" dxfId="6628" priority="2581">
      <formula>AE38="DEF"</formula>
    </cfRule>
    <cfRule type="expression" dxfId="6627" priority="2582">
      <formula>AE38="TE"</formula>
    </cfRule>
    <cfRule type="expression" dxfId="6626" priority="2583">
      <formula>AE38="WR"</formula>
    </cfRule>
    <cfRule type="expression" dxfId="6625" priority="2584">
      <formula>AE38="RB"</formula>
    </cfRule>
    <cfRule type="expression" dxfId="6624" priority="2585">
      <formula>AE38="QB"</formula>
    </cfRule>
  </conditionalFormatting>
  <conditionalFormatting sqref="AC38">
    <cfRule type="expression" dxfId="6622" priority="2586">
      <formula>AE38="K"</formula>
    </cfRule>
    <cfRule type="expression" dxfId="6623" priority="2587">
      <formula>AE38="DEF"</formula>
    </cfRule>
    <cfRule type="expression" dxfId="6621" priority="2588">
      <formula>AE38="TE"</formula>
    </cfRule>
    <cfRule type="expression" dxfId="6620" priority="2589">
      <formula>AE38="WR"</formula>
    </cfRule>
    <cfRule type="expression" dxfId="6619" priority="2590">
      <formula>AE38="RB"</formula>
    </cfRule>
    <cfRule type="expression" dxfId="6618" priority="2591">
      <formula>AE38="QB"</formula>
    </cfRule>
  </conditionalFormatting>
  <conditionalFormatting sqref="AC40">
    <cfRule type="expression" dxfId="6617" priority="2611">
      <formula>AE41="DEF"</formula>
    </cfRule>
    <cfRule type="expression" dxfId="6616" priority="2612">
      <formula>AE41="TE"</formula>
    </cfRule>
    <cfRule type="expression" dxfId="6615" priority="2613">
      <formula>AE41="WR"</formula>
    </cfRule>
    <cfRule type="expression" dxfId="6614" priority="2614">
      <formula>AE41="RB"</formula>
    </cfRule>
    <cfRule type="expression" dxfId="6613" priority="2615">
      <formula>AE41="QB"</formula>
    </cfRule>
  </conditionalFormatting>
  <conditionalFormatting sqref="AC41">
    <cfRule type="expression" dxfId="6610" priority="2616">
      <formula>AE41="K"</formula>
    </cfRule>
    <cfRule type="expression" dxfId="6611" priority="2617">
      <formula>AE41="DEF"</formula>
    </cfRule>
    <cfRule type="expression" dxfId="6609" priority="2618">
      <formula>AE41="TE"</formula>
    </cfRule>
    <cfRule type="expression" dxfId="6608" priority="2619">
      <formula>AE41="WR"</formula>
    </cfRule>
    <cfRule type="expression" dxfId="6612" priority="2620">
      <formula>AE41="RB"</formula>
    </cfRule>
    <cfRule type="expression" dxfId="6607" priority="2621">
      <formula>AE41="QB"</formula>
    </cfRule>
  </conditionalFormatting>
  <conditionalFormatting sqref="AC43">
    <cfRule type="expression" dxfId="6606" priority="2641">
      <formula>AE44="DEF"</formula>
    </cfRule>
    <cfRule type="expression" dxfId="6605" priority="2642">
      <formula>AE44="TE"</formula>
    </cfRule>
    <cfRule type="expression" dxfId="6604" priority="2643">
      <formula>AE44="WR"</formula>
    </cfRule>
    <cfRule type="expression" dxfId="6603" priority="2644">
      <formula>AE44="RB"</formula>
    </cfRule>
    <cfRule type="expression" dxfId="6602" priority="2645">
      <formula>AE44="QB"</formula>
    </cfRule>
  </conditionalFormatting>
  <conditionalFormatting sqref="AC44">
    <cfRule type="expression" dxfId="6601" priority="2646">
      <formula>AE44="K"</formula>
    </cfRule>
    <cfRule type="expression" dxfId="6600" priority="2647">
      <formula>AE44="DEF"</formula>
    </cfRule>
    <cfRule type="expression" dxfId="6599" priority="2648">
      <formula>AE44="TE"</formula>
    </cfRule>
    <cfRule type="expression" dxfId="6598" priority="2649">
      <formula>AE44="WR"</formula>
    </cfRule>
    <cfRule type="expression" dxfId="6597" priority="2650">
      <formula>AE44="RB"</formula>
    </cfRule>
    <cfRule type="expression" dxfId="6596" priority="2651">
      <formula>AE44="QB"</formula>
    </cfRule>
  </conditionalFormatting>
  <conditionalFormatting sqref="AC46">
    <cfRule type="expression" dxfId="6595" priority="2671">
      <formula>AE47="DEF"</formula>
    </cfRule>
    <cfRule type="expression" dxfId="6594" priority="2672">
      <formula>AE47="TE"</formula>
    </cfRule>
    <cfRule type="expression" dxfId="6593" priority="2673">
      <formula>AE47="WR"</formula>
    </cfRule>
    <cfRule type="expression" dxfId="6592" priority="2674">
      <formula>AE47="RB"</formula>
    </cfRule>
    <cfRule type="expression" dxfId="6591" priority="2675">
      <formula>AE47="QB"</formula>
    </cfRule>
  </conditionalFormatting>
  <conditionalFormatting sqref="AC47">
    <cfRule type="expression" dxfId="6590" priority="2676">
      <formula>AE47="K"</formula>
    </cfRule>
    <cfRule type="expression" dxfId="6589" priority="2677">
      <formula>AE47="DEF"</formula>
    </cfRule>
    <cfRule type="expression" dxfId="6588" priority="2678">
      <formula>AE47="TE"</formula>
    </cfRule>
    <cfRule type="expression" dxfId="6587" priority="2679">
      <formula>AE47="WR"</formula>
    </cfRule>
    <cfRule type="expression" dxfId="6586" priority="2680">
      <formula>AE47="RB"</formula>
    </cfRule>
    <cfRule type="expression" dxfId="6585" priority="2681">
      <formula>AE47="QB"</formula>
    </cfRule>
  </conditionalFormatting>
  <conditionalFormatting sqref="AC4:AF4">
    <cfRule type="expression" dxfId="6584" priority="2280">
      <formula>AE5="K"</formula>
    </cfRule>
  </conditionalFormatting>
  <conditionalFormatting sqref="AC7:AF7">
    <cfRule type="expression" dxfId="6583" priority="2310">
      <formula>AE8="K"</formula>
    </cfRule>
  </conditionalFormatting>
  <conditionalFormatting sqref="AC10:AF10">
    <cfRule type="expression" dxfId="6582" priority="2340">
      <formula>AE11="K"</formula>
    </cfRule>
  </conditionalFormatting>
  <conditionalFormatting sqref="AC13:AF13">
    <cfRule type="expression" dxfId="6581" priority="2370">
      <formula>AE14="K"</formula>
    </cfRule>
  </conditionalFormatting>
  <conditionalFormatting sqref="AC16:AF16">
    <cfRule type="expression" dxfId="6580" priority="2400">
      <formula>AE17="K"</formula>
    </cfRule>
  </conditionalFormatting>
  <conditionalFormatting sqref="AC19:AF19">
    <cfRule type="expression" dxfId="6579" priority="2430">
      <formula>AE20="K"</formula>
    </cfRule>
  </conditionalFormatting>
  <conditionalFormatting sqref="AC22:AF22">
    <cfRule type="expression" dxfId="6578" priority="2460">
      <formula>AE23="K"</formula>
    </cfRule>
  </conditionalFormatting>
  <conditionalFormatting sqref="AC25:AF25">
    <cfRule type="expression" dxfId="6577" priority="2490">
      <formula>AE26="K"</formula>
    </cfRule>
  </conditionalFormatting>
  <conditionalFormatting sqref="AC28:AF28">
    <cfRule type="expression" dxfId="6576" priority="2520">
      <formula>AE29="K"</formula>
    </cfRule>
  </conditionalFormatting>
  <conditionalFormatting sqref="AC31:AF31">
    <cfRule type="expression" dxfId="6575" priority="2550">
      <formula>AE32="K"</formula>
    </cfRule>
  </conditionalFormatting>
  <conditionalFormatting sqref="AC34:AF34">
    <cfRule type="expression" dxfId="6574" priority="2580">
      <formula>AE35="K"</formula>
    </cfRule>
  </conditionalFormatting>
  <conditionalFormatting sqref="AC37:AF37">
    <cfRule type="expression" dxfId="6573" priority="2610">
      <formula>AE38="K"</formula>
    </cfRule>
  </conditionalFormatting>
  <conditionalFormatting sqref="AC40:AF40">
    <cfRule type="expression" dxfId="6572" priority="2640">
      <formula>AE41="K"</formula>
    </cfRule>
  </conditionalFormatting>
  <conditionalFormatting sqref="AC43:AF43">
    <cfRule type="expression" dxfId="6571" priority="2670">
      <formula>AE44="K"</formula>
    </cfRule>
  </conditionalFormatting>
  <conditionalFormatting sqref="AC46:AF46">
    <cfRule type="expression" dxfId="6570" priority="2700">
      <formula>AE47="K"</formula>
    </cfRule>
  </conditionalFormatting>
  <conditionalFormatting sqref="AD5">
    <cfRule type="expression" dxfId="6564" priority="2262">
      <formula>AE5="K"</formula>
    </cfRule>
    <cfRule type="expression" dxfId="6565" priority="2263">
      <formula>AE5="DEF"</formula>
    </cfRule>
    <cfRule type="expression" dxfId="6566" priority="2264">
      <formula>AE5="TE"</formula>
    </cfRule>
    <cfRule type="expression" dxfId="6569" priority="2265">
      <formula>AE5="WR"</formula>
    </cfRule>
    <cfRule type="expression" dxfId="6568" priority="2266">
      <formula>AE5="RB"</formula>
    </cfRule>
    <cfRule type="expression" dxfId="6567" priority="2267">
      <formula>AE5="QB"</formula>
    </cfRule>
  </conditionalFormatting>
  <conditionalFormatting sqref="AD8">
    <cfRule type="expression" dxfId="6563" priority="2292">
      <formula>AE8="K"</formula>
    </cfRule>
    <cfRule type="expression" dxfId="6562" priority="2293">
      <formula>AE8="DEF"</formula>
    </cfRule>
    <cfRule type="expression" dxfId="6561" priority="2294">
      <formula>AE8="TE"</formula>
    </cfRule>
    <cfRule type="expression" dxfId="6558" priority="2295">
      <formula>AE8="WR"</formula>
    </cfRule>
    <cfRule type="expression" dxfId="6560" priority="2296">
      <formula>AE8="RB"</formula>
    </cfRule>
    <cfRule type="expression" dxfId="6559" priority="2297">
      <formula>AE8="QB"</formula>
    </cfRule>
  </conditionalFormatting>
  <conditionalFormatting sqref="AD11">
    <cfRule type="expression" dxfId="6553" priority="2322">
      <formula>AE11="K"</formula>
    </cfRule>
    <cfRule type="expression" dxfId="6554" priority="2323">
      <formula>AE11="DEF"</formula>
    </cfRule>
    <cfRule type="expression" dxfId="6555" priority="2324">
      <formula>AE11="TE"</formula>
    </cfRule>
    <cfRule type="expression" dxfId="6556" priority="2325">
      <formula>AE11="WR"</formula>
    </cfRule>
    <cfRule type="expression" dxfId="6557" priority="2326">
      <formula>AE11="RB"</formula>
    </cfRule>
    <cfRule type="expression" dxfId="6552" priority="2327">
      <formula>AE11="QB"</formula>
    </cfRule>
  </conditionalFormatting>
  <conditionalFormatting sqref="AD14">
    <cfRule type="expression" dxfId="6546" priority="2352">
      <formula>AE14="K"</formula>
    </cfRule>
    <cfRule type="expression" dxfId="6547" priority="2353">
      <formula>AE14="DEF"</formula>
    </cfRule>
    <cfRule type="expression" dxfId="6548" priority="2354">
      <formula>AE14="TE"</formula>
    </cfRule>
    <cfRule type="expression" dxfId="6549" priority="2355">
      <formula>AE14="WR"</formula>
    </cfRule>
    <cfRule type="expression" dxfId="6550" priority="2356">
      <formula>AE14="RB"</formula>
    </cfRule>
    <cfRule type="expression" dxfId="6551" priority="2357">
      <formula>AE14="QB"</formula>
    </cfRule>
  </conditionalFormatting>
  <conditionalFormatting sqref="AD17">
    <cfRule type="expression" dxfId="6540" priority="2382">
      <formula>AE17="K"</formula>
    </cfRule>
    <cfRule type="expression" dxfId="6545" priority="2383">
      <formula>AE17="DEF"</formula>
    </cfRule>
    <cfRule type="expression" dxfId="6544" priority="2384">
      <formula>AE17="TE"</formula>
    </cfRule>
    <cfRule type="expression" dxfId="6543" priority="2385">
      <formula>AE17="WR"</formula>
    </cfRule>
    <cfRule type="expression" dxfId="6542" priority="2386">
      <formula>AE17="RB"</formula>
    </cfRule>
    <cfRule type="expression" dxfId="6541" priority="2387">
      <formula>AE17="QB"</formula>
    </cfRule>
  </conditionalFormatting>
  <conditionalFormatting sqref="AD20">
    <cfRule type="expression" dxfId="6538" priority="2412">
      <formula>AE20="K"</formula>
    </cfRule>
    <cfRule type="expression" dxfId="6534" priority="2413">
      <formula>AE20="DEF"</formula>
    </cfRule>
    <cfRule type="expression" dxfId="6539" priority="2414">
      <formula>AE20="TE"</formula>
    </cfRule>
    <cfRule type="expression" dxfId="6535" priority="2415">
      <formula>AE20="WR"</formula>
    </cfRule>
    <cfRule type="expression" dxfId="6536" priority="2416">
      <formula>AE20="RB"</formula>
    </cfRule>
    <cfRule type="expression" dxfId="6537" priority="2417">
      <formula>AE20="QB"</formula>
    </cfRule>
  </conditionalFormatting>
  <conditionalFormatting sqref="AD23">
    <cfRule type="expression" dxfId="6528" priority="2442">
      <formula>AE23="K"</formula>
    </cfRule>
    <cfRule type="expression" dxfId="6533" priority="2443">
      <formula>AE23="DEF"</formula>
    </cfRule>
    <cfRule type="expression" dxfId="6532" priority="2444">
      <formula>AE23="TE"</formula>
    </cfRule>
    <cfRule type="expression" dxfId="6531" priority="2445">
      <formula>AE23="WR"</formula>
    </cfRule>
    <cfRule type="expression" dxfId="6530" priority="2446">
      <formula>AE23="RB"</formula>
    </cfRule>
    <cfRule type="expression" dxfId="6529" priority="2447">
      <formula>AE23="QB"</formula>
    </cfRule>
  </conditionalFormatting>
  <conditionalFormatting sqref="AD26">
    <cfRule type="expression" dxfId="6522" priority="2472">
      <formula>AE26="K"</formula>
    </cfRule>
    <cfRule type="expression" dxfId="6527" priority="2473">
      <formula>AE26="DEF"</formula>
    </cfRule>
    <cfRule type="expression" dxfId="6526" priority="2474">
      <formula>AE26="TE"</formula>
    </cfRule>
    <cfRule type="expression" dxfId="6525" priority="2475">
      <formula>AE26="WR"</formula>
    </cfRule>
    <cfRule type="expression" dxfId="6524" priority="2476">
      <formula>AE26="RB"</formula>
    </cfRule>
    <cfRule type="expression" dxfId="6523" priority="2477">
      <formula>AE26="QB"</formula>
    </cfRule>
  </conditionalFormatting>
  <conditionalFormatting sqref="AD29">
    <cfRule type="expression" dxfId="6516" priority="2502">
      <formula>AE29="K"</formula>
    </cfRule>
    <cfRule type="expression" dxfId="6521" priority="2503">
      <formula>AE29="DEF"</formula>
    </cfRule>
    <cfRule type="expression" dxfId="6520" priority="2504">
      <formula>AE29="TE"</formula>
    </cfRule>
    <cfRule type="expression" dxfId="6518" priority="2505">
      <formula>AE29="WR"</formula>
    </cfRule>
    <cfRule type="expression" dxfId="6519" priority="2506">
      <formula>AE29="RB"</formula>
    </cfRule>
    <cfRule type="expression" dxfId="6517" priority="2507">
      <formula>AE29="QB"</formula>
    </cfRule>
  </conditionalFormatting>
  <conditionalFormatting sqref="AD32">
    <cfRule type="expression" dxfId="6510" priority="2532">
      <formula>AE32="K"</formula>
    </cfRule>
    <cfRule type="expression" dxfId="6515" priority="2533">
      <formula>AE32="DEF"</formula>
    </cfRule>
    <cfRule type="expression" dxfId="6514" priority="2534">
      <formula>AE32="TE"</formula>
    </cfRule>
    <cfRule type="expression" dxfId="6513" priority="2535">
      <formula>AE32="WR"</formula>
    </cfRule>
    <cfRule type="expression" dxfId="6512" priority="2536">
      <formula>AE32="RB"</formula>
    </cfRule>
    <cfRule type="expression" dxfId="6511" priority="2537">
      <formula>AE32="QB"</formula>
    </cfRule>
  </conditionalFormatting>
  <conditionalFormatting sqref="AD35">
    <cfRule type="expression" dxfId="6509" priority="2562">
      <formula>AE35="K"</formula>
    </cfRule>
    <cfRule type="expression" dxfId="6508" priority="2563">
      <formula>AE35="DEF"</formula>
    </cfRule>
    <cfRule type="expression" dxfId="6507" priority="2564">
      <formula>AE35="TE"</formula>
    </cfRule>
    <cfRule type="expression" dxfId="6506" priority="2565">
      <formula>AE35="WR"</formula>
    </cfRule>
    <cfRule type="expression" dxfId="6505" priority="2566">
      <formula>AE35="RB"</formula>
    </cfRule>
    <cfRule type="expression" dxfId="6504" priority="2567">
      <formula>AE35="QB"</formula>
    </cfRule>
  </conditionalFormatting>
  <conditionalFormatting sqref="AD38">
    <cfRule type="expression" dxfId="6502" priority="2592">
      <formula>AE38="K"</formula>
    </cfRule>
    <cfRule type="expression" dxfId="6503" priority="2593">
      <formula>AE38="DEF"</formula>
    </cfRule>
    <cfRule type="expression" dxfId="6501" priority="2594">
      <formula>AE38="TE"</formula>
    </cfRule>
    <cfRule type="expression" dxfId="6500" priority="2595">
      <formula>AE38="WR"</formula>
    </cfRule>
    <cfRule type="expression" dxfId="6499" priority="2596">
      <formula>AE38="RB"</formula>
    </cfRule>
    <cfRule type="expression" dxfId="6498" priority="2597">
      <formula>AE38="QB"</formula>
    </cfRule>
  </conditionalFormatting>
  <conditionalFormatting sqref="AD41">
    <cfRule type="expression" dxfId="6493" priority="2622">
      <formula>AE41="K"</formula>
    </cfRule>
    <cfRule type="expression" dxfId="6494" priority="2623">
      <formula>AE41="DEF"</formula>
    </cfRule>
    <cfRule type="expression" dxfId="6496" priority="2624">
      <formula>AE41="TE"</formula>
    </cfRule>
    <cfRule type="expression" dxfId="6497" priority="2625">
      <formula>AE41="WR"</formula>
    </cfRule>
    <cfRule type="expression" dxfId="6495" priority="2626">
      <formula>AE41="RB"</formula>
    </cfRule>
    <cfRule type="expression" dxfId="6492" priority="2627">
      <formula>AE41="QB"</formula>
    </cfRule>
  </conditionalFormatting>
  <conditionalFormatting sqref="AD44">
    <cfRule type="expression" dxfId="6489" priority="2652">
      <formula>AE44="K"</formula>
    </cfRule>
    <cfRule type="expression" dxfId="6488" priority="2653">
      <formula>AE44="DEF"</formula>
    </cfRule>
    <cfRule type="expression" dxfId="6487" priority="2654">
      <formula>AE44="TE"</formula>
    </cfRule>
    <cfRule type="expression" dxfId="6486" priority="2655">
      <formula>AE44="WR"</formula>
    </cfRule>
    <cfRule type="expression" dxfId="6490" priority="2656">
      <formula>AE44="RB"</formula>
    </cfRule>
    <cfRule type="expression" dxfId="6491" priority="2657">
      <formula>AE44="QB"</formula>
    </cfRule>
  </conditionalFormatting>
  <conditionalFormatting sqref="AD47">
    <cfRule type="expression" dxfId="6483" priority="2682">
      <formula>AE47="K"</formula>
    </cfRule>
    <cfRule type="expression" dxfId="6484" priority="2683">
      <formula>AE47="DEF"</formula>
    </cfRule>
    <cfRule type="expression" dxfId="6485" priority="2684">
      <formula>AE47="TE"</formula>
    </cfRule>
    <cfRule type="expression" dxfId="6481" priority="2685">
      <formula>AE47="WR"</formula>
    </cfRule>
    <cfRule type="expression" dxfId="6480" priority="2686">
      <formula>AE47="RB"</formula>
    </cfRule>
    <cfRule type="expression" dxfId="6482" priority="2687">
      <formula>AE47="QB"</formula>
    </cfRule>
  </conditionalFormatting>
  <conditionalFormatting sqref="AE5">
    <cfRule type="expression" dxfId="6475" priority="2268">
      <formula>AE5="K"</formula>
    </cfRule>
    <cfRule type="expression" dxfId="6476" priority="2269">
      <formula>AE5="DEF"</formula>
    </cfRule>
    <cfRule type="expression" dxfId="6477" priority="2270">
      <formula>AE5="TE"</formula>
    </cfRule>
    <cfRule type="expression" dxfId="6478" priority="2271">
      <formula>AE5="WR"</formula>
    </cfRule>
    <cfRule type="expression" dxfId="6479" priority="2272">
      <formula>AE5="RB"</formula>
    </cfRule>
    <cfRule type="expression" dxfId="6474" priority="2273">
      <formula>AE5="QB"</formula>
    </cfRule>
  </conditionalFormatting>
  <conditionalFormatting sqref="AE8">
    <cfRule type="expression" dxfId="6469" priority="2298">
      <formula>AE8="K"</formula>
    </cfRule>
    <cfRule type="expression" dxfId="6468" priority="2299">
      <formula>AE8="DEF"</formula>
    </cfRule>
    <cfRule type="expression" dxfId="6473" priority="2300">
      <formula>AE8="TE"</formula>
    </cfRule>
    <cfRule type="expression" dxfId="6470" priority="2301">
      <formula>AE8="WR"</formula>
    </cfRule>
    <cfRule type="expression" dxfId="6472" priority="2302">
      <formula>AE8="RB"</formula>
    </cfRule>
    <cfRule type="expression" dxfId="6471" priority="2303">
      <formula>AE8="QB"</formula>
    </cfRule>
  </conditionalFormatting>
  <conditionalFormatting sqref="AE11">
    <cfRule type="expression" dxfId="6465" priority="2328">
      <formula>AE11="K"</formula>
    </cfRule>
    <cfRule type="expression" dxfId="6466" priority="2329">
      <formula>AE11="DEF"</formula>
    </cfRule>
    <cfRule type="expression" dxfId="6462" priority="2330">
      <formula>AE11="TE"</formula>
    </cfRule>
    <cfRule type="expression" dxfId="6463" priority="2331">
      <formula>AE11="WR"</formula>
    </cfRule>
    <cfRule type="expression" dxfId="6464" priority="2332">
      <formula>AE11="RB"</formula>
    </cfRule>
    <cfRule type="expression" dxfId="6467" priority="2333">
      <formula>AE11="QB"</formula>
    </cfRule>
  </conditionalFormatting>
  <conditionalFormatting sqref="AE14">
    <cfRule type="expression" dxfId="6456" priority="2358">
      <formula>AE14="K"</formula>
    </cfRule>
    <cfRule type="expression" dxfId="6457" priority="2359">
      <formula>AE14="DEF"</formula>
    </cfRule>
    <cfRule type="expression" dxfId="6461" priority="2360">
      <formula>AE14="TE"</formula>
    </cfRule>
    <cfRule type="expression" dxfId="6460" priority="2361">
      <formula>AE14="WR"</formula>
    </cfRule>
    <cfRule type="expression" dxfId="6459" priority="2362">
      <formula>AE14="RB"</formula>
    </cfRule>
    <cfRule type="expression" dxfId="6458" priority="2363">
      <formula>AE14="QB"</formula>
    </cfRule>
  </conditionalFormatting>
  <conditionalFormatting sqref="AE17">
    <cfRule type="expression" dxfId="6452" priority="2388">
      <formula>AE17="K"</formula>
    </cfRule>
    <cfRule type="expression" dxfId="6454" priority="2389">
      <formula>AE17="DEF"</formula>
    </cfRule>
    <cfRule type="expression" dxfId="6453" priority="2390">
      <formula>AE17="TE"</formula>
    </cfRule>
    <cfRule type="expression" dxfId="6455" priority="2391">
      <formula>AE17="WR"</formula>
    </cfRule>
    <cfRule type="expression" dxfId="6450" priority="2392">
      <formula>AE17="RB"</formula>
    </cfRule>
    <cfRule type="expression" dxfId="6451" priority="2393">
      <formula>AE17="QB"</formula>
    </cfRule>
  </conditionalFormatting>
  <conditionalFormatting sqref="AE20">
    <cfRule type="expression" dxfId="6446" priority="2418">
      <formula>AE20="K"</formula>
    </cfRule>
    <cfRule type="expression" dxfId="6445" priority="2419">
      <formula>AE20="DEF"</formula>
    </cfRule>
    <cfRule type="expression" dxfId="6444" priority="2420">
      <formula>AE20="TE"</formula>
    </cfRule>
    <cfRule type="expression" dxfId="6449" priority="2421">
      <formula>AE20="WR"</formula>
    </cfRule>
    <cfRule type="expression" dxfId="6448" priority="2422">
      <formula>AE20="RB"</formula>
    </cfRule>
    <cfRule type="expression" dxfId="6447" priority="2423">
      <formula>AE20="QB"</formula>
    </cfRule>
  </conditionalFormatting>
  <conditionalFormatting sqref="AE23">
    <cfRule type="expression" dxfId="6441" priority="2448">
      <formula>AE23="K"</formula>
    </cfRule>
    <cfRule type="expression" dxfId="6438" priority="2449">
      <formula>AE23="DEF"</formula>
    </cfRule>
    <cfRule type="expression" dxfId="6439" priority="2450">
      <formula>AE23="TE"</formula>
    </cfRule>
    <cfRule type="expression" dxfId="6440" priority="2451">
      <formula>AE23="WR"</formula>
    </cfRule>
    <cfRule type="expression" dxfId="6443" priority="2452">
      <formula>AE23="RB"</formula>
    </cfRule>
    <cfRule type="expression" dxfId="6442" priority="2453">
      <formula>AE23="QB"</formula>
    </cfRule>
  </conditionalFormatting>
  <conditionalFormatting sqref="AE26">
    <cfRule type="expression" dxfId="6437" priority="2478">
      <formula>AE26="K"</formula>
    </cfRule>
    <cfRule type="expression" dxfId="6436" priority="2479">
      <formula>AE26="DEF"</formula>
    </cfRule>
    <cfRule type="expression" dxfId="6435" priority="2480">
      <formula>AE26="TE"</formula>
    </cfRule>
    <cfRule type="expression" dxfId="6434" priority="2481">
      <formula>AE26="WR"</formula>
    </cfRule>
    <cfRule type="expression" dxfId="6433" priority="2482">
      <formula>AE26="RB"</formula>
    </cfRule>
    <cfRule type="expression" dxfId="6432" priority="2483">
      <formula>AE26="QB"</formula>
    </cfRule>
  </conditionalFormatting>
  <conditionalFormatting sqref="AE29">
    <cfRule type="expression" dxfId="6426" priority="2508">
      <formula>AE29="K"</formula>
    </cfRule>
    <cfRule type="expression" dxfId="6431" priority="2509">
      <formula>AE29="DEF"</formula>
    </cfRule>
    <cfRule type="expression" dxfId="6430" priority="2510">
      <formula>AE29="TE"</formula>
    </cfRule>
    <cfRule type="expression" dxfId="6429" priority="2511">
      <formula>AE29="WR"</formula>
    </cfRule>
    <cfRule type="expression" dxfId="6428" priority="2512">
      <formula>AE29="RB"</formula>
    </cfRule>
    <cfRule type="expression" dxfId="6427" priority="2513">
      <formula>AE29="QB"</formula>
    </cfRule>
  </conditionalFormatting>
  <conditionalFormatting sqref="AE32">
    <cfRule type="expression" dxfId="6420" priority="2538">
      <formula>AE32="K"</formula>
    </cfRule>
    <cfRule type="expression" dxfId="6421" priority="2539">
      <formula>AE32="DEF"</formula>
    </cfRule>
    <cfRule type="expression" dxfId="6422" priority="2540">
      <formula>AE32="TE"</formula>
    </cfRule>
    <cfRule type="expression" dxfId="6423" priority="2541">
      <formula>AE32="WR"</formula>
    </cfRule>
    <cfRule type="expression" dxfId="6424" priority="2542">
      <formula>AE32="RB"</formula>
    </cfRule>
    <cfRule type="expression" dxfId="6425" priority="2543">
      <formula>AE32="QB"</formula>
    </cfRule>
  </conditionalFormatting>
  <conditionalFormatting sqref="AE35">
    <cfRule type="expression" dxfId="6416" priority="2568">
      <formula>AE35="K"</formula>
    </cfRule>
    <cfRule type="expression" dxfId="6419" priority="2569">
      <formula>AE35="DEF"</formula>
    </cfRule>
    <cfRule type="expression" dxfId="6418" priority="2570">
      <formula>AE35="TE"</formula>
    </cfRule>
    <cfRule type="expression" dxfId="6417" priority="2571">
      <formula>AE35="WR"</formula>
    </cfRule>
    <cfRule type="expression" dxfId="6415" priority="2572">
      <formula>AE35="RB"</formula>
    </cfRule>
    <cfRule type="expression" dxfId="6414" priority="2573">
      <formula>AE35="QB"</formula>
    </cfRule>
  </conditionalFormatting>
  <conditionalFormatting sqref="AE38">
    <cfRule type="expression" dxfId="6413" priority="2598">
      <formula>AE38="K"</formula>
    </cfRule>
    <cfRule type="expression" dxfId="6412" priority="2599">
      <formula>AE38="DEF"</formula>
    </cfRule>
    <cfRule type="expression" dxfId="6411" priority="2600">
      <formula>AE38="TE"</formula>
    </cfRule>
    <cfRule type="expression" dxfId="6410" priority="2601">
      <formula>AE38="WR"</formula>
    </cfRule>
    <cfRule type="expression" dxfId="6409" priority="2602">
      <formula>AE38="RB"</formula>
    </cfRule>
    <cfRule type="expression" dxfId="6408" priority="2603">
      <formula>AE38="QB"</formula>
    </cfRule>
  </conditionalFormatting>
  <conditionalFormatting sqref="AE41">
    <cfRule type="expression" dxfId="6407" priority="2628">
      <formula>AE41="K"</formula>
    </cfRule>
    <cfRule type="expression" dxfId="6402" priority="2629">
      <formula>AE41="DEF"</formula>
    </cfRule>
    <cfRule type="expression" dxfId="6403" priority="2630">
      <formula>AE41="TE"</formula>
    </cfRule>
    <cfRule type="expression" dxfId="6404" priority="2631">
      <formula>AE41="WR"</formula>
    </cfRule>
    <cfRule type="expression" dxfId="6405" priority="2632">
      <formula>AE41="RB"</formula>
    </cfRule>
    <cfRule type="expression" dxfId="6406" priority="2633">
      <formula>AE41="QB"</formula>
    </cfRule>
  </conditionalFormatting>
  <conditionalFormatting sqref="AE44">
    <cfRule type="expression" dxfId="6401" priority="2658">
      <formula>AE44="K"</formula>
    </cfRule>
    <cfRule type="expression" dxfId="6400" priority="2659">
      <formula>AE44="DEF"</formula>
    </cfRule>
    <cfRule type="expression" dxfId="6399" priority="2660">
      <formula>AE44="TE"</formula>
    </cfRule>
    <cfRule type="expression" dxfId="6398" priority="2661">
      <formula>AE44="WR"</formula>
    </cfRule>
    <cfRule type="expression" dxfId="6396" priority="2662">
      <formula>AE44="RB"</formula>
    </cfRule>
    <cfRule type="expression" dxfId="6397" priority="2663">
      <formula>AE44="QB"</formula>
    </cfRule>
  </conditionalFormatting>
  <conditionalFormatting sqref="AE47">
    <cfRule type="expression" dxfId="6392" priority="2688">
      <formula>AE47="K"</formula>
    </cfRule>
    <cfRule type="expression" dxfId="6393" priority="2689">
      <formula>AE47="DEF"</formula>
    </cfRule>
    <cfRule type="expression" dxfId="6394" priority="2690">
      <formula>AE47="TE"</formula>
    </cfRule>
    <cfRule type="expression" dxfId="6391" priority="2691">
      <formula>AE47="WR"</formula>
    </cfRule>
    <cfRule type="expression" dxfId="6395" priority="2692">
      <formula>AE47="RB"</formula>
    </cfRule>
    <cfRule type="expression" dxfId="6390" priority="2693">
      <formula>AE47="QB"</formula>
    </cfRule>
  </conditionalFormatting>
  <conditionalFormatting sqref="AF5">
    <cfRule type="expression" dxfId="6385" priority="2274">
      <formula>AE5="K"</formula>
    </cfRule>
    <cfRule type="expression" dxfId="6386" priority="2275">
      <formula>AE5="DEF"</formula>
    </cfRule>
    <cfRule type="expression" dxfId="6387" priority="2276">
      <formula>AE5="TE"</formula>
    </cfRule>
    <cfRule type="expression" dxfId="6388" priority="2277">
      <formula>AE5="WR"</formula>
    </cfRule>
    <cfRule type="expression" dxfId="6389" priority="2278">
      <formula>AE5="RB"</formula>
    </cfRule>
    <cfRule type="expression" dxfId="6384" priority="2279">
      <formula>AE5="QB"</formula>
    </cfRule>
  </conditionalFormatting>
  <conditionalFormatting sqref="AF8">
    <cfRule type="expression" dxfId="6378" priority="2304">
      <formula>AE8="K"</formula>
    </cfRule>
    <cfRule type="expression" dxfId="6383" priority="2305">
      <formula>AE8="DEF"</formula>
    </cfRule>
    <cfRule type="expression" dxfId="6379" priority="2306">
      <formula>AE8="TE"</formula>
    </cfRule>
    <cfRule type="expression" dxfId="6380" priority="2307">
      <formula>AE8="WR"</formula>
    </cfRule>
    <cfRule type="expression" dxfId="6381" priority="2308">
      <formula>AE8="RB"</formula>
    </cfRule>
    <cfRule type="expression" dxfId="6382" priority="2309">
      <formula>AE8="QB"</formula>
    </cfRule>
  </conditionalFormatting>
  <conditionalFormatting sqref="AF11">
    <cfRule type="expression" dxfId="6373" priority="2334">
      <formula>AE11="K"</formula>
    </cfRule>
    <cfRule type="expression" dxfId="6372" priority="2335">
      <formula>AE11="DEF"</formula>
    </cfRule>
    <cfRule type="expression" dxfId="6374" priority="2336">
      <formula>AE11="TE"</formula>
    </cfRule>
    <cfRule type="expression" dxfId="6377" priority="2337">
      <formula>AE11="WR"</formula>
    </cfRule>
    <cfRule type="expression" dxfId="6376" priority="2338">
      <formula>AE11="RB"</formula>
    </cfRule>
    <cfRule type="expression" dxfId="6375" priority="2339">
      <formula>AE11="QB"</formula>
    </cfRule>
  </conditionalFormatting>
  <conditionalFormatting sqref="AF14">
    <cfRule type="expression" dxfId="6371" priority="2364">
      <formula>AE14="K"</formula>
    </cfRule>
    <cfRule type="expression" dxfId="6370" priority="2365">
      <formula>AE14="DEF"</formula>
    </cfRule>
    <cfRule type="expression" dxfId="6366" priority="2366">
      <formula>AE14="TE"</formula>
    </cfRule>
    <cfRule type="expression" dxfId="6367" priority="2367">
      <formula>AE14="WR"</formula>
    </cfRule>
    <cfRule type="expression" dxfId="6368" priority="2368">
      <formula>AE14="RB"</formula>
    </cfRule>
    <cfRule type="expression" dxfId="6369" priority="2369">
      <formula>AE14="QB"</formula>
    </cfRule>
  </conditionalFormatting>
  <conditionalFormatting sqref="AF17">
    <cfRule type="expression" dxfId="6365" priority="2394">
      <formula>AE17="K"</formula>
    </cfRule>
    <cfRule type="expression" dxfId="6364" priority="2395">
      <formula>AE17="DEF"</formula>
    </cfRule>
    <cfRule type="expression" dxfId="6361" priority="2396">
      <formula>AE17="TE"</formula>
    </cfRule>
    <cfRule type="expression" dxfId="6363" priority="2397">
      <formula>AE17="WR"</formula>
    </cfRule>
    <cfRule type="expression" dxfId="6360" priority="2398">
      <formula>AE17="RB"</formula>
    </cfRule>
    <cfRule type="expression" dxfId="6362" priority="2399">
      <formula>AE17="QB"</formula>
    </cfRule>
  </conditionalFormatting>
  <conditionalFormatting sqref="AF20">
    <cfRule type="expression" dxfId="6359" priority="2424">
      <formula>AE20="K"</formula>
    </cfRule>
    <cfRule type="expression" dxfId="6358" priority="2425">
      <formula>AE20="DEF"</formula>
    </cfRule>
    <cfRule type="expression" dxfId="6357" priority="2426">
      <formula>AE20="TE"</formula>
    </cfRule>
    <cfRule type="expression" dxfId="6356" priority="2427">
      <formula>AE20="WR"</formula>
    </cfRule>
    <cfRule type="expression" dxfId="6355" priority="2428">
      <formula>AE20="RB"</formula>
    </cfRule>
    <cfRule type="expression" dxfId="6354" priority="2429">
      <formula>AE20="QB"</formula>
    </cfRule>
  </conditionalFormatting>
  <conditionalFormatting sqref="AF23">
    <cfRule type="expression" dxfId="6350" priority="2454">
      <formula>AE23="K"</formula>
    </cfRule>
    <cfRule type="expression" dxfId="6351" priority="2455">
      <formula>AE23="DEF"</formula>
    </cfRule>
    <cfRule type="expression" dxfId="6352" priority="2456">
      <formula>AE23="TE"</formula>
    </cfRule>
    <cfRule type="expression" dxfId="6353" priority="2457">
      <formula>AE23="WR"</formula>
    </cfRule>
    <cfRule type="expression" dxfId="6348" priority="2458">
      <formula>AE23="RB"</formula>
    </cfRule>
    <cfRule type="expression" dxfId="6349" priority="2459">
      <formula>AE23="QB"</formula>
    </cfRule>
  </conditionalFormatting>
  <conditionalFormatting sqref="AF26">
    <cfRule type="expression" dxfId="6345" priority="2484">
      <formula>AE26="K"</formula>
    </cfRule>
    <cfRule type="expression" dxfId="6346" priority="2485">
      <formula>AE26="DEF"</formula>
    </cfRule>
    <cfRule type="expression" dxfId="6347" priority="2486">
      <formula>AE26="TE"</formula>
    </cfRule>
    <cfRule type="expression" dxfId="6344" priority="2487">
      <formula>AE26="WR"</formula>
    </cfRule>
    <cfRule type="expression" dxfId="6343" priority="2488">
      <formula>AE26="RB"</formula>
    </cfRule>
    <cfRule type="expression" dxfId="6342" priority="2489">
      <formula>AE26="QB"</formula>
    </cfRule>
  </conditionalFormatting>
  <conditionalFormatting sqref="AF29">
    <cfRule type="expression" dxfId="6340" priority="2514">
      <formula>AE29="K"</formula>
    </cfRule>
    <cfRule type="expression" dxfId="6339" priority="2515">
      <formula>AE29="DEF"</formula>
    </cfRule>
    <cfRule type="expression" dxfId="6341" priority="2516">
      <formula>AE29="TE"</formula>
    </cfRule>
    <cfRule type="expression" dxfId="6338" priority="2517">
      <formula>AE29="WR"</formula>
    </cfRule>
    <cfRule type="expression" dxfId="6337" priority="2518">
      <formula>AE29="RB"</formula>
    </cfRule>
    <cfRule type="expression" dxfId="6336" priority="2519">
      <formula>AE29="QB"</formula>
    </cfRule>
  </conditionalFormatting>
  <conditionalFormatting sqref="AF32">
    <cfRule type="expression" dxfId="6335" priority="2544">
      <formula>AE32="K"</formula>
    </cfRule>
    <cfRule type="expression" dxfId="6330" priority="2545">
      <formula>AE32="DEF"</formula>
    </cfRule>
    <cfRule type="expression" dxfId="6331" priority="2546">
      <formula>AE32="TE"</formula>
    </cfRule>
    <cfRule type="expression" dxfId="6332" priority="2547">
      <formula>AE32="WR"</formula>
    </cfRule>
    <cfRule type="expression" dxfId="6333" priority="2548">
      <formula>AE32="RB"</formula>
    </cfRule>
    <cfRule type="expression" dxfId="6334" priority="2549">
      <formula>AE32="QB"</formula>
    </cfRule>
  </conditionalFormatting>
  <conditionalFormatting sqref="AF35">
    <cfRule type="expression" dxfId="6324" priority="2574">
      <formula>AE35="K"</formula>
    </cfRule>
    <cfRule type="expression" dxfId="6325" priority="2575">
      <formula>AE35="DEF"</formula>
    </cfRule>
    <cfRule type="expression" dxfId="6326" priority="2576">
      <formula>AE35="TE"</formula>
    </cfRule>
    <cfRule type="expression" dxfId="6329" priority="2577">
      <formula>AE35="WR"</formula>
    </cfRule>
    <cfRule type="expression" dxfId="6328" priority="2578">
      <formula>AE35="RB"</formula>
    </cfRule>
    <cfRule type="expression" dxfId="6327" priority="2579">
      <formula>AE35="QB"</formula>
    </cfRule>
  </conditionalFormatting>
  <conditionalFormatting sqref="AF38">
    <cfRule type="expression" dxfId="6323" priority="2604">
      <formula>AE38="K"</formula>
    </cfRule>
    <cfRule type="expression" dxfId="6322" priority="2605">
      <formula>AE38="DEF"</formula>
    </cfRule>
    <cfRule type="expression" dxfId="6321" priority="2606">
      <formula>AE38="TE"</formula>
    </cfRule>
    <cfRule type="expression" dxfId="6318" priority="2607">
      <formula>AE38="WR"</formula>
    </cfRule>
    <cfRule type="expression" dxfId="6320" priority="2608">
      <formula>AE38="RB"</formula>
    </cfRule>
    <cfRule type="expression" dxfId="6319" priority="2609">
      <formula>AE38="QB"</formula>
    </cfRule>
  </conditionalFormatting>
  <conditionalFormatting sqref="AF41">
    <cfRule type="expression" dxfId="6315" priority="2634">
      <formula>AE41="K"</formula>
    </cfRule>
    <cfRule type="expression" dxfId="6316" priority="2635">
      <formula>AE41="DEF"</formula>
    </cfRule>
    <cfRule type="expression" dxfId="6317" priority="2636">
      <formula>AE41="TE"</formula>
    </cfRule>
    <cfRule type="expression" dxfId="6312" priority="2637">
      <formula>AE41="WR"</formula>
    </cfRule>
    <cfRule type="expression" dxfId="6313" priority="2638">
      <formula>AE41="RB"</formula>
    </cfRule>
    <cfRule type="expression" dxfId="6314" priority="2639">
      <formula>AE41="QB"</formula>
    </cfRule>
  </conditionalFormatting>
  <conditionalFormatting sqref="AF44">
    <cfRule type="expression" dxfId="6310" priority="2664">
      <formula>AE44="K"</formula>
    </cfRule>
    <cfRule type="expression" dxfId="6308" priority="2665">
      <formula>AE44="DEF"</formula>
    </cfRule>
    <cfRule type="expression" dxfId="6307" priority="2666">
      <formula>AE44="TE"</formula>
    </cfRule>
    <cfRule type="expression" dxfId="6306" priority="2667">
      <formula>AE44="WR"</formula>
    </cfRule>
    <cfRule type="expression" dxfId="6309" priority="2668">
      <formula>AE44="RB"</formula>
    </cfRule>
    <cfRule type="expression" dxfId="6311" priority="2669">
      <formula>AE44="QB"</formula>
    </cfRule>
  </conditionalFormatting>
  <conditionalFormatting sqref="AF47">
    <cfRule type="expression" dxfId="6305" priority="2694">
      <formula>AE47="K"</formula>
    </cfRule>
    <cfRule type="expression" dxfId="6304" priority="2695">
      <formula>AE47="DEF"</formula>
    </cfRule>
    <cfRule type="expression" dxfId="6303" priority="2696">
      <formula>AE47="TE"</formula>
    </cfRule>
    <cfRule type="expression" dxfId="6302" priority="2697">
      <formula>AE47="WR"</formula>
    </cfRule>
    <cfRule type="expression" dxfId="6301" priority="2698">
      <formula>AE47="RB"</formula>
    </cfRule>
    <cfRule type="expression" dxfId="6300" priority="2699">
      <formula>AE47="QB"</formula>
    </cfRule>
  </conditionalFormatting>
  <conditionalFormatting sqref="AH4">
    <cfRule type="expression" dxfId="6299" priority="2701">
      <formula>AJ5="DEF"</formula>
    </cfRule>
    <cfRule type="expression" dxfId="6298" priority="2702">
      <formula>AJ5="TE"</formula>
    </cfRule>
    <cfRule type="expression" dxfId="6297" priority="2703">
      <formula>AJ5="WR"</formula>
    </cfRule>
    <cfRule type="expression" dxfId="6296" priority="2704">
      <formula>AJ5="RB"</formula>
    </cfRule>
    <cfRule type="expression" dxfId="6295" priority="2705">
      <formula>AJ5="QB"</formula>
    </cfRule>
  </conditionalFormatting>
  <conditionalFormatting sqref="AH5">
    <cfRule type="expression" dxfId="6294" priority="2706">
      <formula>AJ5="K"</formula>
    </cfRule>
    <cfRule type="expression" dxfId="6293" priority="2707">
      <formula>AJ5="DEF"</formula>
    </cfRule>
    <cfRule type="expression" dxfId="6292" priority="2708">
      <formula>AJ5="TE"</formula>
    </cfRule>
    <cfRule type="expression" dxfId="6291" priority="2709">
      <formula>AJ5="WR"</formula>
    </cfRule>
    <cfRule type="expression" dxfId="6290" priority="2710">
      <formula>AJ5="RB"</formula>
    </cfRule>
    <cfRule type="expression" dxfId="6289" priority="2711">
      <formula>AJ5="QB"</formula>
    </cfRule>
  </conditionalFormatting>
  <conditionalFormatting sqref="AH7">
    <cfRule type="expression" dxfId="6288" priority="2731">
      <formula>AJ8="DEF"</formula>
    </cfRule>
    <cfRule type="expression" dxfId="6284" priority="2732">
      <formula>AJ8="TE"</formula>
    </cfRule>
    <cfRule type="expression" dxfId="6285" priority="2733">
      <formula>AJ8="WR"</formula>
    </cfRule>
    <cfRule type="expression" dxfId="6286" priority="2734">
      <formula>AJ8="RB"</formula>
    </cfRule>
    <cfRule type="expression" dxfId="6287" priority="2735">
      <formula>AJ8="QB"</formula>
    </cfRule>
  </conditionalFormatting>
  <conditionalFormatting sqref="AH8">
    <cfRule type="expression" dxfId="6283" priority="2736">
      <formula>AJ8="K"</formula>
    </cfRule>
    <cfRule type="expression" dxfId="6282" priority="2737">
      <formula>AJ8="DEF"</formula>
    </cfRule>
    <cfRule type="expression" dxfId="6280" priority="2738">
      <formula>AJ8="TE"</formula>
    </cfRule>
    <cfRule type="expression" dxfId="6281" priority="2739">
      <formula>AJ8="WR"</formula>
    </cfRule>
    <cfRule type="expression" dxfId="6278" priority="2740">
      <formula>AJ8="RB"</formula>
    </cfRule>
    <cfRule type="expression" dxfId="6279" priority="2741">
      <formula>AJ8="QB"</formula>
    </cfRule>
  </conditionalFormatting>
  <conditionalFormatting sqref="AH10">
    <cfRule type="expression" dxfId="6277" priority="2761">
      <formula>AJ11="DEF"</formula>
    </cfRule>
    <cfRule type="expression" dxfId="6276" priority="2762">
      <formula>AJ11="TE"</formula>
    </cfRule>
    <cfRule type="expression" dxfId="6273" priority="2763">
      <formula>AJ11="WR"</formula>
    </cfRule>
    <cfRule type="expression" dxfId="6275" priority="2764">
      <formula>AJ11="RB"</formula>
    </cfRule>
    <cfRule type="expression" dxfId="6274" priority="2765">
      <formula>AJ11="QB"</formula>
    </cfRule>
  </conditionalFormatting>
  <conditionalFormatting sqref="AH11">
    <cfRule type="expression" dxfId="6272" priority="2766">
      <formula>AJ11="K"</formula>
    </cfRule>
    <cfRule type="expression" dxfId="6267" priority="2767">
      <formula>AJ11="DEF"</formula>
    </cfRule>
    <cfRule type="expression" dxfId="6268" priority="2768">
      <formula>AJ11="TE"</formula>
    </cfRule>
    <cfRule type="expression" dxfId="6269" priority="2769">
      <formula>AJ11="WR"</formula>
    </cfRule>
    <cfRule type="expression" dxfId="6270" priority="2770">
      <formula>AJ11="RB"</formula>
    </cfRule>
    <cfRule type="expression" dxfId="6271" priority="2771">
      <formula>AJ11="QB"</formula>
    </cfRule>
  </conditionalFormatting>
  <conditionalFormatting sqref="AH13">
    <cfRule type="expression" dxfId="6265" priority="2791">
      <formula>AJ14="DEF"</formula>
    </cfRule>
    <cfRule type="expression" dxfId="6266" priority="2792">
      <formula>AJ14="TE"</formula>
    </cfRule>
    <cfRule type="expression" dxfId="6264" priority="2793">
      <formula>AJ14="WR"</formula>
    </cfRule>
    <cfRule type="expression" dxfId="6263" priority="2794">
      <formula>AJ14="RB"</formula>
    </cfRule>
    <cfRule type="expression" dxfId="6262" priority="2795">
      <formula>AJ14="QB"</formula>
    </cfRule>
  </conditionalFormatting>
  <conditionalFormatting sqref="AH14">
    <cfRule type="expression" dxfId="6257" priority="2796">
      <formula>AJ14="K"</formula>
    </cfRule>
    <cfRule type="expression" dxfId="6256" priority="2797">
      <formula>AJ14="DEF"</formula>
    </cfRule>
    <cfRule type="expression" dxfId="6258" priority="2798">
      <formula>AJ14="TE"</formula>
    </cfRule>
    <cfRule type="expression" dxfId="6259" priority="2799">
      <formula>AJ14="WR"</formula>
    </cfRule>
    <cfRule type="expression" dxfId="6260" priority="2800">
      <formula>AJ14="RB"</formula>
    </cfRule>
    <cfRule type="expression" dxfId="6261" priority="2801">
      <formula>AJ14="QB"</formula>
    </cfRule>
  </conditionalFormatting>
  <conditionalFormatting sqref="AH16">
    <cfRule type="expression" dxfId="6253" priority="2821">
      <formula>AJ17="DEF"</formula>
    </cfRule>
    <cfRule type="expression" dxfId="6252" priority="2822">
      <formula>AJ17="TE"</formula>
    </cfRule>
    <cfRule type="expression" dxfId="6251" priority="2823">
      <formula>AJ17="WR"</formula>
    </cfRule>
    <cfRule type="expression" dxfId="6255" priority="2824">
      <formula>AJ17="RB"</formula>
    </cfRule>
    <cfRule type="expression" dxfId="6254" priority="2825">
      <formula>AJ17="QB"</formula>
    </cfRule>
  </conditionalFormatting>
  <conditionalFormatting sqref="AH17">
    <cfRule type="expression" dxfId="6248" priority="2826">
      <formula>AJ17="K"</formula>
    </cfRule>
    <cfRule type="expression" dxfId="6247" priority="2827">
      <formula>AJ17="DEF"</formula>
    </cfRule>
    <cfRule type="expression" dxfId="6245" priority="2828">
      <formula>AJ17="TE"</formula>
    </cfRule>
    <cfRule type="expression" dxfId="6249" priority="2829">
      <formula>AJ17="WR"</formula>
    </cfRule>
    <cfRule type="expression" dxfId="6246" priority="2830">
      <formula>AJ17="RB"</formula>
    </cfRule>
    <cfRule type="expression" dxfId="6250" priority="2831">
      <formula>AJ17="QB"</formula>
    </cfRule>
  </conditionalFormatting>
  <conditionalFormatting sqref="AH19">
    <cfRule type="expression" dxfId="6240" priority="2851">
      <formula>AJ20="DEF"</formula>
    </cfRule>
    <cfRule type="expression" dxfId="6244" priority="2852">
      <formula>AJ20="TE"</formula>
    </cfRule>
    <cfRule type="expression" dxfId="6243" priority="2853">
      <formula>AJ20="WR"</formula>
    </cfRule>
    <cfRule type="expression" dxfId="6241" priority="2854">
      <formula>AJ20="RB"</formula>
    </cfRule>
    <cfRule type="expression" dxfId="6242" priority="2855">
      <formula>AJ20="QB"</formula>
    </cfRule>
  </conditionalFormatting>
  <conditionalFormatting sqref="AH20">
    <cfRule type="expression" dxfId="6234" priority="2856">
      <formula>AJ20="K"</formula>
    </cfRule>
    <cfRule type="expression" dxfId="6239" priority="2857">
      <formula>AJ20="DEF"</formula>
    </cfRule>
    <cfRule type="expression" dxfId="6238" priority="2858">
      <formula>AJ20="TE"</formula>
    </cfRule>
    <cfRule type="expression" dxfId="6237" priority="2859">
      <formula>AJ20="WR"</formula>
    </cfRule>
    <cfRule type="expression" dxfId="6236" priority="2860">
      <formula>AJ20="RB"</formula>
    </cfRule>
    <cfRule type="expression" dxfId="6235" priority="2861">
      <formula>AJ20="QB"</formula>
    </cfRule>
  </conditionalFormatting>
  <conditionalFormatting sqref="AH22">
    <cfRule type="expression" dxfId="6232" priority="2881">
      <formula>AJ23="DEF"</formula>
    </cfRule>
    <cfRule type="expression" dxfId="6233" priority="2882">
      <formula>AJ23="TE"</formula>
    </cfRule>
    <cfRule type="expression" dxfId="6229" priority="2883">
      <formula>AJ23="WR"</formula>
    </cfRule>
    <cfRule type="expression" dxfId="6230" priority="2884">
      <formula>AJ23="RB"</formula>
    </cfRule>
    <cfRule type="expression" dxfId="6231" priority="2885">
      <formula>AJ23="QB"</formula>
    </cfRule>
  </conditionalFormatting>
  <conditionalFormatting sqref="AH23">
    <cfRule type="expression" dxfId="6223" priority="2886">
      <formula>AJ23="K"</formula>
    </cfRule>
    <cfRule type="expression" dxfId="6224" priority="2887">
      <formula>AJ23="DEF"</formula>
    </cfRule>
    <cfRule type="expression" dxfId="6228" priority="2888">
      <formula>AJ23="TE"</formula>
    </cfRule>
    <cfRule type="expression" dxfId="6225" priority="2889">
      <formula>AJ23="WR"</formula>
    </cfRule>
    <cfRule type="expression" dxfId="6226" priority="2890">
      <formula>AJ23="RB"</formula>
    </cfRule>
    <cfRule type="expression" dxfId="6227" priority="2891">
      <formula>AJ23="QB"</formula>
    </cfRule>
  </conditionalFormatting>
  <conditionalFormatting sqref="AH25">
    <cfRule type="expression" dxfId="6221" priority="2911">
      <formula>AJ26="DEF"</formula>
    </cfRule>
    <cfRule type="expression" dxfId="6220" priority="2912">
      <formula>AJ26="TE"</formula>
    </cfRule>
    <cfRule type="expression" dxfId="6222" priority="2913">
      <formula>AJ26="WR"</formula>
    </cfRule>
    <cfRule type="expression" dxfId="6219" priority="2914">
      <formula>AJ26="RB"</formula>
    </cfRule>
    <cfRule type="expression" dxfId="6218" priority="2915">
      <formula>AJ26="QB"</formula>
    </cfRule>
  </conditionalFormatting>
  <conditionalFormatting sqref="AH26">
    <cfRule type="expression" dxfId="6214" priority="2916">
      <formula>AJ26="K"</formula>
    </cfRule>
    <cfRule type="expression" dxfId="6215" priority="2917">
      <formula>AJ26="DEF"</formula>
    </cfRule>
    <cfRule type="expression" dxfId="6212" priority="2918">
      <formula>AJ26="TE"</formula>
    </cfRule>
    <cfRule type="expression" dxfId="6213" priority="2919">
      <formula>AJ26="WR"</formula>
    </cfRule>
    <cfRule type="expression" dxfId="6217" priority="2920">
      <formula>AJ26="RB"</formula>
    </cfRule>
    <cfRule type="expression" dxfId="6216" priority="2921">
      <formula>AJ26="QB"</formula>
    </cfRule>
  </conditionalFormatting>
  <conditionalFormatting sqref="AH28">
    <cfRule type="expression" dxfId="6211" priority="2941">
      <formula>AJ29="DEF"</formula>
    </cfRule>
    <cfRule type="expression" dxfId="6207" priority="2942">
      <formula>AJ29="TE"</formula>
    </cfRule>
    <cfRule type="expression" dxfId="6210" priority="2943">
      <formula>AJ29="WR"</formula>
    </cfRule>
    <cfRule type="expression" dxfId="6208" priority="2944">
      <formula>AJ29="RB"</formula>
    </cfRule>
    <cfRule type="expression" dxfId="6209" priority="2945">
      <formula>AJ29="QB"</formula>
    </cfRule>
  </conditionalFormatting>
  <conditionalFormatting sqref="AH29">
    <cfRule type="expression" dxfId="6206" priority="2946">
      <formula>AJ29="K"</formula>
    </cfRule>
    <cfRule type="expression" dxfId="6202" priority="2947">
      <formula>AJ29="DEF"</formula>
    </cfRule>
    <cfRule type="expression" dxfId="6203" priority="2948">
      <formula>AJ29="TE"</formula>
    </cfRule>
    <cfRule type="expression" dxfId="6204" priority="2949">
      <formula>AJ29="WR"</formula>
    </cfRule>
    <cfRule type="expression" dxfId="6201" priority="2950">
      <formula>AJ29="RB"</formula>
    </cfRule>
    <cfRule type="expression" dxfId="6205" priority="2951">
      <formula>AJ29="QB"</formula>
    </cfRule>
  </conditionalFormatting>
  <conditionalFormatting sqref="AH31">
    <cfRule type="expression" dxfId="6197" priority="2971">
      <formula>AJ32="DEF"</formula>
    </cfRule>
    <cfRule type="expression" dxfId="6198" priority="2972">
      <formula>AJ32="TE"</formula>
    </cfRule>
    <cfRule type="expression" dxfId="6199" priority="2973">
      <formula>AJ32="WR"</formula>
    </cfRule>
    <cfRule type="expression" dxfId="6196" priority="2974">
      <formula>AJ32="RB"</formula>
    </cfRule>
    <cfRule type="expression" dxfId="6200" priority="2975">
      <formula>AJ32="QB"</formula>
    </cfRule>
  </conditionalFormatting>
  <conditionalFormatting sqref="AH32">
    <cfRule type="expression" dxfId="6193" priority="2976">
      <formula>AJ32="K"</formula>
    </cfRule>
    <cfRule type="expression" dxfId="6194" priority="2977">
      <formula>AJ32="DEF"</formula>
    </cfRule>
    <cfRule type="expression" dxfId="6195" priority="2978">
      <formula>AJ32="TE"</formula>
    </cfRule>
    <cfRule type="expression" dxfId="6192" priority="2979">
      <formula>AJ32="WR"</formula>
    </cfRule>
    <cfRule type="expression" dxfId="6191" priority="2980">
      <formula>AJ32="RB"</formula>
    </cfRule>
    <cfRule type="expression" dxfId="6190" priority="2981">
      <formula>AJ32="QB"</formula>
    </cfRule>
  </conditionalFormatting>
  <conditionalFormatting sqref="AH34">
    <cfRule type="expression" dxfId="6185" priority="3001">
      <formula>AJ35="DEF"</formula>
    </cfRule>
    <cfRule type="expression" dxfId="6189" priority="3002">
      <formula>AJ35="TE"</formula>
    </cfRule>
    <cfRule type="expression" dxfId="6186" priority="3003">
      <formula>AJ35="WR"</formula>
    </cfRule>
    <cfRule type="expression" dxfId="6187" priority="3004">
      <formula>AJ35="RB"</formula>
    </cfRule>
    <cfRule type="expression" dxfId="6188" priority="3005">
      <formula>AJ35="QB"</formula>
    </cfRule>
  </conditionalFormatting>
  <conditionalFormatting sqref="AH35">
    <cfRule type="expression" dxfId="6180" priority="3006">
      <formula>AJ35="K"</formula>
    </cfRule>
    <cfRule type="expression" dxfId="6181" priority="3007">
      <formula>AJ35="DEF"</formula>
    </cfRule>
    <cfRule type="expression" dxfId="6182" priority="3008">
      <formula>AJ35="TE"</formula>
    </cfRule>
    <cfRule type="expression" dxfId="6183" priority="3009">
      <formula>AJ35="WR"</formula>
    </cfRule>
    <cfRule type="expression" dxfId="6184" priority="3010">
      <formula>AJ35="RB"</formula>
    </cfRule>
    <cfRule type="expression" dxfId="6179" priority="3011">
      <formula>AJ35="QB"</formula>
    </cfRule>
  </conditionalFormatting>
  <conditionalFormatting sqref="AH37">
    <cfRule type="expression" dxfId="6178" priority="3031">
      <formula>AJ38="DEF"</formula>
    </cfRule>
    <cfRule type="expression" dxfId="6177" priority="3032">
      <formula>AJ38="TE"</formula>
    </cfRule>
    <cfRule type="expression" dxfId="6176" priority="3033">
      <formula>AJ38="WR"</formula>
    </cfRule>
    <cfRule type="expression" dxfId="6175" priority="3034">
      <formula>AJ38="RB"</formula>
    </cfRule>
    <cfRule type="expression" dxfId="6174" priority="3035">
      <formula>AJ38="QB"</formula>
    </cfRule>
  </conditionalFormatting>
  <conditionalFormatting sqref="AH38">
    <cfRule type="expression" dxfId="6173" priority="3036">
      <formula>AJ38="K"</formula>
    </cfRule>
    <cfRule type="expression" dxfId="6169" priority="3037">
      <formula>AJ38="DEF"</formula>
    </cfRule>
    <cfRule type="expression" dxfId="6170" priority="3038">
      <formula>AJ38="TE"</formula>
    </cfRule>
    <cfRule type="expression" dxfId="6171" priority="3039">
      <formula>AJ38="WR"</formula>
    </cfRule>
    <cfRule type="expression" dxfId="6168" priority="3040">
      <formula>AJ38="RB"</formula>
    </cfRule>
    <cfRule type="expression" dxfId="6172" priority="3041">
      <formula>AJ38="QB"</formula>
    </cfRule>
  </conditionalFormatting>
  <conditionalFormatting sqref="AH40">
    <cfRule type="expression" dxfId="6167" priority="3061">
      <formula>AJ41="DEF"</formula>
    </cfRule>
    <cfRule type="expression" dxfId="6163" priority="3062">
      <formula>AJ41="TE"</formula>
    </cfRule>
    <cfRule type="expression" dxfId="6164" priority="3063">
      <formula>AJ41="WR"</formula>
    </cfRule>
    <cfRule type="expression" dxfId="6165" priority="3064">
      <formula>AJ41="RB"</formula>
    </cfRule>
    <cfRule type="expression" dxfId="6166" priority="3065">
      <formula>AJ41="QB"</formula>
    </cfRule>
  </conditionalFormatting>
  <conditionalFormatting sqref="AH41">
    <cfRule type="expression" dxfId="6157" priority="3066">
      <formula>AJ41="K"</formula>
    </cfRule>
    <cfRule type="expression" dxfId="6162" priority="3067">
      <formula>AJ41="DEF"</formula>
    </cfRule>
    <cfRule type="expression" dxfId="6161" priority="3068">
      <formula>AJ41="TE"</formula>
    </cfRule>
    <cfRule type="expression" dxfId="6160" priority="3069">
      <formula>AJ41="WR"</formula>
    </cfRule>
    <cfRule type="expression" dxfId="6159" priority="3070">
      <formula>AJ41="RB"</formula>
    </cfRule>
    <cfRule type="expression" dxfId="6158" priority="3071">
      <formula>AJ41="QB"</formula>
    </cfRule>
  </conditionalFormatting>
  <conditionalFormatting sqref="AH43">
    <cfRule type="expression" dxfId="6152" priority="3091">
      <formula>AJ44="DEF"</formula>
    </cfRule>
    <cfRule type="expression" dxfId="6156" priority="3092">
      <formula>AJ44="TE"</formula>
    </cfRule>
    <cfRule type="expression" dxfId="6155" priority="3093">
      <formula>AJ44="WR"</formula>
    </cfRule>
    <cfRule type="expression" dxfId="6154" priority="3094">
      <formula>AJ44="RB"</formula>
    </cfRule>
    <cfRule type="expression" dxfId="6153" priority="3095">
      <formula>AJ44="QB"</formula>
    </cfRule>
  </conditionalFormatting>
  <conditionalFormatting sqref="AH44">
    <cfRule type="expression" dxfId="6148" priority="3096">
      <formula>AJ44="K"</formula>
    </cfRule>
    <cfRule type="expression" dxfId="6147" priority="3097">
      <formula>AJ44="DEF"</formula>
    </cfRule>
    <cfRule type="expression" dxfId="6146" priority="3098">
      <formula>AJ44="TE"</formula>
    </cfRule>
    <cfRule type="expression" dxfId="6149" priority="3099">
      <formula>AJ44="WR"</formula>
    </cfRule>
    <cfRule type="expression" dxfId="6151" priority="3100">
      <formula>AJ44="RB"</formula>
    </cfRule>
    <cfRule type="expression" dxfId="6150" priority="3101">
      <formula>AJ44="QB"</formula>
    </cfRule>
  </conditionalFormatting>
  <conditionalFormatting sqref="AH46">
    <cfRule type="expression" dxfId="6141" priority="3121">
      <formula>AJ47="DEF"</formula>
    </cfRule>
    <cfRule type="expression" dxfId="6145" priority="3122">
      <formula>AJ47="TE"</formula>
    </cfRule>
    <cfRule type="expression" dxfId="6142" priority="3123">
      <formula>AJ47="WR"</formula>
    </cfRule>
    <cfRule type="expression" dxfId="6143" priority="3124">
      <formula>AJ47="RB"</formula>
    </cfRule>
    <cfRule type="expression" dxfId="6144" priority="3125">
      <formula>AJ47="QB"</formula>
    </cfRule>
  </conditionalFormatting>
  <conditionalFormatting sqref="AH47">
    <cfRule type="expression" dxfId="6135" priority="3126">
      <formula>AJ47="K"</formula>
    </cfRule>
    <cfRule type="expression" dxfId="6136" priority="3127">
      <formula>AJ47="DEF"</formula>
    </cfRule>
    <cfRule type="expression" dxfId="6137" priority="3128">
      <formula>AJ47="TE"</formula>
    </cfRule>
    <cfRule type="expression" dxfId="6138" priority="3129">
      <formula>AJ47="WR"</formula>
    </cfRule>
    <cfRule type="expression" dxfId="6140" priority="3130">
      <formula>AJ47="RB"</formula>
    </cfRule>
    <cfRule type="expression" dxfId="6139" priority="3131">
      <formula>AJ47="QB"</formula>
    </cfRule>
  </conditionalFormatting>
  <conditionalFormatting sqref="AH4:AK4">
    <cfRule type="expression" dxfId="6134" priority="2730">
      <formula>AJ5="K"</formula>
    </cfRule>
  </conditionalFormatting>
  <conditionalFormatting sqref="AH7:AK7">
    <cfRule type="expression" dxfId="6133" priority="2760">
      <formula>AJ8="K"</formula>
    </cfRule>
  </conditionalFormatting>
  <conditionalFormatting sqref="AH10:AK10">
    <cfRule type="expression" dxfId="6132" priority="2790">
      <formula>AJ11="K"</formula>
    </cfRule>
  </conditionalFormatting>
  <conditionalFormatting sqref="AH13:AK13">
    <cfRule type="expression" dxfId="6131" priority="2820">
      <formula>AJ14="K"</formula>
    </cfRule>
  </conditionalFormatting>
  <conditionalFormatting sqref="AH16:AK16">
    <cfRule type="expression" dxfId="6130" priority="2850">
      <formula>AJ17="K"</formula>
    </cfRule>
  </conditionalFormatting>
  <conditionalFormatting sqref="AH19:AK19">
    <cfRule type="expression" dxfId="6129" priority="2880">
      <formula>AJ20="K"</formula>
    </cfRule>
  </conditionalFormatting>
  <conditionalFormatting sqref="AH22:AK22">
    <cfRule type="expression" dxfId="6128" priority="2910">
      <formula>AJ23="K"</formula>
    </cfRule>
  </conditionalFormatting>
  <conditionalFormatting sqref="AH25:AK25">
    <cfRule type="expression" dxfId="6127" priority="2940">
      <formula>AJ26="K"</formula>
    </cfRule>
  </conditionalFormatting>
  <conditionalFormatting sqref="AH28:AK28">
    <cfRule type="expression" dxfId="6126" priority="2970">
      <formula>AJ29="K"</formula>
    </cfRule>
  </conditionalFormatting>
  <conditionalFormatting sqref="AH31:AK31">
    <cfRule type="expression" dxfId="6125" priority="3000">
      <formula>AJ32="K"</formula>
    </cfRule>
  </conditionalFormatting>
  <conditionalFormatting sqref="AH34:AK34">
    <cfRule type="expression" dxfId="6124" priority="3030">
      <formula>AJ35="K"</formula>
    </cfRule>
  </conditionalFormatting>
  <conditionalFormatting sqref="AH37:AK37">
    <cfRule type="expression" dxfId="6123" priority="3060">
      <formula>AJ38="K"</formula>
    </cfRule>
  </conditionalFormatting>
  <conditionalFormatting sqref="AH40:AK40">
    <cfRule type="expression" dxfId="6122" priority="3090">
      <formula>AJ41="K"</formula>
    </cfRule>
  </conditionalFormatting>
  <conditionalFormatting sqref="AH43:AK43">
    <cfRule type="expression" dxfId="6121" priority="3120">
      <formula>AJ44="K"</formula>
    </cfRule>
  </conditionalFormatting>
  <conditionalFormatting sqref="AH46:AK46">
    <cfRule type="expression" dxfId="6120" priority="3150">
      <formula>AJ47="K"</formula>
    </cfRule>
  </conditionalFormatting>
  <conditionalFormatting sqref="AI5">
    <cfRule type="expression" dxfId="6114" priority="2712">
      <formula>AJ5="K"</formula>
    </cfRule>
    <cfRule type="expression" dxfId="6119" priority="2713">
      <formula>AJ5="DEF"</formula>
    </cfRule>
    <cfRule type="expression" dxfId="6118" priority="2714">
      <formula>AJ5="TE"</formula>
    </cfRule>
    <cfRule type="expression" dxfId="6117" priority="2715">
      <formula>AJ5="WR"</formula>
    </cfRule>
    <cfRule type="expression" dxfId="6116" priority="2716">
      <formula>AJ5="RB"</formula>
    </cfRule>
    <cfRule type="expression" dxfId="6115" priority="2717">
      <formula>AJ5="QB"</formula>
    </cfRule>
  </conditionalFormatting>
  <conditionalFormatting sqref="AI8">
    <cfRule type="expression" dxfId="6113" priority="2742">
      <formula>AJ8="K"</formula>
    </cfRule>
    <cfRule type="expression" dxfId="6112" priority="2743">
      <formula>AJ8="DEF"</formula>
    </cfRule>
    <cfRule type="expression" dxfId="6108" priority="2744">
      <formula>AJ8="TE"</formula>
    </cfRule>
    <cfRule type="expression" dxfId="6111" priority="2745">
      <formula>AJ8="WR"</formula>
    </cfRule>
    <cfRule type="expression" dxfId="6110" priority="2746">
      <formula>AJ8="RB"</formula>
    </cfRule>
    <cfRule type="expression" dxfId="6109" priority="2747">
      <formula>AJ8="QB"</formula>
    </cfRule>
  </conditionalFormatting>
  <conditionalFormatting sqref="AI11">
    <cfRule type="expression" dxfId="6107" priority="2772">
      <formula>AJ11="K"</formula>
    </cfRule>
    <cfRule type="expression" dxfId="6106" priority="2773">
      <formula>AJ11="DEF"</formula>
    </cfRule>
    <cfRule type="expression" dxfId="6105" priority="2774">
      <formula>AJ11="TE"</formula>
    </cfRule>
    <cfRule type="expression" dxfId="6102" priority="2775">
      <formula>AJ11="WR"</formula>
    </cfRule>
    <cfRule type="expression" dxfId="6104" priority="2776">
      <formula>AJ11="RB"</formula>
    </cfRule>
    <cfRule type="expression" dxfId="6103" priority="2777">
      <formula>AJ11="QB"</formula>
    </cfRule>
  </conditionalFormatting>
  <conditionalFormatting sqref="AI14">
    <cfRule type="expression" dxfId="6100" priority="2802">
      <formula>AJ14="K"</formula>
    </cfRule>
    <cfRule type="expression" dxfId="6099" priority="2803">
      <formula>AJ14="DEF"</formula>
    </cfRule>
    <cfRule type="expression" dxfId="6098" priority="2804">
      <formula>AJ14="TE"</formula>
    </cfRule>
    <cfRule type="expression" dxfId="6096" priority="2805">
      <formula>AJ14="WR"</formula>
    </cfRule>
    <cfRule type="expression" dxfId="6101" priority="2806">
      <formula>AJ14="RB"</formula>
    </cfRule>
    <cfRule type="expression" dxfId="6097" priority="2807">
      <formula>AJ14="QB"</formula>
    </cfRule>
  </conditionalFormatting>
  <conditionalFormatting sqref="AI17">
    <cfRule type="expression" dxfId="6094" priority="2832">
      <formula>AJ17="K"</formula>
    </cfRule>
    <cfRule type="expression" dxfId="6090" priority="2833">
      <formula>AJ17="DEF"</formula>
    </cfRule>
    <cfRule type="expression" dxfId="6091" priority="2834">
      <formula>AJ17="TE"</formula>
    </cfRule>
    <cfRule type="expression" dxfId="6093" priority="2835">
      <formula>AJ17="WR"</formula>
    </cfRule>
    <cfRule type="expression" dxfId="6092" priority="2836">
      <formula>AJ17="RB"</formula>
    </cfRule>
    <cfRule type="expression" dxfId="6095" priority="2837">
      <formula>AJ17="QB"</formula>
    </cfRule>
  </conditionalFormatting>
  <conditionalFormatting sqref="AI20">
    <cfRule type="expression" dxfId="6087" priority="2862">
      <formula>AJ20="K"</formula>
    </cfRule>
    <cfRule type="expression" dxfId="6086" priority="2863">
      <formula>AJ20="DEF"</formula>
    </cfRule>
    <cfRule type="expression" dxfId="6084" priority="2864">
      <formula>AJ20="TE"</formula>
    </cfRule>
    <cfRule type="expression" dxfId="6085" priority="2865">
      <formula>AJ20="WR"</formula>
    </cfRule>
    <cfRule type="expression" dxfId="6089" priority="2866">
      <formula>AJ20="RB"</formula>
    </cfRule>
    <cfRule type="expression" dxfId="6088" priority="2867">
      <formula>AJ20="QB"</formula>
    </cfRule>
  </conditionalFormatting>
  <conditionalFormatting sqref="AI23">
    <cfRule type="expression" dxfId="6081" priority="2892">
      <formula>AJ23="K"</formula>
    </cfRule>
    <cfRule type="expression" dxfId="6078" priority="2893">
      <formula>AJ23="DEF"</formula>
    </cfRule>
    <cfRule type="expression" dxfId="6082" priority="2894">
      <formula>AJ23="TE"</formula>
    </cfRule>
    <cfRule type="expression" dxfId="6080" priority="2895">
      <formula>AJ23="WR"</formula>
    </cfRule>
    <cfRule type="expression" dxfId="6079" priority="2896">
      <formula>AJ23="RB"</formula>
    </cfRule>
    <cfRule type="expression" dxfId="6083" priority="2897">
      <formula>AJ23="QB"</formula>
    </cfRule>
  </conditionalFormatting>
  <conditionalFormatting sqref="AI26">
    <cfRule type="expression" dxfId="6075" priority="2922">
      <formula>AJ26="K"</formula>
    </cfRule>
    <cfRule type="expression" dxfId="6072" priority="2923">
      <formula>AJ26="DEF"</formula>
    </cfRule>
    <cfRule type="expression" dxfId="6077" priority="2924">
      <formula>AJ26="TE"</formula>
    </cfRule>
    <cfRule type="expression" dxfId="6076" priority="2925">
      <formula>AJ26="WR"</formula>
    </cfRule>
    <cfRule type="expression" dxfId="6074" priority="2926">
      <formula>AJ26="RB"</formula>
    </cfRule>
    <cfRule type="expression" dxfId="6073" priority="2927">
      <formula>AJ26="QB"</formula>
    </cfRule>
  </conditionalFormatting>
  <conditionalFormatting sqref="AI29">
    <cfRule type="expression" dxfId="6066" priority="2952">
      <formula>AJ29="K"</formula>
    </cfRule>
    <cfRule type="expression" dxfId="6069" priority="2953">
      <formula>AJ29="DEF"</formula>
    </cfRule>
    <cfRule type="expression" dxfId="6070" priority="2954">
      <formula>AJ29="TE"</formula>
    </cfRule>
    <cfRule type="expression" dxfId="6068" priority="2955">
      <formula>AJ29="WR"</formula>
    </cfRule>
    <cfRule type="expression" dxfId="6067" priority="2956">
      <formula>AJ29="RB"</formula>
    </cfRule>
    <cfRule type="expression" dxfId="6071" priority="2957">
      <formula>AJ29="QB"</formula>
    </cfRule>
  </conditionalFormatting>
  <conditionalFormatting sqref="AI32">
    <cfRule type="expression" dxfId="6061" priority="2982">
      <formula>AJ32="K"</formula>
    </cfRule>
    <cfRule type="expression" dxfId="6060" priority="2983">
      <formula>AJ32="DEF"</formula>
    </cfRule>
    <cfRule type="expression" dxfId="6065" priority="2984">
      <formula>AJ32="TE"</formula>
    </cfRule>
    <cfRule type="expression" dxfId="6062" priority="2985">
      <formula>AJ32="WR"</formula>
    </cfRule>
    <cfRule type="expression" dxfId="6063" priority="2986">
      <formula>AJ32="RB"</formula>
    </cfRule>
    <cfRule type="expression" dxfId="6064" priority="2987">
      <formula>AJ32="QB"</formula>
    </cfRule>
  </conditionalFormatting>
  <conditionalFormatting sqref="AI35">
    <cfRule type="expression" dxfId="6058" priority="3012">
      <formula>AJ35="K"</formula>
    </cfRule>
    <cfRule type="expression" dxfId="6057" priority="3013">
      <formula>AJ35="DEF"</formula>
    </cfRule>
    <cfRule type="expression" dxfId="6054" priority="3014">
      <formula>AJ35="TE"</formula>
    </cfRule>
    <cfRule type="expression" dxfId="6055" priority="3015">
      <formula>AJ35="WR"</formula>
    </cfRule>
    <cfRule type="expression" dxfId="6059" priority="3016">
      <formula>AJ35="RB"</formula>
    </cfRule>
    <cfRule type="expression" dxfId="6056" priority="3017">
      <formula>AJ35="QB"</formula>
    </cfRule>
  </conditionalFormatting>
  <conditionalFormatting sqref="AI38">
    <cfRule type="expression" dxfId="6048" priority="3042">
      <formula>AJ38="K"</formula>
    </cfRule>
    <cfRule type="expression" dxfId="6049" priority="3043">
      <formula>AJ38="DEF"</formula>
    </cfRule>
    <cfRule type="expression" dxfId="6050" priority="3044">
      <formula>AJ38="TE"</formula>
    </cfRule>
    <cfRule type="expression" dxfId="6053" priority="3045">
      <formula>AJ38="WR"</formula>
    </cfRule>
    <cfRule type="expression" dxfId="6051" priority="3046">
      <formula>AJ38="RB"</formula>
    </cfRule>
    <cfRule type="expression" dxfId="6052" priority="3047">
      <formula>AJ38="QB"</formula>
    </cfRule>
  </conditionalFormatting>
  <conditionalFormatting sqref="AI41">
    <cfRule type="expression" dxfId="6046" priority="3072">
      <formula>AJ41="K"</formula>
    </cfRule>
    <cfRule type="expression" dxfId="6042" priority="3073">
      <formula>AJ41="DEF"</formula>
    </cfRule>
    <cfRule type="expression" dxfId="6047" priority="3074">
      <formula>AJ41="TE"</formula>
    </cfRule>
    <cfRule type="expression" dxfId="6045" priority="3075">
      <formula>AJ41="WR"</formula>
    </cfRule>
    <cfRule type="expression" dxfId="6044" priority="3076">
      <formula>AJ41="RB"</formula>
    </cfRule>
    <cfRule type="expression" dxfId="6043" priority="3077">
      <formula>AJ41="QB"</formula>
    </cfRule>
  </conditionalFormatting>
  <conditionalFormatting sqref="AI44">
    <cfRule type="expression" dxfId="6038" priority="3102">
      <formula>AJ44="K"</formula>
    </cfRule>
    <cfRule type="expression" dxfId="6037" priority="3103">
      <formula>AJ44="DEF"</formula>
    </cfRule>
    <cfRule type="expression" dxfId="6036" priority="3104">
      <formula>AJ44="TE"</formula>
    </cfRule>
    <cfRule type="expression" dxfId="6041" priority="3105">
      <formula>AJ44="WR"</formula>
    </cfRule>
    <cfRule type="expression" dxfId="6040" priority="3106">
      <formula>AJ44="RB"</formula>
    </cfRule>
    <cfRule type="expression" dxfId="6039" priority="3107">
      <formula>AJ44="QB"</formula>
    </cfRule>
  </conditionalFormatting>
  <conditionalFormatting sqref="AI47">
    <cfRule type="expression" dxfId="6035" priority="3132">
      <formula>AJ47="K"</formula>
    </cfRule>
    <cfRule type="expression" dxfId="6034" priority="3133">
      <formula>AJ47="DEF"</formula>
    </cfRule>
    <cfRule type="expression" dxfId="6033" priority="3134">
      <formula>AJ47="TE"</formula>
    </cfRule>
    <cfRule type="expression" dxfId="6032" priority="3135">
      <formula>AJ47="WR"</formula>
    </cfRule>
    <cfRule type="expression" dxfId="6031" priority="3136">
      <formula>AJ47="RB"</formula>
    </cfRule>
    <cfRule type="expression" dxfId="6030" priority="3137">
      <formula>AJ47="QB"</formula>
    </cfRule>
  </conditionalFormatting>
  <conditionalFormatting sqref="AJ5">
    <cfRule type="expression" dxfId="6028" priority="2718">
      <formula>AJ5="K"</formula>
    </cfRule>
    <cfRule type="expression" dxfId="6029" priority="2719">
      <formula>AJ5="DEF"</formula>
    </cfRule>
    <cfRule type="expression" dxfId="6024" priority="2720">
      <formula>AJ5="TE"</formula>
    </cfRule>
    <cfRule type="expression" dxfId="6025" priority="2721">
      <formula>AJ5="WR"</formula>
    </cfRule>
    <cfRule type="expression" dxfId="6026" priority="2722">
      <formula>AJ5="RB"</formula>
    </cfRule>
    <cfRule type="expression" dxfId="6027" priority="2723">
      <formula>AJ5="QB"</formula>
    </cfRule>
  </conditionalFormatting>
  <conditionalFormatting sqref="AJ8">
    <cfRule type="expression" dxfId="6020" priority="2748">
      <formula>AJ8="K"</formula>
    </cfRule>
    <cfRule type="expression" dxfId="6021" priority="2749">
      <formula>AJ8="DEF"</formula>
    </cfRule>
    <cfRule type="expression" dxfId="6022" priority="2750">
      <formula>AJ8="TE"</formula>
    </cfRule>
    <cfRule type="expression" dxfId="6019" priority="2751">
      <formula>AJ8="WR"</formula>
    </cfRule>
    <cfRule type="expression" dxfId="6018" priority="2752">
      <formula>AJ8="RB"</formula>
    </cfRule>
    <cfRule type="expression" dxfId="6023" priority="2753">
      <formula>AJ8="QB"</formula>
    </cfRule>
  </conditionalFormatting>
  <conditionalFormatting sqref="AJ11">
    <cfRule type="expression" dxfId="6016" priority="2778">
      <formula>AJ11="K"</formula>
    </cfRule>
    <cfRule type="expression" dxfId="6015" priority="2779">
      <formula>AJ11="DEF"</formula>
    </cfRule>
    <cfRule type="expression" dxfId="6017" priority="2780">
      <formula>AJ11="TE"</formula>
    </cfRule>
    <cfRule type="expression" dxfId="6014" priority="2781">
      <formula>AJ11="WR"</formula>
    </cfRule>
    <cfRule type="expression" dxfId="6013" priority="2782">
      <formula>AJ11="RB"</formula>
    </cfRule>
    <cfRule type="expression" dxfId="6012" priority="2783">
      <formula>AJ11="QB"</formula>
    </cfRule>
  </conditionalFormatting>
  <conditionalFormatting sqref="AJ14">
    <cfRule type="expression" dxfId="6006" priority="2808">
      <formula>AJ14="K"</formula>
    </cfRule>
    <cfRule type="expression" dxfId="6007" priority="2809">
      <formula>AJ14="DEF"</formula>
    </cfRule>
    <cfRule type="expression" dxfId="6008" priority="2810">
      <formula>AJ14="TE"</formula>
    </cfRule>
    <cfRule type="expression" dxfId="6009" priority="2811">
      <formula>AJ14="WR"</formula>
    </cfRule>
    <cfRule type="expression" dxfId="6011" priority="2812">
      <formula>AJ14="RB"</formula>
    </cfRule>
    <cfRule type="expression" dxfId="6010" priority="2813">
      <formula>AJ14="QB"</formula>
    </cfRule>
  </conditionalFormatting>
  <conditionalFormatting sqref="AJ17">
    <cfRule type="expression" dxfId="6005" priority="2838">
      <formula>AJ17="K"</formula>
    </cfRule>
    <cfRule type="expression" dxfId="6003" priority="2839">
      <formula>AJ17="DEF"</formula>
    </cfRule>
    <cfRule type="expression" dxfId="6002" priority="2840">
      <formula>AJ17="TE"</formula>
    </cfRule>
    <cfRule type="expression" dxfId="6001" priority="2841">
      <formula>AJ17="WR"</formula>
    </cfRule>
    <cfRule type="expression" dxfId="6000" priority="2842">
      <formula>AJ17="RB"</formula>
    </cfRule>
    <cfRule type="expression" dxfId="6004" priority="2843">
      <formula>AJ17="QB"</formula>
    </cfRule>
  </conditionalFormatting>
  <conditionalFormatting sqref="AJ20">
    <cfRule type="expression" dxfId="5994" priority="2868">
      <formula>AJ20="K"</formula>
    </cfRule>
    <cfRule type="expression" dxfId="5995" priority="2869">
      <formula>AJ20="DEF"</formula>
    </cfRule>
    <cfRule type="expression" dxfId="5996" priority="2870">
      <formula>AJ20="TE"</formula>
    </cfRule>
    <cfRule type="expression" dxfId="5997" priority="2871">
      <formula>AJ20="WR"</formula>
    </cfRule>
    <cfRule type="expression" dxfId="5998" priority="2872">
      <formula>AJ20="RB"</formula>
    </cfRule>
    <cfRule type="expression" dxfId="5999" priority="2873">
      <formula>AJ20="QB"</formula>
    </cfRule>
  </conditionalFormatting>
  <conditionalFormatting sqref="AJ23">
    <cfRule type="expression" dxfId="5989" priority="2898">
      <formula>AJ23="K"</formula>
    </cfRule>
    <cfRule type="expression" dxfId="5993" priority="2899">
      <formula>AJ23="DEF"</formula>
    </cfRule>
    <cfRule type="expression" dxfId="5990" priority="2900">
      <formula>AJ23="TE"</formula>
    </cfRule>
    <cfRule type="expression" dxfId="5988" priority="2901">
      <formula>AJ23="WR"</formula>
    </cfRule>
    <cfRule type="expression" dxfId="5992" priority="2902">
      <formula>AJ23="RB"</formula>
    </cfRule>
    <cfRule type="expression" dxfId="5991" priority="2903">
      <formula>AJ23="QB"</formula>
    </cfRule>
  </conditionalFormatting>
  <conditionalFormatting sqref="AJ26">
    <cfRule type="expression" dxfId="5985" priority="2928">
      <formula>AJ26="K"</formula>
    </cfRule>
    <cfRule type="expression" dxfId="5984" priority="2929">
      <formula>AJ26="DEF"</formula>
    </cfRule>
    <cfRule type="expression" dxfId="5987" priority="2930">
      <formula>AJ26="TE"</formula>
    </cfRule>
    <cfRule type="expression" dxfId="5983" priority="2931">
      <formula>AJ26="WR"</formula>
    </cfRule>
    <cfRule type="expression" dxfId="5982" priority="2932">
      <formula>AJ26="RB"</formula>
    </cfRule>
    <cfRule type="expression" dxfId="5986" priority="2933">
      <formula>AJ26="QB"</formula>
    </cfRule>
  </conditionalFormatting>
  <conditionalFormatting sqref="AJ29">
    <cfRule type="expression" dxfId="5978" priority="2958">
      <formula>AJ29="K"</formula>
    </cfRule>
    <cfRule type="expression" dxfId="5979" priority="2959">
      <formula>AJ29="DEF"</formula>
    </cfRule>
    <cfRule type="expression" dxfId="5980" priority="2960">
      <formula>AJ29="TE"</formula>
    </cfRule>
    <cfRule type="expression" dxfId="5981" priority="2961">
      <formula>AJ29="WR"</formula>
    </cfRule>
    <cfRule type="expression" dxfId="5977" priority="2962">
      <formula>AJ29="RB"</formula>
    </cfRule>
    <cfRule type="expression" dxfId="5976" priority="2963">
      <formula>AJ29="QB"</formula>
    </cfRule>
  </conditionalFormatting>
  <conditionalFormatting sqref="AJ32">
    <cfRule type="expression" dxfId="5970" priority="2988">
      <formula>AJ32="K"</formula>
    </cfRule>
    <cfRule type="expression" dxfId="5971" priority="2989">
      <formula>AJ32="DEF"</formula>
    </cfRule>
    <cfRule type="expression" dxfId="5975" priority="2990">
      <formula>AJ32="TE"</formula>
    </cfRule>
    <cfRule type="expression" dxfId="5974" priority="2991">
      <formula>AJ32="WR"</formula>
    </cfRule>
    <cfRule type="expression" dxfId="5973" priority="2992">
      <formula>AJ32="RB"</formula>
    </cfRule>
    <cfRule type="expression" dxfId="5972" priority="2993">
      <formula>AJ32="QB"</formula>
    </cfRule>
  </conditionalFormatting>
  <conditionalFormatting sqref="AJ35">
    <cfRule type="expression" dxfId="5965" priority="3018">
      <formula>AJ35="K"</formula>
    </cfRule>
    <cfRule type="expression" dxfId="5964" priority="3019">
      <formula>AJ35="DEF"</formula>
    </cfRule>
    <cfRule type="expression" dxfId="5969" priority="3020">
      <formula>AJ35="TE"</formula>
    </cfRule>
    <cfRule type="expression" dxfId="5968" priority="3021">
      <formula>AJ35="WR"</formula>
    </cfRule>
    <cfRule type="expression" dxfId="5967" priority="3022">
      <formula>AJ35="RB"</formula>
    </cfRule>
    <cfRule type="expression" dxfId="5966" priority="3023">
      <formula>AJ35="QB"</formula>
    </cfRule>
  </conditionalFormatting>
  <conditionalFormatting sqref="AJ38">
    <cfRule type="expression" dxfId="5963" priority="3048">
      <formula>AJ38="K"</formula>
    </cfRule>
    <cfRule type="expression" dxfId="5962" priority="3049">
      <formula>AJ38="DEF"</formula>
    </cfRule>
    <cfRule type="expression" dxfId="5958" priority="3050">
      <formula>AJ38="TE"</formula>
    </cfRule>
    <cfRule type="expression" dxfId="5959" priority="3051">
      <formula>AJ38="WR"</formula>
    </cfRule>
    <cfRule type="expression" dxfId="5960" priority="3052">
      <formula>AJ38="RB"</formula>
    </cfRule>
    <cfRule type="expression" dxfId="5961" priority="3053">
      <formula>AJ38="QB"</formula>
    </cfRule>
  </conditionalFormatting>
  <conditionalFormatting sqref="AJ41">
    <cfRule type="expression" dxfId="5953" priority="3078">
      <formula>AJ41="K"</formula>
    </cfRule>
    <cfRule type="expression" dxfId="5952" priority="3079">
      <formula>AJ41="DEF"</formula>
    </cfRule>
    <cfRule type="expression" dxfId="5957" priority="3080">
      <formula>AJ41="TE"</formula>
    </cfRule>
    <cfRule type="expression" dxfId="5956" priority="3081">
      <formula>AJ41="WR"</formula>
    </cfRule>
    <cfRule type="expression" dxfId="5954" priority="3082">
      <formula>AJ41="RB"</formula>
    </cfRule>
    <cfRule type="expression" dxfId="5955" priority="3083">
      <formula>AJ41="QB"</formula>
    </cfRule>
  </conditionalFormatting>
  <conditionalFormatting sqref="AJ44">
    <cfRule type="expression" dxfId="5948" priority="3108">
      <formula>AJ44="K"</formula>
    </cfRule>
    <cfRule type="expression" dxfId="5947" priority="3109">
      <formula>AJ44="DEF"</formula>
    </cfRule>
    <cfRule type="expression" dxfId="5946" priority="3110">
      <formula>AJ44="TE"</formula>
    </cfRule>
    <cfRule type="expression" dxfId="5951" priority="3111">
      <formula>AJ44="WR"</formula>
    </cfRule>
    <cfRule type="expression" dxfId="5949" priority="3112">
      <formula>AJ44="RB"</formula>
    </cfRule>
    <cfRule type="expression" dxfId="5950" priority="3113">
      <formula>AJ44="QB"</formula>
    </cfRule>
  </conditionalFormatting>
  <conditionalFormatting sqref="AJ47">
    <cfRule type="expression" dxfId="5941" priority="3138">
      <formula>AJ47="K"</formula>
    </cfRule>
    <cfRule type="expression" dxfId="5942" priority="3139">
      <formula>AJ47="DEF"</formula>
    </cfRule>
    <cfRule type="expression" dxfId="5943" priority="3140">
      <formula>AJ47="TE"</formula>
    </cfRule>
    <cfRule type="expression" dxfId="5944" priority="3141">
      <formula>AJ47="WR"</formula>
    </cfRule>
    <cfRule type="expression" dxfId="5945" priority="3142">
      <formula>AJ47="RB"</formula>
    </cfRule>
    <cfRule type="expression" dxfId="5940" priority="3143">
      <formula>AJ47="QB"</formula>
    </cfRule>
  </conditionalFormatting>
  <conditionalFormatting sqref="AK5">
    <cfRule type="expression" dxfId="5936" priority="2724">
      <formula>AJ5="K"</formula>
    </cfRule>
    <cfRule type="expression" dxfId="5939" priority="2725">
      <formula>AJ5="DEF"</formula>
    </cfRule>
    <cfRule type="expression" dxfId="5938" priority="2726">
      <formula>AJ5="TE"</formula>
    </cfRule>
    <cfRule type="expression" dxfId="5937" priority="2727">
      <formula>AJ5="WR"</formula>
    </cfRule>
    <cfRule type="expression" dxfId="5934" priority="2728">
      <formula>AJ5="RB"</formula>
    </cfRule>
    <cfRule type="expression" dxfId="5935" priority="2729">
      <formula>AJ5="QB"</formula>
    </cfRule>
  </conditionalFormatting>
  <conditionalFormatting sqref="AK8">
    <cfRule type="expression" dxfId="5930" priority="2754">
      <formula>AJ8="K"</formula>
    </cfRule>
    <cfRule type="expression" dxfId="5933" priority="2755">
      <formula>AJ8="DEF"</formula>
    </cfRule>
    <cfRule type="expression" dxfId="5929" priority="2756">
      <formula>AJ8="TE"</formula>
    </cfRule>
    <cfRule type="expression" dxfId="5931" priority="2757">
      <formula>AJ8="WR"</formula>
    </cfRule>
    <cfRule type="expression" dxfId="5932" priority="2758">
      <formula>AJ8="RB"</formula>
    </cfRule>
    <cfRule type="expression" dxfId="5928" priority="2759">
      <formula>AJ8="QB"</formula>
    </cfRule>
  </conditionalFormatting>
  <conditionalFormatting sqref="AK11">
    <cfRule type="expression" dxfId="5925" priority="2784">
      <formula>AJ11="K"</formula>
    </cfRule>
    <cfRule type="expression" dxfId="5927" priority="2785">
      <formula>AJ11="DEF"</formula>
    </cfRule>
    <cfRule type="expression" dxfId="5926" priority="2786">
      <formula>AJ11="TE"</formula>
    </cfRule>
    <cfRule type="expression" dxfId="5922" priority="2787">
      <formula>AJ11="WR"</formula>
    </cfRule>
    <cfRule type="expression" dxfId="5923" priority="2788">
      <formula>AJ11="RB"</formula>
    </cfRule>
    <cfRule type="expression" dxfId="5924" priority="2789">
      <formula>AJ11="QB"</formula>
    </cfRule>
  </conditionalFormatting>
  <conditionalFormatting sqref="AK14">
    <cfRule type="expression" dxfId="5920" priority="2814">
      <formula>AJ14="K"</formula>
    </cfRule>
    <cfRule type="expression" dxfId="5919" priority="2815">
      <formula>AJ14="DEF"</formula>
    </cfRule>
    <cfRule type="expression" dxfId="5918" priority="2816">
      <formula>AJ14="TE"</formula>
    </cfRule>
    <cfRule type="expression" dxfId="5921" priority="2817">
      <formula>AJ14="WR"</formula>
    </cfRule>
    <cfRule type="expression" dxfId="5917" priority="2818">
      <formula>AJ14="RB"</formula>
    </cfRule>
    <cfRule type="expression" dxfId="5916" priority="2819">
      <formula>AJ14="QB"</formula>
    </cfRule>
  </conditionalFormatting>
  <conditionalFormatting sqref="AK17">
    <cfRule type="expression" dxfId="5914" priority="2844">
      <formula>AJ17="K"</formula>
    </cfRule>
    <cfRule type="expression" dxfId="5910" priority="2845">
      <formula>AJ17="DEF"</formula>
    </cfRule>
    <cfRule type="expression" dxfId="5915" priority="2846">
      <formula>AJ17="TE"</formula>
    </cfRule>
    <cfRule type="expression" dxfId="5912" priority="2847">
      <formula>AJ17="WR"</formula>
    </cfRule>
    <cfRule type="expression" dxfId="5913" priority="2848">
      <formula>AJ17="RB"</formula>
    </cfRule>
    <cfRule type="expression" dxfId="5911" priority="2849">
      <formula>AJ17="QB"</formula>
    </cfRule>
  </conditionalFormatting>
  <conditionalFormatting sqref="AK20">
    <cfRule type="expression" dxfId="5907" priority="2874">
      <formula>AJ20="K"</formula>
    </cfRule>
    <cfRule type="expression" dxfId="5905" priority="2875">
      <formula>AJ20="DEF"</formula>
    </cfRule>
    <cfRule type="expression" dxfId="5904" priority="2876">
      <formula>AJ20="TE"</formula>
    </cfRule>
    <cfRule type="expression" dxfId="5908" priority="2877">
      <formula>AJ20="WR"</formula>
    </cfRule>
    <cfRule type="expression" dxfId="5909" priority="2878">
      <formula>AJ20="RB"</formula>
    </cfRule>
    <cfRule type="expression" dxfId="5906" priority="2879">
      <formula>AJ20="QB"</formula>
    </cfRule>
  </conditionalFormatting>
  <conditionalFormatting sqref="AK23">
    <cfRule type="expression" dxfId="5899" priority="2904">
      <formula>AJ23="K"</formula>
    </cfRule>
    <cfRule type="expression" dxfId="5903" priority="2905">
      <formula>AJ23="DEF"</formula>
    </cfRule>
    <cfRule type="expression" dxfId="5902" priority="2906">
      <formula>AJ23="TE"</formula>
    </cfRule>
    <cfRule type="expression" dxfId="5898" priority="2907">
      <formula>AJ23="WR"</formula>
    </cfRule>
    <cfRule type="expression" dxfId="5901" priority="2908">
      <formula>AJ23="RB"</formula>
    </cfRule>
    <cfRule type="expression" dxfId="5900" priority="2909">
      <formula>AJ23="QB"</formula>
    </cfRule>
  </conditionalFormatting>
  <conditionalFormatting sqref="AK26">
    <cfRule type="expression" dxfId="5896" priority="2934">
      <formula>AJ26="K"</formula>
    </cfRule>
    <cfRule type="expression" dxfId="5897" priority="2935">
      <formula>AJ26="DEF"</formula>
    </cfRule>
    <cfRule type="expression" dxfId="5892" priority="2936">
      <formula>AJ26="TE"</formula>
    </cfRule>
    <cfRule type="expression" dxfId="5893" priority="2937">
      <formula>AJ26="WR"</formula>
    </cfRule>
    <cfRule type="expression" dxfId="5894" priority="2938">
      <formula>AJ26="RB"</formula>
    </cfRule>
    <cfRule type="expression" dxfId="5895" priority="2939">
      <formula>AJ26="QB"</formula>
    </cfRule>
  </conditionalFormatting>
  <conditionalFormatting sqref="AK29">
    <cfRule type="expression" dxfId="5886" priority="2964">
      <formula>AJ29="K"</formula>
    </cfRule>
    <cfRule type="expression" dxfId="5891" priority="2965">
      <formula>AJ29="DEF"</formula>
    </cfRule>
    <cfRule type="expression" dxfId="5890" priority="2966">
      <formula>AJ29="TE"</formula>
    </cfRule>
    <cfRule type="expression" dxfId="5889" priority="2967">
      <formula>AJ29="WR"</formula>
    </cfRule>
    <cfRule type="expression" dxfId="5888" priority="2968">
      <formula>AJ29="RB"</formula>
    </cfRule>
    <cfRule type="expression" dxfId="5887" priority="2969">
      <formula>AJ29="QB"</formula>
    </cfRule>
  </conditionalFormatting>
  <conditionalFormatting sqref="AK32">
    <cfRule type="expression" dxfId="5885" priority="2994">
      <formula>AJ32="K"</formula>
    </cfRule>
    <cfRule type="expression" dxfId="5880" priority="2995">
      <formula>AJ32="DEF"</formula>
    </cfRule>
    <cfRule type="expression" dxfId="5881" priority="2996">
      <formula>AJ32="TE"</formula>
    </cfRule>
    <cfRule type="expression" dxfId="5882" priority="2997">
      <formula>AJ32="WR"</formula>
    </cfRule>
    <cfRule type="expression" dxfId="5883" priority="2998">
      <formula>AJ32="RB"</formula>
    </cfRule>
    <cfRule type="expression" dxfId="5884" priority="2999">
      <formula>AJ32="QB"</formula>
    </cfRule>
  </conditionalFormatting>
  <conditionalFormatting sqref="AK35">
    <cfRule type="expression" dxfId="5874" priority="3024">
      <formula>AJ35="K"</formula>
    </cfRule>
    <cfRule type="expression" dxfId="5875" priority="3025">
      <formula>AJ35="DEF"</formula>
    </cfRule>
    <cfRule type="expression" dxfId="5876" priority="3026">
      <formula>AJ35="TE"</formula>
    </cfRule>
    <cfRule type="expression" dxfId="5877" priority="3027">
      <formula>AJ35="WR"</formula>
    </cfRule>
    <cfRule type="expression" dxfId="5878" priority="3028">
      <formula>AJ35="RB"</formula>
    </cfRule>
    <cfRule type="expression" dxfId="5879" priority="3029">
      <formula>AJ35="QB"</formula>
    </cfRule>
  </conditionalFormatting>
  <conditionalFormatting sqref="AK38">
    <cfRule type="expression" dxfId="5873" priority="3054">
      <formula>AJ38="K"</formula>
    </cfRule>
    <cfRule type="expression" dxfId="5868" priority="3055">
      <formula>AJ38="DEF"</formula>
    </cfRule>
    <cfRule type="expression" dxfId="5869" priority="3056">
      <formula>AJ38="TE"</formula>
    </cfRule>
    <cfRule type="expression" dxfId="5870" priority="3057">
      <formula>AJ38="WR"</formula>
    </cfRule>
    <cfRule type="expression" dxfId="5871" priority="3058">
      <formula>AJ38="RB"</formula>
    </cfRule>
    <cfRule type="expression" dxfId="5872" priority="3059">
      <formula>AJ38="QB"</formula>
    </cfRule>
  </conditionalFormatting>
  <conditionalFormatting sqref="AK41">
    <cfRule type="expression" dxfId="5865" priority="3084">
      <formula>AJ41="K"</formula>
    </cfRule>
    <cfRule type="expression" dxfId="5866" priority="3085">
      <formula>AJ41="DEF"</formula>
    </cfRule>
    <cfRule type="expression" dxfId="5867" priority="3086">
      <formula>AJ41="TE"</formula>
    </cfRule>
    <cfRule type="expression" dxfId="5862" priority="3087">
      <formula>AJ41="WR"</formula>
    </cfRule>
    <cfRule type="expression" dxfId="5863" priority="3088">
      <formula>AJ41="RB"</formula>
    </cfRule>
    <cfRule type="expression" dxfId="5864" priority="3089">
      <formula>AJ41="QB"</formula>
    </cfRule>
  </conditionalFormatting>
  <conditionalFormatting sqref="AK44">
    <cfRule type="expression" dxfId="5856" priority="3114">
      <formula>AJ44="K"</formula>
    </cfRule>
    <cfRule type="expression" dxfId="5861" priority="3115">
      <formula>AJ44="DEF"</formula>
    </cfRule>
    <cfRule type="expression" dxfId="5860" priority="3116">
      <formula>AJ44="TE"</formula>
    </cfRule>
    <cfRule type="expression" dxfId="5859" priority="3117">
      <formula>AJ44="WR"</formula>
    </cfRule>
    <cfRule type="expression" dxfId="5858" priority="3118">
      <formula>AJ44="RB"</formula>
    </cfRule>
    <cfRule type="expression" dxfId="5857" priority="3119">
      <formula>AJ44="QB"</formula>
    </cfRule>
  </conditionalFormatting>
  <conditionalFormatting sqref="AK47">
    <cfRule type="expression" dxfId="5850" priority="3144">
      <formula>AJ47="K"</formula>
    </cfRule>
    <cfRule type="expression" dxfId="5855" priority="3145">
      <formula>AJ47="DEF"</formula>
    </cfRule>
    <cfRule type="expression" dxfId="5854" priority="3146">
      <formula>AJ47="TE"</formula>
    </cfRule>
    <cfRule type="expression" dxfId="5853" priority="3147">
      <formula>AJ47="WR"</formula>
    </cfRule>
    <cfRule type="expression" dxfId="5852" priority="3148">
      <formula>AJ47="RB"</formula>
    </cfRule>
    <cfRule type="expression" dxfId="5851" priority="3149">
      <formula>AJ47="QB"</formula>
    </cfRule>
  </conditionalFormatting>
  <conditionalFormatting sqref="AM4">
    <cfRule type="expression" dxfId="5849" priority="3151">
      <formula>AO5="DEF"</formula>
    </cfRule>
    <cfRule type="expression" dxfId="5848" priority="3152">
      <formula>AO5="TE"</formula>
    </cfRule>
    <cfRule type="expression" dxfId="5847" priority="3153">
      <formula>AO5="WR"</formula>
    </cfRule>
    <cfRule type="expression" dxfId="5846" priority="3154">
      <formula>AO5="RB"</formula>
    </cfRule>
    <cfRule type="expression" dxfId="5845" priority="3155">
      <formula>AO5="QB"</formula>
    </cfRule>
  </conditionalFormatting>
  <conditionalFormatting sqref="AM5">
    <cfRule type="expression" dxfId="5844" priority="3156">
      <formula>AO5="K"</formula>
    </cfRule>
    <cfRule type="expression" dxfId="5843" priority="3157">
      <formula>AO5="DEF"</formula>
    </cfRule>
    <cfRule type="expression" dxfId="5842" priority="3158">
      <formula>AO5="TE"</formula>
    </cfRule>
    <cfRule type="expression" dxfId="5841" priority="3159">
      <formula>AO5="WR"</formula>
    </cfRule>
    <cfRule type="expression" dxfId="5840" priority="3160">
      <formula>AO5="RB"</formula>
    </cfRule>
    <cfRule type="expression" dxfId="5839" priority="3161">
      <formula>AO5="QB"</formula>
    </cfRule>
  </conditionalFormatting>
  <conditionalFormatting sqref="AM7">
    <cfRule type="expression" dxfId="5836" priority="3181">
      <formula>AO8="DEF"</formula>
    </cfRule>
    <cfRule type="expression" dxfId="5837" priority="3182">
      <formula>AO8="TE"</formula>
    </cfRule>
    <cfRule type="expression" dxfId="5838" priority="3183">
      <formula>AO8="WR"</formula>
    </cfRule>
    <cfRule type="expression" dxfId="5834" priority="3184">
      <formula>AO8="RB"</formula>
    </cfRule>
    <cfRule type="expression" dxfId="5835" priority="3185">
      <formula>AO8="QB"</formula>
    </cfRule>
  </conditionalFormatting>
  <conditionalFormatting sqref="AM8">
    <cfRule type="expression" dxfId="5829" priority="3186">
      <formula>AO8="K"</formula>
    </cfRule>
    <cfRule type="expression" dxfId="5828" priority="3187">
      <formula>AO8="DEF"</formula>
    </cfRule>
    <cfRule type="expression" dxfId="5830" priority="3188">
      <formula>AO8="TE"</formula>
    </cfRule>
    <cfRule type="expression" dxfId="5833" priority="3189">
      <formula>AO8="WR"</formula>
    </cfRule>
    <cfRule type="expression" dxfId="5832" priority="3190">
      <formula>AO8="RB"</formula>
    </cfRule>
    <cfRule type="expression" dxfId="5831" priority="3191">
      <formula>AO8="QB"</formula>
    </cfRule>
  </conditionalFormatting>
  <conditionalFormatting sqref="AM10">
    <cfRule type="expression" dxfId="5823" priority="3211">
      <formula>AO11="DEF"</formula>
    </cfRule>
    <cfRule type="expression" dxfId="5824" priority="3212">
      <formula>AO11="TE"</formula>
    </cfRule>
    <cfRule type="expression" dxfId="5825" priority="3213">
      <formula>AO11="WR"</formula>
    </cfRule>
    <cfRule type="expression" dxfId="5826" priority="3214">
      <formula>AO11="RB"</formula>
    </cfRule>
    <cfRule type="expression" dxfId="5827" priority="3215">
      <formula>AO11="QB"</formula>
    </cfRule>
  </conditionalFormatting>
  <conditionalFormatting sqref="AM11">
    <cfRule type="expression" dxfId="5821" priority="3216">
      <formula>AO11="K"</formula>
    </cfRule>
    <cfRule type="expression" dxfId="5822" priority="3217">
      <formula>AO11="DEF"</formula>
    </cfRule>
    <cfRule type="expression" dxfId="5817" priority="3218">
      <formula>AO11="TE"</formula>
    </cfRule>
    <cfRule type="expression" dxfId="5818" priority="3219">
      <formula>AO11="WR"</formula>
    </cfRule>
    <cfRule type="expression" dxfId="5819" priority="3220">
      <formula>AO11="RB"</formula>
    </cfRule>
    <cfRule type="expression" dxfId="5820" priority="3221">
      <formula>AO11="QB"</formula>
    </cfRule>
  </conditionalFormatting>
  <conditionalFormatting sqref="AM13">
    <cfRule type="expression" dxfId="5812" priority="3241">
      <formula>AO14="DEF"</formula>
    </cfRule>
    <cfRule type="expression" dxfId="5816" priority="3242">
      <formula>AO14="TE"</formula>
    </cfRule>
    <cfRule type="expression" dxfId="5815" priority="3243">
      <formula>AO14="WR"</formula>
    </cfRule>
    <cfRule type="expression" dxfId="5814" priority="3244">
      <formula>AO14="RB"</formula>
    </cfRule>
    <cfRule type="expression" dxfId="5813" priority="3245">
      <formula>AO14="QB"</formula>
    </cfRule>
  </conditionalFormatting>
  <conditionalFormatting sqref="AM14">
    <cfRule type="expression" dxfId="5808" priority="3246">
      <formula>AO14="K"</formula>
    </cfRule>
    <cfRule type="expression" dxfId="5809" priority="3247">
      <formula>AO14="DEF"</formula>
    </cfRule>
    <cfRule type="expression" dxfId="5806" priority="3248">
      <formula>AO14="TE"</formula>
    </cfRule>
    <cfRule type="expression" dxfId="5807" priority="3249">
      <formula>AO14="WR"</formula>
    </cfRule>
    <cfRule type="expression" dxfId="5811" priority="3250">
      <formula>AO14="RB"</formula>
    </cfRule>
    <cfRule type="expression" dxfId="5810" priority="3251">
      <formula>AO14="QB"</formula>
    </cfRule>
  </conditionalFormatting>
  <conditionalFormatting sqref="AM16">
    <cfRule type="expression" dxfId="5801" priority="3271">
      <formula>AO17="DEF"</formula>
    </cfRule>
    <cfRule type="expression" dxfId="5805" priority="3272">
      <formula>AO17="TE"</formula>
    </cfRule>
    <cfRule type="expression" dxfId="5804" priority="3273">
      <formula>AO17="WR"</formula>
    </cfRule>
    <cfRule type="expression" dxfId="5803" priority="3274">
      <formula>AO17="RB"</formula>
    </cfRule>
    <cfRule type="expression" dxfId="5802" priority="3275">
      <formula>AO17="QB"</formula>
    </cfRule>
  </conditionalFormatting>
  <conditionalFormatting sqref="AM17">
    <cfRule type="expression" dxfId="5795" priority="3276">
      <formula>AO17="K"</formula>
    </cfRule>
    <cfRule type="expression" dxfId="5800" priority="3277">
      <formula>AO17="DEF"</formula>
    </cfRule>
    <cfRule type="expression" dxfId="5799" priority="3278">
      <formula>AO17="TE"</formula>
    </cfRule>
    <cfRule type="expression" dxfId="5798" priority="3279">
      <formula>AO17="WR"</formula>
    </cfRule>
    <cfRule type="expression" dxfId="5797" priority="3280">
      <formula>AO17="RB"</formula>
    </cfRule>
    <cfRule type="expression" dxfId="5796" priority="3281">
      <formula>AO17="QB"</formula>
    </cfRule>
  </conditionalFormatting>
  <conditionalFormatting sqref="AM19">
    <cfRule type="expression" dxfId="5792" priority="3301">
      <formula>AO20="DEF"</formula>
    </cfRule>
    <cfRule type="expression" dxfId="5793" priority="3302">
      <formula>AO20="TE"</formula>
    </cfRule>
    <cfRule type="expression" dxfId="5794" priority="3303">
      <formula>AO20="WR"</formula>
    </cfRule>
    <cfRule type="expression" dxfId="5791" priority="3304">
      <formula>AO20="RB"</formula>
    </cfRule>
    <cfRule type="expression" dxfId="5790" priority="3305">
      <formula>AO20="QB"</formula>
    </cfRule>
  </conditionalFormatting>
  <conditionalFormatting sqref="AM20">
    <cfRule type="expression" dxfId="5784" priority="3306">
      <formula>AO20="K"</formula>
    </cfRule>
    <cfRule type="expression" dxfId="5788" priority="3307">
      <formula>AO20="DEF"</formula>
    </cfRule>
    <cfRule type="expression" dxfId="5785" priority="3308">
      <formula>AO20="TE"</formula>
    </cfRule>
    <cfRule type="expression" dxfId="5787" priority="3309">
      <formula>AO20="WR"</formula>
    </cfRule>
    <cfRule type="expression" dxfId="5786" priority="3310">
      <formula>AO20="RB"</formula>
    </cfRule>
    <cfRule type="expression" dxfId="5789" priority="3311">
      <formula>AO20="QB"</formula>
    </cfRule>
  </conditionalFormatting>
  <conditionalFormatting sqref="AM22">
    <cfRule type="expression" dxfId="5779" priority="3331">
      <formula>AO23="DEF"</formula>
    </cfRule>
    <cfRule type="expression" dxfId="5780" priority="3332">
      <formula>AO23="TE"</formula>
    </cfRule>
    <cfRule type="expression" dxfId="5781" priority="3333">
      <formula>AO23="WR"</formula>
    </cfRule>
    <cfRule type="expression" dxfId="5782" priority="3334">
      <formula>AO23="RB"</formula>
    </cfRule>
    <cfRule type="expression" dxfId="5783" priority="3335">
      <formula>AO23="QB"</formula>
    </cfRule>
  </conditionalFormatting>
  <conditionalFormatting sqref="AM23">
    <cfRule type="expression" dxfId="5774" priority="3336">
      <formula>AO23="K"</formula>
    </cfRule>
    <cfRule type="expression" dxfId="5773" priority="3337">
      <formula>AO23="DEF"</formula>
    </cfRule>
    <cfRule type="expression" dxfId="5778" priority="3338">
      <formula>AO23="TE"</formula>
    </cfRule>
    <cfRule type="expression" dxfId="5777" priority="3339">
      <formula>AO23="WR"</formula>
    </cfRule>
    <cfRule type="expression" dxfId="5775" priority="3340">
      <formula>AO23="RB"</formula>
    </cfRule>
    <cfRule type="expression" dxfId="5776" priority="3341">
      <formula>AO23="QB"</formula>
    </cfRule>
  </conditionalFormatting>
  <conditionalFormatting sqref="AM25">
    <cfRule type="expression" dxfId="5771" priority="3361">
      <formula>AO26="DEF"</formula>
    </cfRule>
    <cfRule type="expression" dxfId="5770" priority="3362">
      <formula>AO26="TE"</formula>
    </cfRule>
    <cfRule type="expression" dxfId="5769" priority="3363">
      <formula>AO26="WR"</formula>
    </cfRule>
    <cfRule type="expression" dxfId="5768" priority="3364">
      <formula>AO26="RB"</formula>
    </cfRule>
    <cfRule type="expression" dxfId="5772" priority="3365">
      <formula>AO26="QB"</formula>
    </cfRule>
  </conditionalFormatting>
  <conditionalFormatting sqref="AM26">
    <cfRule type="expression" dxfId="5762" priority="3366">
      <formula>AO26="K"</formula>
    </cfRule>
    <cfRule type="expression" dxfId="5763" priority="3367">
      <formula>AO26="DEF"</formula>
    </cfRule>
    <cfRule type="expression" dxfId="5764" priority="3368">
      <formula>AO26="TE"</formula>
    </cfRule>
    <cfRule type="expression" dxfId="5765" priority="3369">
      <formula>AO26="WR"</formula>
    </cfRule>
    <cfRule type="expression" dxfId="5766" priority="3370">
      <formula>AO26="RB"</formula>
    </cfRule>
    <cfRule type="expression" dxfId="5767" priority="3371">
      <formula>AO26="QB"</formula>
    </cfRule>
  </conditionalFormatting>
  <conditionalFormatting sqref="AM28">
    <cfRule type="expression" dxfId="5757" priority="3391">
      <formula>AO29="DEF"</formula>
    </cfRule>
    <cfRule type="expression" dxfId="5758" priority="3392">
      <formula>AO29="TE"</formula>
    </cfRule>
    <cfRule type="expression" dxfId="5759" priority="3393">
      <formula>AO29="WR"</formula>
    </cfRule>
    <cfRule type="expression" dxfId="5761" priority="3394">
      <formula>AO29="RB"</formula>
    </cfRule>
    <cfRule type="expression" dxfId="5760" priority="3395">
      <formula>AO29="QB"</formula>
    </cfRule>
  </conditionalFormatting>
  <conditionalFormatting sqref="AM29">
    <cfRule type="expression" dxfId="5755" priority="3396">
      <formula>AO29="K"</formula>
    </cfRule>
    <cfRule type="expression" dxfId="5751" priority="3397">
      <formula>AO29="DEF"</formula>
    </cfRule>
    <cfRule type="expression" dxfId="5756" priority="3398">
      <formula>AO29="TE"</formula>
    </cfRule>
    <cfRule type="expression" dxfId="5754" priority="3399">
      <formula>AO29="WR"</formula>
    </cfRule>
    <cfRule type="expression" dxfId="5753" priority="3400">
      <formula>AO29="RB"</formula>
    </cfRule>
    <cfRule type="expression" dxfId="5752" priority="3401">
      <formula>AO29="QB"</formula>
    </cfRule>
  </conditionalFormatting>
  <conditionalFormatting sqref="AM31">
    <cfRule type="expression" dxfId="5747" priority="3421">
      <formula>AO32="DEF"</formula>
    </cfRule>
    <cfRule type="expression" dxfId="5748" priority="3422">
      <formula>AO32="TE"</formula>
    </cfRule>
    <cfRule type="expression" dxfId="5749" priority="3423">
      <formula>AO32="WR"</formula>
    </cfRule>
    <cfRule type="expression" dxfId="5746" priority="3424">
      <formula>AO32="RB"</formula>
    </cfRule>
    <cfRule type="expression" dxfId="5750" priority="3425">
      <formula>AO32="QB"</formula>
    </cfRule>
  </conditionalFormatting>
  <conditionalFormatting sqref="AM32">
    <cfRule type="expression" dxfId="5740" priority="3426">
      <formula>AO32="K"</formula>
    </cfRule>
    <cfRule type="expression" dxfId="5744" priority="3427">
      <formula>AO32="DEF"</formula>
    </cfRule>
    <cfRule type="expression" dxfId="5743" priority="3428">
      <formula>AO32="TE"</formula>
    </cfRule>
    <cfRule type="expression" dxfId="5742" priority="3429">
      <formula>AO32="WR"</formula>
    </cfRule>
    <cfRule type="expression" dxfId="5741" priority="3430">
      <formula>AO32="RB"</formula>
    </cfRule>
    <cfRule type="expression" dxfId="5745" priority="3431">
      <formula>AO32="QB"</formula>
    </cfRule>
  </conditionalFormatting>
  <conditionalFormatting sqref="AM34">
    <cfRule type="expression" dxfId="5737" priority="3451">
      <formula>AO35="DEF"</formula>
    </cfRule>
    <cfRule type="expression" dxfId="5738" priority="3452">
      <formula>AO35="TE"</formula>
    </cfRule>
    <cfRule type="expression" dxfId="5735" priority="3453">
      <formula>AO35="WR"</formula>
    </cfRule>
    <cfRule type="expression" dxfId="5736" priority="3454">
      <formula>AO35="RB"</formula>
    </cfRule>
    <cfRule type="expression" dxfId="5739" priority="3455">
      <formula>AO35="QB"</formula>
    </cfRule>
  </conditionalFormatting>
  <conditionalFormatting sqref="AM35">
    <cfRule type="expression" dxfId="5734" priority="3456">
      <formula>AO35="K"</formula>
    </cfRule>
    <cfRule type="expression" dxfId="5732" priority="3457">
      <formula>AO35="DEF"</formula>
    </cfRule>
    <cfRule type="expression" dxfId="5731" priority="3458">
      <formula>AO35="TE"</formula>
    </cfRule>
    <cfRule type="expression" dxfId="5733" priority="3459">
      <formula>AO35="WR"</formula>
    </cfRule>
    <cfRule type="expression" dxfId="5729" priority="3460">
      <formula>AO35="RB"</formula>
    </cfRule>
    <cfRule type="expression" dxfId="5730" priority="3461">
      <formula>AO35="QB"</formula>
    </cfRule>
  </conditionalFormatting>
  <conditionalFormatting sqref="AM37">
    <cfRule type="expression" dxfId="5724" priority="3481">
      <formula>AO38="DEF"</formula>
    </cfRule>
    <cfRule type="expression" dxfId="5725" priority="3482">
      <formula>AO38="TE"</formula>
    </cfRule>
    <cfRule type="expression" dxfId="5726" priority="3483">
      <formula>AO38="WR"</formula>
    </cfRule>
    <cfRule type="expression" dxfId="5728" priority="3484">
      <formula>AO38="RB"</formula>
    </cfRule>
    <cfRule type="expression" dxfId="5727" priority="3485">
      <formula>AO38="QB"</formula>
    </cfRule>
  </conditionalFormatting>
  <conditionalFormatting sqref="AM38">
    <cfRule type="expression" dxfId="5723" priority="3486">
      <formula>AO38="K"</formula>
    </cfRule>
    <cfRule type="expression" dxfId="5722" priority="3487">
      <formula>AO38="DEF"</formula>
    </cfRule>
    <cfRule type="expression" dxfId="5721" priority="3488">
      <formula>AO38="TE"</formula>
    </cfRule>
    <cfRule type="expression" dxfId="5720" priority="3489">
      <formula>AO38="WR"</formula>
    </cfRule>
    <cfRule type="expression" dxfId="5719" priority="3490">
      <formula>AO38="RB"</formula>
    </cfRule>
    <cfRule type="expression" dxfId="5718" priority="3491">
      <formula>AO38="QB"</formula>
    </cfRule>
  </conditionalFormatting>
  <conditionalFormatting sqref="AM40">
    <cfRule type="expression" dxfId="5715" priority="3511">
      <formula>AO41="DEF"</formula>
    </cfRule>
    <cfRule type="expression" dxfId="5714" priority="3512">
      <formula>AO41="TE"</formula>
    </cfRule>
    <cfRule type="expression" dxfId="5713" priority="3513">
      <formula>AO41="WR"</formula>
    </cfRule>
    <cfRule type="expression" dxfId="5717" priority="3514">
      <formula>AO41="RB"</formula>
    </cfRule>
    <cfRule type="expression" dxfId="5716" priority="3515">
      <formula>AO41="QB"</formula>
    </cfRule>
  </conditionalFormatting>
  <conditionalFormatting sqref="AM41">
    <cfRule type="expression" dxfId="5707" priority="3516">
      <formula>AO41="K"</formula>
    </cfRule>
    <cfRule type="expression" dxfId="5711" priority="3517">
      <formula>AO41="DEF"</formula>
    </cfRule>
    <cfRule type="expression" dxfId="5710" priority="3518">
      <formula>AO41="TE"</formula>
    </cfRule>
    <cfRule type="expression" dxfId="5712" priority="3519">
      <formula>AO41="WR"</formula>
    </cfRule>
    <cfRule type="expression" dxfId="5709" priority="3520">
      <formula>AO41="RB"</formula>
    </cfRule>
    <cfRule type="expression" dxfId="5708" priority="3521">
      <formula>AO41="QB"</formula>
    </cfRule>
  </conditionalFormatting>
  <conditionalFormatting sqref="AM43">
    <cfRule type="expression" dxfId="5702" priority="3541">
      <formula>AO44="DEF"</formula>
    </cfRule>
    <cfRule type="expression" dxfId="5703" priority="3542">
      <formula>AO44="TE"</formula>
    </cfRule>
    <cfRule type="expression" dxfId="5706" priority="3543">
      <formula>AO44="WR"</formula>
    </cfRule>
    <cfRule type="expression" dxfId="5704" priority="3544">
      <formula>AO44="RB"</formula>
    </cfRule>
    <cfRule type="expression" dxfId="5705" priority="3545">
      <formula>AO44="QB"</formula>
    </cfRule>
  </conditionalFormatting>
  <conditionalFormatting sqref="AM44">
    <cfRule type="expression" dxfId="5701" priority="3546">
      <formula>AO44="K"</formula>
    </cfRule>
    <cfRule type="expression" dxfId="5700" priority="3547">
      <formula>AO44="DEF"</formula>
    </cfRule>
    <cfRule type="expression" dxfId="5699" priority="3548">
      <formula>AO44="TE"</formula>
    </cfRule>
    <cfRule type="expression" dxfId="5698" priority="3549">
      <formula>AO44="WR"</formula>
    </cfRule>
    <cfRule type="expression" dxfId="5696" priority="3550">
      <formula>AO44="RB"</formula>
    </cfRule>
    <cfRule type="expression" dxfId="5697" priority="3551">
      <formula>AO44="QB"</formula>
    </cfRule>
  </conditionalFormatting>
  <conditionalFormatting sqref="AM46">
    <cfRule type="expression" dxfId="5692" priority="3571">
      <formula>AO47="DEF"</formula>
    </cfRule>
    <cfRule type="expression" dxfId="5695" priority="3572">
      <formula>AO47="TE"</formula>
    </cfRule>
    <cfRule type="expression" dxfId="5691" priority="3573">
      <formula>AO47="WR"</formula>
    </cfRule>
    <cfRule type="expression" dxfId="5694" priority="3574">
      <formula>AO47="RB"</formula>
    </cfRule>
    <cfRule type="expression" dxfId="5693" priority="3575">
      <formula>AO47="QB"</formula>
    </cfRule>
  </conditionalFormatting>
  <conditionalFormatting sqref="AM47">
    <cfRule type="expression" dxfId="5687" priority="3576">
      <formula>AO47="K"</formula>
    </cfRule>
    <cfRule type="expression" dxfId="5685" priority="3577">
      <formula>AO47="DEF"</formula>
    </cfRule>
    <cfRule type="expression" dxfId="5688" priority="3578">
      <formula>AO47="TE"</formula>
    </cfRule>
    <cfRule type="expression" dxfId="5689" priority="3579">
      <formula>AO47="WR"</formula>
    </cfRule>
    <cfRule type="expression" dxfId="5690" priority="3580">
      <formula>AO47="RB"</formula>
    </cfRule>
    <cfRule type="expression" dxfId="5686" priority="3581">
      <formula>AO47="QB"</formula>
    </cfRule>
  </conditionalFormatting>
  <conditionalFormatting sqref="AM4:AP4">
    <cfRule type="expression" dxfId="5684" priority="3180">
      <formula>AO5="K"</formula>
    </cfRule>
  </conditionalFormatting>
  <conditionalFormatting sqref="AM7:AP7">
    <cfRule type="expression" dxfId="5683" priority="3210">
      <formula>AO8="K"</formula>
    </cfRule>
  </conditionalFormatting>
  <conditionalFormatting sqref="AM10:AP10">
    <cfRule type="expression" dxfId="5682" priority="3240">
      <formula>AO11="K"</formula>
    </cfRule>
  </conditionalFormatting>
  <conditionalFormatting sqref="AM13:AP13">
    <cfRule type="expression" dxfId="5681" priority="3270">
      <formula>AO14="K"</formula>
    </cfRule>
  </conditionalFormatting>
  <conditionalFormatting sqref="AM16:AP16">
    <cfRule type="expression" dxfId="5680" priority="3300">
      <formula>AO17="K"</formula>
    </cfRule>
  </conditionalFormatting>
  <conditionalFormatting sqref="AM19:AP19">
    <cfRule type="expression" dxfId="5679" priority="3330">
      <formula>AO20="K"</formula>
    </cfRule>
  </conditionalFormatting>
  <conditionalFormatting sqref="AM22:AP22">
    <cfRule type="expression" dxfId="5678" priority="3360">
      <formula>AO23="K"</formula>
    </cfRule>
  </conditionalFormatting>
  <conditionalFormatting sqref="AM25:AP25">
    <cfRule type="expression" dxfId="5677" priority="3390">
      <formula>AO26="K"</formula>
    </cfRule>
  </conditionalFormatting>
  <conditionalFormatting sqref="AM28:AP28">
    <cfRule type="expression" dxfId="5676" priority="3420">
      <formula>AO29="K"</formula>
    </cfRule>
  </conditionalFormatting>
  <conditionalFormatting sqref="AM31:AP31">
    <cfRule type="expression" dxfId="5675" priority="3450">
      <formula>AO32="K"</formula>
    </cfRule>
  </conditionalFormatting>
  <conditionalFormatting sqref="AM34:AP34">
    <cfRule type="expression" dxfId="5674" priority="3480">
      <formula>AO35="K"</formula>
    </cfRule>
  </conditionalFormatting>
  <conditionalFormatting sqref="AM37:AP37">
    <cfRule type="expression" dxfId="5673" priority="3510">
      <formula>AO38="K"</formula>
    </cfRule>
  </conditionalFormatting>
  <conditionalFormatting sqref="AM40:AP40">
    <cfRule type="expression" dxfId="5672" priority="3540">
      <formula>AO41="K"</formula>
    </cfRule>
  </conditionalFormatting>
  <conditionalFormatting sqref="AM43:AP43">
    <cfRule type="expression" dxfId="5671" priority="3570">
      <formula>AO44="K"</formula>
    </cfRule>
  </conditionalFormatting>
  <conditionalFormatting sqref="AM46:AP46">
    <cfRule type="expression" dxfId="5670" priority="3600">
      <formula>AO47="K"</formula>
    </cfRule>
  </conditionalFormatting>
  <conditionalFormatting sqref="AN5">
    <cfRule type="expression" dxfId="5669" priority="3162">
      <formula>AO5="K"</formula>
    </cfRule>
    <cfRule type="expression" dxfId="5664" priority="3163">
      <formula>AO5="DEF"</formula>
    </cfRule>
    <cfRule type="expression" dxfId="5665" priority="3164">
      <formula>AO5="TE"</formula>
    </cfRule>
    <cfRule type="expression" dxfId="5666" priority="3165">
      <formula>AO5="WR"</formula>
    </cfRule>
    <cfRule type="expression" dxfId="5667" priority="3166">
      <formula>AO5="RB"</formula>
    </cfRule>
    <cfRule type="expression" dxfId="5668" priority="3167">
      <formula>AO5="QB"</formula>
    </cfRule>
  </conditionalFormatting>
  <conditionalFormatting sqref="AN8">
    <cfRule type="expression" dxfId="5658" priority="3192">
      <formula>AO8="K"</formula>
    </cfRule>
    <cfRule type="expression" dxfId="5659" priority="3193">
      <formula>AO8="DEF"</formula>
    </cfRule>
    <cfRule type="expression" dxfId="5660" priority="3194">
      <formula>AO8="TE"</formula>
    </cfRule>
    <cfRule type="expression" dxfId="5661" priority="3195">
      <formula>AO8="WR"</formula>
    </cfRule>
    <cfRule type="expression" dxfId="5662" priority="3196">
      <formula>AO8="RB"</formula>
    </cfRule>
    <cfRule type="expression" dxfId="5663" priority="3197">
      <formula>AO8="QB"</formula>
    </cfRule>
  </conditionalFormatting>
  <conditionalFormatting sqref="AN11">
    <cfRule type="expression" dxfId="5653" priority="3222">
      <formula>AO11="K"</formula>
    </cfRule>
    <cfRule type="expression" dxfId="5654" priority="3223">
      <formula>AO11="DEF"</formula>
    </cfRule>
    <cfRule type="expression" dxfId="5655" priority="3224">
      <formula>AO11="TE"</formula>
    </cfRule>
    <cfRule type="expression" dxfId="5656" priority="3225">
      <formula>AO11="WR"</formula>
    </cfRule>
    <cfRule type="expression" dxfId="5657" priority="3226">
      <formula>AO11="RB"</formula>
    </cfRule>
    <cfRule type="expression" dxfId="5652" priority="3227">
      <formula>AO11="QB"</formula>
    </cfRule>
  </conditionalFormatting>
  <conditionalFormatting sqref="AN14">
    <cfRule type="expression" dxfId="5647" priority="3252">
      <formula>AO14="K"</formula>
    </cfRule>
    <cfRule type="expression" dxfId="5646" priority="3253">
      <formula>AO14="DEF"</formula>
    </cfRule>
    <cfRule type="expression" dxfId="5651" priority="3254">
      <formula>AO14="TE"</formula>
    </cfRule>
    <cfRule type="expression" dxfId="5650" priority="3255">
      <formula>AO14="WR"</formula>
    </cfRule>
    <cfRule type="expression" dxfId="5648" priority="3256">
      <formula>AO14="RB"</formula>
    </cfRule>
    <cfRule type="expression" dxfId="5649" priority="3257">
      <formula>AO14="QB"</formula>
    </cfRule>
  </conditionalFormatting>
  <conditionalFormatting sqref="AN17">
    <cfRule type="expression" dxfId="5642" priority="3282">
      <formula>AO17="K"</formula>
    </cfRule>
    <cfRule type="expression" dxfId="5643" priority="3283">
      <formula>AO17="DEF"</formula>
    </cfRule>
    <cfRule type="expression" dxfId="5644" priority="3284">
      <formula>AO17="TE"</formula>
    </cfRule>
    <cfRule type="expression" dxfId="5641" priority="3285">
      <formula>AO17="WR"</formula>
    </cfRule>
    <cfRule type="expression" dxfId="5645" priority="3286">
      <formula>AO17="RB"</formula>
    </cfRule>
    <cfRule type="expression" dxfId="5640" priority="3287">
      <formula>AO17="QB"</formula>
    </cfRule>
  </conditionalFormatting>
  <conditionalFormatting sqref="AN20">
    <cfRule type="expression" dxfId="5639" priority="3312">
      <formula>AO20="K"</formula>
    </cfRule>
    <cfRule type="expression" dxfId="5634" priority="3313">
      <formula>AO20="DEF"</formula>
    </cfRule>
    <cfRule type="expression" dxfId="5637" priority="3314">
      <formula>AO20="TE"</formula>
    </cfRule>
    <cfRule type="expression" dxfId="5638" priority="3315">
      <formula>AO20="WR"</formula>
    </cfRule>
    <cfRule type="expression" dxfId="5635" priority="3316">
      <formula>AO20="RB"</formula>
    </cfRule>
    <cfRule type="expression" dxfId="5636" priority="3317">
      <formula>AO20="QB"</formula>
    </cfRule>
  </conditionalFormatting>
  <conditionalFormatting sqref="AN23">
    <cfRule type="expression" dxfId="5631" priority="3342">
      <formula>AO23="K"</formula>
    </cfRule>
    <cfRule type="expression" dxfId="5632" priority="3343">
      <formula>AO23="DEF"</formula>
    </cfRule>
    <cfRule type="expression" dxfId="5628" priority="3344">
      <formula>AO23="TE"</formula>
    </cfRule>
    <cfRule type="expression" dxfId="5633" priority="3345">
      <formula>AO23="WR"</formula>
    </cfRule>
    <cfRule type="expression" dxfId="5629" priority="3346">
      <formula>AO23="RB"</formula>
    </cfRule>
    <cfRule type="expression" dxfId="5630" priority="3347">
      <formula>AO23="QB"</formula>
    </cfRule>
  </conditionalFormatting>
  <conditionalFormatting sqref="AN26">
    <cfRule type="expression" dxfId="5622" priority="3372">
      <formula>AO26="K"</formula>
    </cfRule>
    <cfRule type="expression" dxfId="5623" priority="3373">
      <formula>AO26="DEF"</formula>
    </cfRule>
    <cfRule type="expression" dxfId="5627" priority="3374">
      <formula>AO26="TE"</formula>
    </cfRule>
    <cfRule type="expression" dxfId="5626" priority="3375">
      <formula>AO26="WR"</formula>
    </cfRule>
    <cfRule type="expression" dxfId="5625" priority="3376">
      <formula>AO26="RB"</formula>
    </cfRule>
    <cfRule type="expression" dxfId="5624" priority="3377">
      <formula>AO26="QB"</formula>
    </cfRule>
  </conditionalFormatting>
  <conditionalFormatting sqref="AN29">
    <cfRule type="expression" dxfId="5619" priority="3402">
      <formula>AO29="K"</formula>
    </cfRule>
    <cfRule type="expression" dxfId="5621" priority="3403">
      <formula>AO29="DEF"</formula>
    </cfRule>
    <cfRule type="expression" dxfId="5620" priority="3404">
      <formula>AO29="TE"</formula>
    </cfRule>
    <cfRule type="expression" dxfId="5618" priority="3405">
      <formula>AO29="WR"</formula>
    </cfRule>
    <cfRule type="expression" dxfId="5617" priority="3406">
      <formula>AO29="RB"</formula>
    </cfRule>
    <cfRule type="expression" dxfId="5616" priority="3407">
      <formula>AO29="QB"</formula>
    </cfRule>
  </conditionalFormatting>
  <conditionalFormatting sqref="AN32">
    <cfRule type="expression" dxfId="5611" priority="3432">
      <formula>AO32="K"</formula>
    </cfRule>
    <cfRule type="expression" dxfId="5612" priority="3433">
      <formula>AO32="DEF"</formula>
    </cfRule>
    <cfRule type="expression" dxfId="5613" priority="3434">
      <formula>AO32="TE"</formula>
    </cfRule>
    <cfRule type="expression" dxfId="5610" priority="3435">
      <formula>AO32="WR"</formula>
    </cfRule>
    <cfRule type="expression" dxfId="5614" priority="3436">
      <formula>AO32="RB"</formula>
    </cfRule>
    <cfRule type="expression" dxfId="5615" priority="3437">
      <formula>AO32="QB"</formula>
    </cfRule>
  </conditionalFormatting>
  <conditionalFormatting sqref="AN35">
    <cfRule type="expression" dxfId="5609" priority="3462">
      <formula>AO35="K"</formula>
    </cfRule>
    <cfRule type="expression" dxfId="5604" priority="3463">
      <formula>AO35="DEF"</formula>
    </cfRule>
    <cfRule type="expression" dxfId="5608" priority="3464">
      <formula>AO35="TE"</formula>
    </cfRule>
    <cfRule type="expression" dxfId="5607" priority="3465">
      <formula>AO35="WR"</formula>
    </cfRule>
    <cfRule type="expression" dxfId="5606" priority="3466">
      <formula>AO35="RB"</formula>
    </cfRule>
    <cfRule type="expression" dxfId="5605" priority="3467">
      <formula>AO35="QB"</formula>
    </cfRule>
  </conditionalFormatting>
  <conditionalFormatting sqref="AN38">
    <cfRule type="expression" dxfId="5598" priority="3492">
      <formula>AO38="K"</formula>
    </cfRule>
    <cfRule type="expression" dxfId="5603" priority="3493">
      <formula>AO38="DEF"</formula>
    </cfRule>
    <cfRule type="expression" dxfId="5602" priority="3494">
      <formula>AO38="TE"</formula>
    </cfRule>
    <cfRule type="expression" dxfId="5601" priority="3495">
      <formula>AO38="WR"</formula>
    </cfRule>
    <cfRule type="expression" dxfId="5600" priority="3496">
      <formula>AO38="RB"</formula>
    </cfRule>
    <cfRule type="expression" dxfId="5599" priority="3497">
      <formula>AO38="QB"</formula>
    </cfRule>
  </conditionalFormatting>
  <conditionalFormatting sqref="AN41">
    <cfRule type="expression" dxfId="5593" priority="3522">
      <formula>AO41="K"</formula>
    </cfRule>
    <cfRule type="expression" dxfId="5592" priority="3523">
      <formula>AO41="DEF"</formula>
    </cfRule>
    <cfRule type="expression" dxfId="5597" priority="3524">
      <formula>AO41="TE"</formula>
    </cfRule>
    <cfRule type="expression" dxfId="5596" priority="3525">
      <formula>AO41="WR"</formula>
    </cfRule>
    <cfRule type="expression" dxfId="5594" priority="3526">
      <formula>AO41="RB"</formula>
    </cfRule>
    <cfRule type="expression" dxfId="5595" priority="3527">
      <formula>AO41="QB"</formula>
    </cfRule>
  </conditionalFormatting>
  <conditionalFormatting sqref="AN44">
    <cfRule type="expression" dxfId="5587" priority="3552">
      <formula>AO44="K"</formula>
    </cfRule>
    <cfRule type="expression" dxfId="5588" priority="3553">
      <formula>AO44="DEF"</formula>
    </cfRule>
    <cfRule type="expression" dxfId="5589" priority="3554">
      <formula>AO44="TE"</formula>
    </cfRule>
    <cfRule type="expression" dxfId="5590" priority="3555">
      <formula>AO44="WR"</formula>
    </cfRule>
    <cfRule type="expression" dxfId="5586" priority="3556">
      <formula>AO44="RB"</formula>
    </cfRule>
    <cfRule type="expression" dxfId="5591" priority="3557">
      <formula>AO44="QB"</formula>
    </cfRule>
  </conditionalFormatting>
  <conditionalFormatting sqref="AN47">
    <cfRule type="expression" dxfId="5582" priority="3582">
      <formula>AO47="K"</formula>
    </cfRule>
    <cfRule type="expression" dxfId="5583" priority="3583">
      <formula>AO47="DEF"</formula>
    </cfRule>
    <cfRule type="expression" dxfId="5584" priority="3584">
      <formula>AO47="TE"</formula>
    </cfRule>
    <cfRule type="expression" dxfId="5585" priority="3585">
      <formula>AO47="WR"</formula>
    </cfRule>
    <cfRule type="expression" dxfId="5581" priority="3586">
      <formula>AO47="RB"</formula>
    </cfRule>
    <cfRule type="expression" dxfId="5580" priority="3587">
      <formula>AO47="QB"</formula>
    </cfRule>
  </conditionalFormatting>
  <conditionalFormatting sqref="AO5">
    <cfRule type="expression" dxfId="5579" priority="3168">
      <formula>AO5="K"</formula>
    </cfRule>
    <cfRule type="expression" dxfId="5578" priority="3169">
      <formula>AO5="DEF"</formula>
    </cfRule>
    <cfRule type="expression" dxfId="5577" priority="3170">
      <formula>AO5="TE"</formula>
    </cfRule>
    <cfRule type="expression" dxfId="5575" priority="3171">
      <formula>AO5="WR"</formula>
    </cfRule>
    <cfRule type="expression" dxfId="5576" priority="3172">
      <formula>AO5="RB"</formula>
    </cfRule>
    <cfRule type="expression" dxfId="5574" priority="3173">
      <formula>AO5="QB"</formula>
    </cfRule>
  </conditionalFormatting>
  <conditionalFormatting sqref="AO8">
    <cfRule type="expression" dxfId="5573" priority="3198">
      <formula>AO8="K"</formula>
    </cfRule>
    <cfRule type="expression" dxfId="5568" priority="3199">
      <formula>AO8="DEF"</formula>
    </cfRule>
    <cfRule type="expression" dxfId="5572" priority="3200">
      <formula>AO8="TE"</formula>
    </cfRule>
    <cfRule type="expression" dxfId="5571" priority="3201">
      <formula>AO8="WR"</formula>
    </cfRule>
    <cfRule type="expression" dxfId="5570" priority="3202">
      <formula>AO8="RB"</formula>
    </cfRule>
    <cfRule type="expression" dxfId="5569" priority="3203">
      <formula>AO8="QB"</formula>
    </cfRule>
  </conditionalFormatting>
  <conditionalFormatting sqref="AO11">
    <cfRule type="expression" dxfId="5564" priority="3228">
      <formula>AO11="K"</formula>
    </cfRule>
    <cfRule type="expression" dxfId="5565" priority="3229">
      <formula>AO11="DEF"</formula>
    </cfRule>
    <cfRule type="expression" dxfId="5566" priority="3230">
      <formula>AO11="TE"</formula>
    </cfRule>
    <cfRule type="expression" dxfId="5567" priority="3231">
      <formula>AO11="WR"</formula>
    </cfRule>
    <cfRule type="expression" dxfId="5562" priority="3232">
      <formula>AO11="RB"</formula>
    </cfRule>
    <cfRule type="expression" dxfId="5563" priority="3233">
      <formula>AO11="QB"</formula>
    </cfRule>
  </conditionalFormatting>
  <conditionalFormatting sqref="AO14">
    <cfRule type="expression" dxfId="5558" priority="3258">
      <formula>AO14="K"</formula>
    </cfRule>
    <cfRule type="expression" dxfId="5561" priority="3259">
      <formula>AO14="DEF"</formula>
    </cfRule>
    <cfRule type="expression" dxfId="5557" priority="3260">
      <formula>AO14="TE"</formula>
    </cfRule>
    <cfRule type="expression" dxfId="5559" priority="3261">
      <formula>AO14="WR"</formula>
    </cfRule>
    <cfRule type="expression" dxfId="5560" priority="3262">
      <formula>AO14="RB"</formula>
    </cfRule>
    <cfRule type="expression" dxfId="5556" priority="3263">
      <formula>AO14="QB"</formula>
    </cfRule>
  </conditionalFormatting>
  <conditionalFormatting sqref="AO17">
    <cfRule type="expression" dxfId="5550" priority="3288">
      <formula>AO17="K"</formula>
    </cfRule>
    <cfRule type="expression" dxfId="5551" priority="3289">
      <formula>AO17="DEF"</formula>
    </cfRule>
    <cfRule type="expression" dxfId="5555" priority="3290">
      <formula>AO17="TE"</formula>
    </cfRule>
    <cfRule type="expression" dxfId="5554" priority="3291">
      <formula>AO17="WR"</formula>
    </cfRule>
    <cfRule type="expression" dxfId="5553" priority="3292">
      <formula>AO17="RB"</formula>
    </cfRule>
    <cfRule type="expression" dxfId="5552" priority="3293">
      <formula>AO17="QB"</formula>
    </cfRule>
  </conditionalFormatting>
  <conditionalFormatting sqref="AO20">
    <cfRule type="expression" dxfId="5546" priority="3318">
      <formula>AO20="K"</formula>
    </cfRule>
    <cfRule type="expression" dxfId="5549" priority="3319">
      <formula>AO20="DEF"</formula>
    </cfRule>
    <cfRule type="expression" dxfId="5544" priority="3320">
      <formula>AO20="TE"</formula>
    </cfRule>
    <cfRule type="expression" dxfId="5547" priority="3321">
      <formula>AO20="WR"</formula>
    </cfRule>
    <cfRule type="expression" dxfId="5548" priority="3322">
      <formula>AO20="RB"</formula>
    </cfRule>
    <cfRule type="expression" dxfId="5545" priority="3323">
      <formula>AO20="QB"</formula>
    </cfRule>
  </conditionalFormatting>
  <conditionalFormatting sqref="AO23">
    <cfRule type="expression" dxfId="5543" priority="3348">
      <formula>AO23="K"</formula>
    </cfRule>
    <cfRule type="expression" dxfId="5542" priority="3349">
      <formula>AO23="DEF"</formula>
    </cfRule>
    <cfRule type="expression" dxfId="5541" priority="3350">
      <formula>AO23="TE"</formula>
    </cfRule>
    <cfRule type="expression" dxfId="5540" priority="3351">
      <formula>AO23="WR"</formula>
    </cfRule>
    <cfRule type="expression" dxfId="5539" priority="3352">
      <formula>AO23="RB"</formula>
    </cfRule>
    <cfRule type="expression" dxfId="5538" priority="3353">
      <formula>AO23="QB"</formula>
    </cfRule>
  </conditionalFormatting>
  <conditionalFormatting sqref="AO26">
    <cfRule type="expression" dxfId="5532" priority="3378">
      <formula>AO26="K"</formula>
    </cfRule>
    <cfRule type="expression" dxfId="5537" priority="3379">
      <formula>AO26="DEF"</formula>
    </cfRule>
    <cfRule type="expression" dxfId="5536" priority="3380">
      <formula>AO26="TE"</formula>
    </cfRule>
    <cfRule type="expression" dxfId="5535" priority="3381">
      <formula>AO26="WR"</formula>
    </cfRule>
    <cfRule type="expression" dxfId="5534" priority="3382">
      <formula>AO26="RB"</formula>
    </cfRule>
    <cfRule type="expression" dxfId="5533" priority="3383">
      <formula>AO26="QB"</formula>
    </cfRule>
  </conditionalFormatting>
  <conditionalFormatting sqref="AO29">
    <cfRule type="expression" dxfId="5526" priority="3408">
      <formula>AO29="K"</formula>
    </cfRule>
    <cfRule type="expression" dxfId="5527" priority="3409">
      <formula>AO29="DEF"</formula>
    </cfRule>
    <cfRule type="expression" dxfId="5528" priority="3410">
      <formula>AO29="TE"</formula>
    </cfRule>
    <cfRule type="expression" dxfId="5531" priority="3411">
      <formula>AO29="WR"</formula>
    </cfRule>
    <cfRule type="expression" dxfId="5529" priority="3412">
      <formula>AO29="RB"</formula>
    </cfRule>
    <cfRule type="expression" dxfId="5530" priority="3413">
      <formula>AO29="QB"</formula>
    </cfRule>
  </conditionalFormatting>
  <conditionalFormatting sqref="AO32">
    <cfRule type="expression" dxfId="5520" priority="3438">
      <formula>AO32="K"</formula>
    </cfRule>
    <cfRule type="expression" dxfId="5521" priority="3439">
      <formula>AO32="DEF"</formula>
    </cfRule>
    <cfRule type="expression" dxfId="5522" priority="3440">
      <formula>AO32="TE"</formula>
    </cfRule>
    <cfRule type="expression" dxfId="5523" priority="3441">
      <formula>AO32="WR"</formula>
    </cfRule>
    <cfRule type="expression" dxfId="5524" priority="3442">
      <formula>AO32="RB"</formula>
    </cfRule>
    <cfRule type="expression" dxfId="5525" priority="3443">
      <formula>AO32="QB"</formula>
    </cfRule>
  </conditionalFormatting>
  <conditionalFormatting sqref="AO35">
    <cfRule type="expression" dxfId="5515" priority="3468">
      <formula>AO35="K"</formula>
    </cfRule>
    <cfRule type="expression" dxfId="5514" priority="3469">
      <formula>AO35="DEF"</formula>
    </cfRule>
    <cfRule type="expression" dxfId="5519" priority="3470">
      <formula>AO35="TE"</formula>
    </cfRule>
    <cfRule type="expression" dxfId="5518" priority="3471">
      <formula>AO35="WR"</formula>
    </cfRule>
    <cfRule type="expression" dxfId="5517" priority="3472">
      <formula>AO35="RB"</formula>
    </cfRule>
    <cfRule type="expression" dxfId="5516" priority="3473">
      <formula>AO35="QB"</formula>
    </cfRule>
  </conditionalFormatting>
  <conditionalFormatting sqref="AO38">
    <cfRule type="expression" dxfId="5513" priority="3498">
      <formula>AO38="K"</formula>
    </cfRule>
    <cfRule type="expression" dxfId="5512" priority="3499">
      <formula>AO38="DEF"</formula>
    </cfRule>
    <cfRule type="expression" dxfId="5511" priority="3500">
      <formula>AO38="TE"</formula>
    </cfRule>
    <cfRule type="expression" dxfId="5510" priority="3501">
      <formula>AO38="WR"</formula>
    </cfRule>
    <cfRule type="expression" dxfId="5509" priority="3502">
      <formula>AO38="RB"</formula>
    </cfRule>
    <cfRule type="expression" dxfId="5508" priority="3503">
      <formula>AO38="QB"</formula>
    </cfRule>
  </conditionalFormatting>
  <conditionalFormatting sqref="AO41">
    <cfRule type="expression" dxfId="5504" priority="3528">
      <formula>AO41="K"</formula>
    </cfRule>
    <cfRule type="expression" dxfId="5503" priority="3529">
      <formula>AO41="DEF"</formula>
    </cfRule>
    <cfRule type="expression" dxfId="5505" priority="3530">
      <formula>AO41="TE"</formula>
    </cfRule>
    <cfRule type="expression" dxfId="5506" priority="3531">
      <formula>AO41="WR"</formula>
    </cfRule>
    <cfRule type="expression" dxfId="5507" priority="3532">
      <formula>AO41="RB"</formula>
    </cfRule>
    <cfRule type="expression" dxfId="5502" priority="3533">
      <formula>AO41="QB"</formula>
    </cfRule>
  </conditionalFormatting>
  <conditionalFormatting sqref="AO44">
    <cfRule type="expression" dxfId="5499" priority="3558">
      <formula>AO44="K"</formula>
    </cfRule>
    <cfRule type="expression" dxfId="5496" priority="3559">
      <formula>AO44="DEF"</formula>
    </cfRule>
    <cfRule type="expression" dxfId="5501" priority="3560">
      <formula>AO44="TE"</formula>
    </cfRule>
    <cfRule type="expression" dxfId="5500" priority="3561">
      <formula>AO44="WR"</formula>
    </cfRule>
    <cfRule type="expression" dxfId="5497" priority="3562">
      <formula>AO44="RB"</formula>
    </cfRule>
    <cfRule type="expression" dxfId="5498" priority="3563">
      <formula>AO44="QB"</formula>
    </cfRule>
  </conditionalFormatting>
  <conditionalFormatting sqref="AO47">
    <cfRule type="expression" dxfId="5491" priority="3588">
      <formula>AO47="K"</formula>
    </cfRule>
    <cfRule type="expression" dxfId="5492" priority="3589">
      <formula>AO47="DEF"</formula>
    </cfRule>
    <cfRule type="expression" dxfId="5493" priority="3590">
      <formula>AO47="TE"</formula>
    </cfRule>
    <cfRule type="expression" dxfId="5494" priority="3591">
      <formula>AO47="WR"</formula>
    </cfRule>
    <cfRule type="expression" dxfId="5495" priority="3592">
      <formula>AO47="RB"</formula>
    </cfRule>
    <cfRule type="expression" dxfId="5490" priority="3593">
      <formula>AO47="QB"</formula>
    </cfRule>
  </conditionalFormatting>
  <conditionalFormatting sqref="AP5">
    <cfRule type="expression" dxfId="5487" priority="3174">
      <formula>AO5="K"</formula>
    </cfRule>
    <cfRule type="expression" dxfId="5489" priority="3175">
      <formula>AO5="DEF"</formula>
    </cfRule>
    <cfRule type="expression" dxfId="5486" priority="3176">
      <formula>AO5="TE"</formula>
    </cfRule>
    <cfRule type="expression" dxfId="5485" priority="3177">
      <formula>AO5="WR"</formula>
    </cfRule>
    <cfRule type="expression" dxfId="5484" priority="3178">
      <formula>AO5="RB"</formula>
    </cfRule>
    <cfRule type="expression" dxfId="5488" priority="3179">
      <formula>AO5="QB"</formula>
    </cfRule>
  </conditionalFormatting>
  <conditionalFormatting sqref="AP8">
    <cfRule type="expression" dxfId="5478" priority="3204">
      <formula>AO8="K"</formula>
    </cfRule>
    <cfRule type="expression" dxfId="5479" priority="3205">
      <formula>AO8="DEF"</formula>
    </cfRule>
    <cfRule type="expression" dxfId="5483" priority="3206">
      <formula>AO8="TE"</formula>
    </cfRule>
    <cfRule type="expression" dxfId="5482" priority="3207">
      <formula>AO8="WR"</formula>
    </cfRule>
    <cfRule type="expression" dxfId="5481" priority="3208">
      <formula>AO8="RB"</formula>
    </cfRule>
    <cfRule type="expression" dxfId="5480" priority="3209">
      <formula>AO8="QB"</formula>
    </cfRule>
  </conditionalFormatting>
  <conditionalFormatting sqref="AP11">
    <cfRule type="expression" dxfId="5477" priority="3234">
      <formula>AO11="K"</formula>
    </cfRule>
    <cfRule type="expression" dxfId="5472" priority="3235">
      <formula>AO11="DEF"</formula>
    </cfRule>
    <cfRule type="expression" dxfId="5473" priority="3236">
      <formula>AO11="TE"</formula>
    </cfRule>
    <cfRule type="expression" dxfId="5474" priority="3237">
      <formula>AO11="WR"</formula>
    </cfRule>
    <cfRule type="expression" dxfId="5475" priority="3238">
      <formula>AO11="RB"</formula>
    </cfRule>
    <cfRule type="expression" dxfId="5476" priority="3239">
      <formula>AO11="QB"</formula>
    </cfRule>
  </conditionalFormatting>
  <conditionalFormatting sqref="AP14">
    <cfRule type="expression" dxfId="5468" priority="3264">
      <formula>AO14="K"</formula>
    </cfRule>
    <cfRule type="expression" dxfId="5469" priority="3265">
      <formula>AO14="DEF"</formula>
    </cfRule>
    <cfRule type="expression" dxfId="5470" priority="3266">
      <formula>AO14="TE"</formula>
    </cfRule>
    <cfRule type="expression" dxfId="5471" priority="3267">
      <formula>AO14="WR"</formula>
    </cfRule>
    <cfRule type="expression" dxfId="5466" priority="3268">
      <formula>AO14="RB"</formula>
    </cfRule>
    <cfRule type="expression" dxfId="5467" priority="3269">
      <formula>AO14="QB"</formula>
    </cfRule>
  </conditionalFormatting>
  <conditionalFormatting sqref="AP17">
    <cfRule type="expression" dxfId="5465" priority="3294">
      <formula>AO17="K"</formula>
    </cfRule>
    <cfRule type="expression" dxfId="5461" priority="3295">
      <formula>AO17="DEF"</formula>
    </cfRule>
    <cfRule type="expression" dxfId="5464" priority="3296">
      <formula>AO17="TE"</formula>
    </cfRule>
    <cfRule type="expression" dxfId="5462" priority="3297">
      <formula>AO17="WR"</formula>
    </cfRule>
    <cfRule type="expression" dxfId="5463" priority="3298">
      <formula>AO17="RB"</formula>
    </cfRule>
    <cfRule type="expression" dxfId="5460" priority="3299">
      <formula>AO17="QB"</formula>
    </cfRule>
  </conditionalFormatting>
  <conditionalFormatting sqref="AP20">
    <cfRule type="expression" dxfId="5454" priority="3324">
      <formula>AO20="K"</formula>
    </cfRule>
    <cfRule type="expression" dxfId="5458" priority="3325">
      <formula>AO20="DEF"</formula>
    </cfRule>
    <cfRule type="expression" dxfId="5457" priority="3326">
      <formula>AO20="TE"</formula>
    </cfRule>
    <cfRule type="expression" dxfId="5456" priority="3327">
      <formula>AO20="WR"</formula>
    </cfRule>
    <cfRule type="expression" dxfId="5455" priority="3328">
      <formula>AO20="RB"</formula>
    </cfRule>
    <cfRule type="expression" dxfId="5459" priority="3329">
      <formula>AO20="QB"</formula>
    </cfRule>
  </conditionalFormatting>
  <conditionalFormatting sqref="AP23">
    <cfRule type="expression" dxfId="5453" priority="3354">
      <formula>AO23="K"</formula>
    </cfRule>
    <cfRule type="expression" dxfId="5452" priority="3355">
      <formula>AO23="DEF"</formula>
    </cfRule>
    <cfRule type="expression" dxfId="5451" priority="3356">
      <formula>AO23="TE"</formula>
    </cfRule>
    <cfRule type="expression" dxfId="5448" priority="3357">
      <formula>AO23="WR"</formula>
    </cfRule>
    <cfRule type="expression" dxfId="5449" priority="3358">
      <formula>AO23="RB"</formula>
    </cfRule>
    <cfRule type="expression" dxfId="5450" priority="3359">
      <formula>AO23="QB"</formula>
    </cfRule>
  </conditionalFormatting>
  <conditionalFormatting sqref="AP26">
    <cfRule type="expression" dxfId="5442" priority="3384">
      <formula>AO26="K"</formula>
    </cfRule>
    <cfRule type="expression" dxfId="5447" priority="3385">
      <formula>AO26="DEF"</formula>
    </cfRule>
    <cfRule type="expression" dxfId="5446" priority="3386">
      <formula>AO26="TE"</formula>
    </cfRule>
    <cfRule type="expression" dxfId="5445" priority="3387">
      <formula>AO26="WR"</formula>
    </cfRule>
    <cfRule type="expression" dxfId="5444" priority="3388">
      <formula>AO26="RB"</formula>
    </cfRule>
    <cfRule type="expression" dxfId="5443" priority="3389">
      <formula>AO26="QB"</formula>
    </cfRule>
  </conditionalFormatting>
  <conditionalFormatting sqref="AP29">
    <cfRule type="expression" dxfId="5439" priority="3414">
      <formula>AO29="K"</formula>
    </cfRule>
    <cfRule type="expression" dxfId="5438" priority="3415">
      <formula>AO29="DEF"</formula>
    </cfRule>
    <cfRule type="expression" dxfId="5440" priority="3416">
      <formula>AO29="TE"</formula>
    </cfRule>
    <cfRule type="expression" dxfId="5441" priority="3417">
      <formula>AO29="WR"</formula>
    </cfRule>
    <cfRule type="expression" dxfId="5437" priority="3418">
      <formula>AO29="RB"</formula>
    </cfRule>
    <cfRule type="expression" dxfId="5436" priority="3419">
      <formula>AO29="QB"</formula>
    </cfRule>
  </conditionalFormatting>
  <conditionalFormatting sqref="AP32">
    <cfRule type="expression" dxfId="5434" priority="3444">
      <formula>AO32="K"</formula>
    </cfRule>
    <cfRule type="expression" dxfId="5433" priority="3445">
      <formula>AO32="DEF"</formula>
    </cfRule>
    <cfRule type="expression" dxfId="5432" priority="3446">
      <formula>AO32="TE"</formula>
    </cfRule>
    <cfRule type="expression" dxfId="5431" priority="3447">
      <formula>AO32="WR"</formula>
    </cfRule>
    <cfRule type="expression" dxfId="5435" priority="3448">
      <formula>AO32="RB"</formula>
    </cfRule>
    <cfRule type="expression" dxfId="5430" priority="3449">
      <formula>AO32="QB"</formula>
    </cfRule>
  </conditionalFormatting>
  <conditionalFormatting sqref="AP35">
    <cfRule type="expression" dxfId="5424" priority="3474">
      <formula>AO35="K"</formula>
    </cfRule>
    <cfRule type="expression" dxfId="5429" priority="3475">
      <formula>AO35="DEF"</formula>
    </cfRule>
    <cfRule type="expression" dxfId="5428" priority="3476">
      <formula>AO35="TE"</formula>
    </cfRule>
    <cfRule type="expression" dxfId="5427" priority="3477">
      <formula>AO35="WR"</formula>
    </cfRule>
    <cfRule type="expression" dxfId="5426" priority="3478">
      <formula>AO35="RB"</formula>
    </cfRule>
    <cfRule type="expression" dxfId="5425" priority="3479">
      <formula>AO35="QB"</formula>
    </cfRule>
  </conditionalFormatting>
  <conditionalFormatting sqref="AP38">
    <cfRule type="expression" dxfId="5423" priority="3504">
      <formula>AO38="K"</formula>
    </cfRule>
    <cfRule type="expression" dxfId="5418" priority="3505">
      <formula>AO38="DEF"</formula>
    </cfRule>
    <cfRule type="expression" dxfId="5422" priority="3506">
      <formula>AO38="TE"</formula>
    </cfRule>
    <cfRule type="expression" dxfId="5421" priority="3507">
      <formula>AO38="WR"</formula>
    </cfRule>
    <cfRule type="expression" dxfId="5420" priority="3508">
      <formula>AO38="RB"</formula>
    </cfRule>
    <cfRule type="expression" dxfId="5419" priority="3509">
      <formula>AO38="QB"</formula>
    </cfRule>
  </conditionalFormatting>
  <conditionalFormatting sqref="AP41">
    <cfRule type="expression" dxfId="5417" priority="3534">
      <formula>AO41="K"</formula>
    </cfRule>
    <cfRule type="expression" dxfId="5416" priority="3535">
      <formula>AO41="DEF"</formula>
    </cfRule>
    <cfRule type="expression" dxfId="5415" priority="3536">
      <formula>AO41="TE"</formula>
    </cfRule>
    <cfRule type="expression" dxfId="5414" priority="3537">
      <formula>AO41="WR"</formula>
    </cfRule>
    <cfRule type="expression" dxfId="5412" priority="3538">
      <formula>AO41="RB"</formula>
    </cfRule>
    <cfRule type="expression" dxfId="5413" priority="3539">
      <formula>AO41="QB"</formula>
    </cfRule>
  </conditionalFormatting>
  <conditionalFormatting sqref="AP44">
    <cfRule type="expression" dxfId="5406" priority="3564">
      <formula>AO44="K"</formula>
    </cfRule>
    <cfRule type="expression" dxfId="5410" priority="3565">
      <formula>AO44="DEF"</formula>
    </cfRule>
    <cfRule type="expression" dxfId="5409" priority="3566">
      <formula>AO44="TE"</formula>
    </cfRule>
    <cfRule type="expression" dxfId="5408" priority="3567">
      <formula>AO44="WR"</formula>
    </cfRule>
    <cfRule type="expression" dxfId="5407" priority="3568">
      <formula>AO44="RB"</formula>
    </cfRule>
    <cfRule type="expression" dxfId="5411" priority="3569">
      <formula>AO44="QB"</formula>
    </cfRule>
  </conditionalFormatting>
  <conditionalFormatting sqref="AP47">
    <cfRule type="expression" dxfId="5405" priority="3594">
      <formula>AO47="K"</formula>
    </cfRule>
    <cfRule type="expression" dxfId="5404" priority="3595">
      <formula>AO47="DEF"</formula>
    </cfRule>
    <cfRule type="expression" dxfId="5403" priority="3596">
      <formula>AO47="TE"</formula>
    </cfRule>
    <cfRule type="expression" dxfId="5402" priority="3597">
      <formula>AO47="WR"</formula>
    </cfRule>
    <cfRule type="expression" dxfId="5401" priority="3598">
      <formula>AO47="RB"</formula>
    </cfRule>
    <cfRule type="expression" dxfId="5400" priority="3599">
      <formula>AO47="QB"</formula>
    </cfRule>
  </conditionalFormatting>
  <conditionalFormatting sqref="AR4">
    <cfRule type="expression" dxfId="5399" priority="3601">
      <formula>AT5="DEF"</formula>
    </cfRule>
    <cfRule type="expression" dxfId="5398" priority="3602">
      <formula>AT5="TE"</formula>
    </cfRule>
    <cfRule type="expression" dxfId="5397" priority="3603">
      <formula>AT5="WR"</formula>
    </cfRule>
    <cfRule type="expression" dxfId="5396" priority="3604">
      <formula>AT5="RB"</formula>
    </cfRule>
    <cfRule type="expression" dxfId="5395" priority="3605">
      <formula>AT5="QB"</formula>
    </cfRule>
  </conditionalFormatting>
  <conditionalFormatting sqref="AR5">
    <cfRule type="expression" dxfId="5394" priority="3606">
      <formula>AT5="K"</formula>
    </cfRule>
    <cfRule type="expression" dxfId="5393" priority="3607">
      <formula>AT5="DEF"</formula>
    </cfRule>
    <cfRule type="expression" dxfId="5392" priority="3608">
      <formula>AT5="TE"</formula>
    </cfRule>
    <cfRule type="expression" dxfId="5391" priority="3609">
      <formula>AT5="WR"</formula>
    </cfRule>
    <cfRule type="expression" dxfId="5390" priority="3610">
      <formula>AT5="RB"</formula>
    </cfRule>
    <cfRule type="expression" dxfId="5389" priority="3611">
      <formula>AT5="QB"</formula>
    </cfRule>
  </conditionalFormatting>
  <conditionalFormatting sqref="AR7">
    <cfRule type="expression" dxfId="5385" priority="3631">
      <formula>AT8="DEF"</formula>
    </cfRule>
    <cfRule type="expression" dxfId="5386" priority="3632">
      <formula>AT8="TE"</formula>
    </cfRule>
    <cfRule type="expression" dxfId="5387" priority="3633">
      <formula>AT8="WR"</formula>
    </cfRule>
    <cfRule type="expression" dxfId="5388" priority="3634">
      <formula>AT8="RB"</formula>
    </cfRule>
    <cfRule type="expression" dxfId="5384" priority="3635">
      <formula>AT8="QB"</formula>
    </cfRule>
  </conditionalFormatting>
  <conditionalFormatting sqref="AR8">
    <cfRule type="expression" dxfId="5379" priority="3636">
      <formula>AT8="K"</formula>
    </cfRule>
    <cfRule type="expression" dxfId="5378" priority="3637">
      <formula>AT8="DEF"</formula>
    </cfRule>
    <cfRule type="expression" dxfId="5383" priority="3638">
      <formula>AT8="TE"</formula>
    </cfRule>
    <cfRule type="expression" dxfId="5382" priority="3639">
      <formula>AT8="WR"</formula>
    </cfRule>
    <cfRule type="expression" dxfId="5381" priority="3640">
      <formula>AT8="RB"</formula>
    </cfRule>
    <cfRule type="expression" dxfId="5380" priority="3641">
      <formula>AT8="QB"</formula>
    </cfRule>
  </conditionalFormatting>
  <conditionalFormatting sqref="AR10">
    <cfRule type="expression" dxfId="5373" priority="3661">
      <formula>AT11="DEF"</formula>
    </cfRule>
    <cfRule type="expression" dxfId="5374" priority="3662">
      <formula>AT11="TE"</formula>
    </cfRule>
    <cfRule type="expression" dxfId="5375" priority="3663">
      <formula>AT11="WR"</formula>
    </cfRule>
    <cfRule type="expression" dxfId="5376" priority="3664">
      <formula>AT11="RB"</formula>
    </cfRule>
    <cfRule type="expression" dxfId="5377" priority="3665">
      <formula>AT11="QB"</formula>
    </cfRule>
  </conditionalFormatting>
  <conditionalFormatting sqref="AR11">
    <cfRule type="expression" dxfId="5371" priority="3666">
      <formula>AT11="K"</formula>
    </cfRule>
    <cfRule type="expression" dxfId="5370" priority="3667">
      <formula>AT11="DEF"</formula>
    </cfRule>
    <cfRule type="expression" dxfId="5372" priority="3668">
      <formula>AT11="TE"</formula>
    </cfRule>
    <cfRule type="expression" dxfId="5367" priority="3669">
      <formula>AT11="WR"</formula>
    </cfRule>
    <cfRule type="expression" dxfId="5368" priority="3670">
      <formula>AT11="RB"</formula>
    </cfRule>
    <cfRule type="expression" dxfId="5369" priority="3671">
      <formula>AT11="QB"</formula>
    </cfRule>
  </conditionalFormatting>
  <conditionalFormatting sqref="AR13">
    <cfRule type="expression" dxfId="5365" priority="3691">
      <formula>AT14="DEF"</formula>
    </cfRule>
    <cfRule type="expression" dxfId="5364" priority="3692">
      <formula>AT14="TE"</formula>
    </cfRule>
    <cfRule type="expression" dxfId="5366" priority="3693">
      <formula>AT14="WR"</formula>
    </cfRule>
    <cfRule type="expression" dxfId="5363" priority="3694">
      <formula>AT14="RB"</formula>
    </cfRule>
    <cfRule type="expression" dxfId="5362" priority="3695">
      <formula>AT14="QB"</formula>
    </cfRule>
  </conditionalFormatting>
  <conditionalFormatting sqref="AR14">
    <cfRule type="expression" dxfId="5357" priority="3696">
      <formula>AT14="K"</formula>
    </cfRule>
    <cfRule type="expression" dxfId="5356" priority="3697">
      <formula>AT14="DEF"</formula>
    </cfRule>
    <cfRule type="expression" dxfId="5361" priority="3698">
      <formula>AT14="TE"</formula>
    </cfRule>
    <cfRule type="expression" dxfId="5360" priority="3699">
      <formula>AT14="WR"</formula>
    </cfRule>
    <cfRule type="expression" dxfId="5359" priority="3700">
      <formula>AT14="RB"</formula>
    </cfRule>
    <cfRule type="expression" dxfId="5358" priority="3701">
      <formula>AT14="QB"</formula>
    </cfRule>
  </conditionalFormatting>
  <conditionalFormatting sqref="AR16">
    <cfRule type="expression" dxfId="5351" priority="3721">
      <formula>AT17="DEF"</formula>
    </cfRule>
    <cfRule type="expression" dxfId="5355" priority="3722">
      <formula>AT17="TE"</formula>
    </cfRule>
    <cfRule type="expression" dxfId="5354" priority="3723">
      <formula>AT17="WR"</formula>
    </cfRule>
    <cfRule type="expression" dxfId="5352" priority="3724">
      <formula>AT17="RB"</formula>
    </cfRule>
    <cfRule type="expression" dxfId="5353" priority="3725">
      <formula>AT17="QB"</formula>
    </cfRule>
  </conditionalFormatting>
  <conditionalFormatting sqref="AR17">
    <cfRule type="expression" dxfId="5348" priority="3726">
      <formula>AT17="K"</formula>
    </cfRule>
    <cfRule type="expression" dxfId="5347" priority="3727">
      <formula>AT17="DEF"</formula>
    </cfRule>
    <cfRule type="expression" dxfId="5346" priority="3728">
      <formula>AT17="TE"</formula>
    </cfRule>
    <cfRule type="expression" dxfId="5345" priority="3729">
      <formula>AT17="WR"</formula>
    </cfRule>
    <cfRule type="expression" dxfId="5349" priority="3730">
      <formula>AT17="RB"</formula>
    </cfRule>
    <cfRule type="expression" dxfId="5350" priority="3731">
      <formula>AT17="QB"</formula>
    </cfRule>
  </conditionalFormatting>
  <conditionalFormatting sqref="AR19">
    <cfRule type="expression" dxfId="5340" priority="3751">
      <formula>AT20="DEF"</formula>
    </cfRule>
    <cfRule type="expression" dxfId="5344" priority="3752">
      <formula>AT20="TE"</formula>
    </cfRule>
    <cfRule type="expression" dxfId="5341" priority="3753">
      <formula>AT20="WR"</formula>
    </cfRule>
    <cfRule type="expression" dxfId="5343" priority="3754">
      <formula>AT20="RB"</formula>
    </cfRule>
    <cfRule type="expression" dxfId="5342" priority="3755">
      <formula>AT20="QB"</formula>
    </cfRule>
  </conditionalFormatting>
  <conditionalFormatting sqref="AR20">
    <cfRule type="expression" dxfId="5339" priority="3756">
      <formula>AT20="K"</formula>
    </cfRule>
    <cfRule type="expression" dxfId="5338" priority="3757">
      <formula>AT20="DEF"</formula>
    </cfRule>
    <cfRule type="expression" dxfId="5337" priority="3758">
      <formula>AT20="TE"</formula>
    </cfRule>
    <cfRule type="expression" dxfId="5334" priority="3759">
      <formula>AT20="WR"</formula>
    </cfRule>
    <cfRule type="expression" dxfId="5336" priority="3760">
      <formula>AT20="RB"</formula>
    </cfRule>
    <cfRule type="expression" dxfId="5335" priority="3761">
      <formula>AT20="QB"</formula>
    </cfRule>
  </conditionalFormatting>
  <conditionalFormatting sqref="AR22">
    <cfRule type="expression" dxfId="5330" priority="3781">
      <formula>AT23="DEF"</formula>
    </cfRule>
    <cfRule type="expression" dxfId="5329" priority="3782">
      <formula>AT23="TE"</formula>
    </cfRule>
    <cfRule type="expression" dxfId="5333" priority="3783">
      <formula>AT23="WR"</formula>
    </cfRule>
    <cfRule type="expression" dxfId="5332" priority="3784">
      <formula>AT23="RB"</formula>
    </cfRule>
    <cfRule type="expression" dxfId="5331" priority="3785">
      <formula>AT23="QB"</formula>
    </cfRule>
  </conditionalFormatting>
  <conditionalFormatting sqref="AR23">
    <cfRule type="expression" dxfId="5325" priority="3786">
      <formula>AT23="K"</formula>
    </cfRule>
    <cfRule type="expression" dxfId="5326" priority="3787">
      <formula>AT23="DEF"</formula>
    </cfRule>
    <cfRule type="expression" dxfId="5327" priority="3788">
      <formula>AT23="TE"</formula>
    </cfRule>
    <cfRule type="expression" dxfId="5328" priority="3789">
      <formula>AT23="WR"</formula>
    </cfRule>
    <cfRule type="expression" dxfId="5323" priority="3790">
      <formula>AT23="RB"</formula>
    </cfRule>
    <cfRule type="expression" dxfId="5324" priority="3791">
      <formula>AT23="QB"</formula>
    </cfRule>
  </conditionalFormatting>
  <conditionalFormatting sqref="AR25">
    <cfRule type="expression" dxfId="5322" priority="3811">
      <formula>AT26="DEF"</formula>
    </cfRule>
    <cfRule type="expression" dxfId="5320" priority="3812">
      <formula>AT26="TE"</formula>
    </cfRule>
    <cfRule type="expression" dxfId="5318" priority="3813">
      <formula>AT26="WR"</formula>
    </cfRule>
    <cfRule type="expression" dxfId="5319" priority="3814">
      <formula>AT26="RB"</formula>
    </cfRule>
    <cfRule type="expression" dxfId="5321" priority="3815">
      <formula>AT26="QB"</formula>
    </cfRule>
  </conditionalFormatting>
  <conditionalFormatting sqref="AR26">
    <cfRule type="expression" dxfId="5314" priority="3816">
      <formula>AT26="K"</formula>
    </cfRule>
    <cfRule type="expression" dxfId="5313" priority="3817">
      <formula>AT26="DEF"</formula>
    </cfRule>
    <cfRule type="expression" dxfId="5312" priority="3818">
      <formula>AT26="TE"</formula>
    </cfRule>
    <cfRule type="expression" dxfId="5317" priority="3819">
      <formula>AT26="WR"</formula>
    </cfRule>
    <cfRule type="expression" dxfId="5316" priority="3820">
      <formula>AT26="RB"</formula>
    </cfRule>
    <cfRule type="expression" dxfId="5315" priority="3821">
      <formula>AT26="QB"</formula>
    </cfRule>
  </conditionalFormatting>
  <conditionalFormatting sqref="AR28">
    <cfRule type="expression" dxfId="5310" priority="3841">
      <formula>AT29="DEF"</formula>
    </cfRule>
    <cfRule type="expression" dxfId="5309" priority="3842">
      <formula>AT29="TE"</formula>
    </cfRule>
    <cfRule type="expression" dxfId="5307" priority="3843">
      <formula>AT29="WR"</formula>
    </cfRule>
    <cfRule type="expression" dxfId="5308" priority="3844">
      <formula>AT29="RB"</formula>
    </cfRule>
    <cfRule type="expression" dxfId="5311" priority="3845">
      <formula>AT29="QB"</formula>
    </cfRule>
  </conditionalFormatting>
  <conditionalFormatting sqref="AR29">
    <cfRule type="expression" dxfId="5306" priority="3846">
      <formula>AT29="K"</formula>
    </cfRule>
    <cfRule type="expression" dxfId="5304" priority="3847">
      <formula>AT29="DEF"</formula>
    </cfRule>
    <cfRule type="expression" dxfId="5303" priority="3848">
      <formula>AT29="TE"</formula>
    </cfRule>
    <cfRule type="expression" dxfId="5302" priority="3849">
      <formula>AT29="WR"</formula>
    </cfRule>
    <cfRule type="expression" dxfId="5301" priority="3850">
      <formula>AT29="RB"</formula>
    </cfRule>
    <cfRule type="expression" dxfId="5305" priority="3851">
      <formula>AT29="QB"</formula>
    </cfRule>
  </conditionalFormatting>
  <conditionalFormatting sqref="AR31">
    <cfRule type="expression" dxfId="5298" priority="3871">
      <formula>AT32="DEF"</formula>
    </cfRule>
    <cfRule type="expression" dxfId="5299" priority="3872">
      <formula>AT32="TE"</formula>
    </cfRule>
    <cfRule type="expression" dxfId="5297" priority="3873">
      <formula>AT32="WR"</formula>
    </cfRule>
    <cfRule type="expression" dxfId="5296" priority="3874">
      <formula>AT32="RB"</formula>
    </cfRule>
    <cfRule type="expression" dxfId="5300" priority="3875">
      <formula>AT32="QB"</formula>
    </cfRule>
  </conditionalFormatting>
  <conditionalFormatting sqref="AR32">
    <cfRule type="expression" dxfId="5294" priority="3876">
      <formula>AT32="K"</formula>
    </cfRule>
    <cfRule type="expression" dxfId="5293" priority="3877">
      <formula>AT32="DEF"</formula>
    </cfRule>
    <cfRule type="expression" dxfId="5292" priority="3878">
      <formula>AT32="TE"</formula>
    </cfRule>
    <cfRule type="expression" dxfId="5295" priority="3879">
      <formula>AT32="WR"</formula>
    </cfRule>
    <cfRule type="expression" dxfId="5291" priority="3880">
      <formula>AT32="RB"</formula>
    </cfRule>
    <cfRule type="expression" dxfId="5290" priority="3881">
      <formula>AT32="QB"</formula>
    </cfRule>
  </conditionalFormatting>
  <conditionalFormatting sqref="AR34">
    <cfRule type="expression" dxfId="5288" priority="3901">
      <formula>AT35="DEF"</formula>
    </cfRule>
    <cfRule type="expression" dxfId="5287" priority="3902">
      <formula>AT35="TE"</formula>
    </cfRule>
    <cfRule type="expression" dxfId="5286" priority="3903">
      <formula>AT35="WR"</formula>
    </cfRule>
    <cfRule type="expression" dxfId="5289" priority="3904">
      <formula>AT35="RB"</formula>
    </cfRule>
    <cfRule type="expression" dxfId="5285" priority="3905">
      <formula>AT35="QB"</formula>
    </cfRule>
  </conditionalFormatting>
  <conditionalFormatting sqref="AR35">
    <cfRule type="expression" dxfId="5284" priority="3906">
      <formula>AT35="K"</formula>
    </cfRule>
    <cfRule type="expression" dxfId="5279" priority="3907">
      <formula>AT35="DEF"</formula>
    </cfRule>
    <cfRule type="expression" dxfId="5283" priority="3908">
      <formula>AT35="TE"</formula>
    </cfRule>
    <cfRule type="expression" dxfId="5282" priority="3909">
      <formula>AT35="WR"</formula>
    </cfRule>
    <cfRule type="expression" dxfId="5281" priority="3910">
      <formula>AT35="RB"</formula>
    </cfRule>
    <cfRule type="expression" dxfId="5280" priority="3911">
      <formula>AT35="QB"</formula>
    </cfRule>
  </conditionalFormatting>
  <conditionalFormatting sqref="AR37">
    <cfRule type="expression" dxfId="5276" priority="3931">
      <formula>AT38="DEF"</formula>
    </cfRule>
    <cfRule type="expression" dxfId="5275" priority="3932">
      <formula>AT38="TE"</formula>
    </cfRule>
    <cfRule type="expression" dxfId="5274" priority="3933">
      <formula>AT38="WR"</formula>
    </cfRule>
    <cfRule type="expression" dxfId="5277" priority="3934">
      <formula>AT38="RB"</formula>
    </cfRule>
    <cfRule type="expression" dxfId="5278" priority="3935">
      <formula>AT38="QB"</formula>
    </cfRule>
  </conditionalFormatting>
  <conditionalFormatting sqref="AR38">
    <cfRule type="expression" dxfId="5272" priority="3936">
      <formula>AT38="K"</formula>
    </cfRule>
    <cfRule type="expression" dxfId="5273" priority="3937">
      <formula>AT38="DEF"</formula>
    </cfRule>
    <cfRule type="expression" dxfId="5268" priority="3938">
      <formula>AT38="TE"</formula>
    </cfRule>
    <cfRule type="expression" dxfId="5271" priority="3939">
      <formula>AT38="WR"</formula>
    </cfRule>
    <cfRule type="expression" dxfId="5270" priority="3940">
      <formula>AT38="RB"</formula>
    </cfRule>
    <cfRule type="expression" dxfId="5269" priority="3941">
      <formula>AT38="QB"</formula>
    </cfRule>
  </conditionalFormatting>
  <conditionalFormatting sqref="AR40">
    <cfRule type="expression" dxfId="5267" priority="3961">
      <formula>AT41="DEF"</formula>
    </cfRule>
    <cfRule type="expression" dxfId="5263" priority="3962">
      <formula>AT41="TE"</formula>
    </cfRule>
    <cfRule type="expression" dxfId="5264" priority="3963">
      <formula>AT41="WR"</formula>
    </cfRule>
    <cfRule type="expression" dxfId="5265" priority="3964">
      <formula>AT41="RB"</formula>
    </cfRule>
    <cfRule type="expression" dxfId="5266" priority="3965">
      <formula>AT41="QB"</formula>
    </cfRule>
  </conditionalFormatting>
  <conditionalFormatting sqref="AR41">
    <cfRule type="expression" dxfId="5257" priority="3966">
      <formula>AT41="K"</formula>
    </cfRule>
    <cfRule type="expression" dxfId="5258" priority="3967">
      <formula>AT41="DEF"</formula>
    </cfRule>
    <cfRule type="expression" dxfId="5259" priority="3968">
      <formula>AT41="TE"</formula>
    </cfRule>
    <cfRule type="expression" dxfId="5260" priority="3969">
      <formula>AT41="WR"</formula>
    </cfRule>
    <cfRule type="expression" dxfId="5261" priority="3970">
      <formula>AT41="RB"</formula>
    </cfRule>
    <cfRule type="expression" dxfId="5262" priority="3971">
      <formula>AT41="QB"</formula>
    </cfRule>
  </conditionalFormatting>
  <conditionalFormatting sqref="AR43">
    <cfRule type="expression" dxfId="5252" priority="3991">
      <formula>AT44="DEF"</formula>
    </cfRule>
    <cfRule type="expression" dxfId="5254" priority="3992">
      <formula>AT44="TE"</formula>
    </cfRule>
    <cfRule type="expression" dxfId="5253" priority="3993">
      <formula>AT44="WR"</formula>
    </cfRule>
    <cfRule type="expression" dxfId="5256" priority="3994">
      <formula>AT44="RB"</formula>
    </cfRule>
    <cfRule type="expression" dxfId="5255" priority="3995">
      <formula>AT44="QB"</formula>
    </cfRule>
  </conditionalFormatting>
  <conditionalFormatting sqref="AR44">
    <cfRule type="expression" dxfId="5251" priority="3996">
      <formula>AT44="K"</formula>
    </cfRule>
    <cfRule type="expression" dxfId="5246" priority="3997">
      <formula>AT44="DEF"</formula>
    </cfRule>
    <cfRule type="expression" dxfId="5250" priority="3998">
      <formula>AT44="TE"</formula>
    </cfRule>
    <cfRule type="expression" dxfId="5249" priority="3999">
      <formula>AT44="WR"</formula>
    </cfRule>
    <cfRule type="expression" dxfId="5248" priority="4000">
      <formula>AT44="RB"</formula>
    </cfRule>
    <cfRule type="expression" dxfId="5247" priority="4001">
      <formula>AT44="QB"</formula>
    </cfRule>
  </conditionalFormatting>
  <conditionalFormatting sqref="AR46">
    <cfRule type="expression" dxfId="5244" priority="4021">
      <formula>AT47="DEF"</formula>
    </cfRule>
    <cfRule type="expression" dxfId="5241" priority="4022">
      <formula>AT47="TE"</formula>
    </cfRule>
    <cfRule type="expression" dxfId="5242" priority="4023">
      <formula>AT47="WR"</formula>
    </cfRule>
    <cfRule type="expression" dxfId="5243" priority="4024">
      <formula>AT47="RB"</formula>
    </cfRule>
    <cfRule type="expression" dxfId="5245" priority="4025">
      <formula>AT47="QB"</formula>
    </cfRule>
  </conditionalFormatting>
  <conditionalFormatting sqref="AR47">
    <cfRule type="expression" dxfId="5237" priority="4026">
      <formula>AT47="K"</formula>
    </cfRule>
    <cfRule type="expression" dxfId="5236" priority="4027">
      <formula>AT47="DEF"</formula>
    </cfRule>
    <cfRule type="expression" dxfId="5235" priority="4028">
      <formula>AT47="TE"</formula>
    </cfRule>
    <cfRule type="expression" dxfId="5240" priority="4029">
      <formula>AT47="WR"</formula>
    </cfRule>
    <cfRule type="expression" dxfId="5239" priority="4030">
      <formula>AT47="RB"</formula>
    </cfRule>
    <cfRule type="expression" dxfId="5238" priority="4031">
      <formula>AT47="QB"</formula>
    </cfRule>
  </conditionalFormatting>
  <conditionalFormatting sqref="AR4:AU4">
    <cfRule type="expression" dxfId="5234" priority="3630">
      <formula>AT5="K"</formula>
    </cfRule>
  </conditionalFormatting>
  <conditionalFormatting sqref="AR7:AU7">
    <cfRule type="expression" dxfId="5233" priority="3660">
      <formula>AT8="K"</formula>
    </cfRule>
  </conditionalFormatting>
  <conditionalFormatting sqref="AR10:AU10">
    <cfRule type="expression" dxfId="5232" priority="3690">
      <formula>AT11="K"</formula>
    </cfRule>
  </conditionalFormatting>
  <conditionalFormatting sqref="AR13:AU13">
    <cfRule type="expression" dxfId="5231" priority="3720">
      <formula>AT14="K"</formula>
    </cfRule>
  </conditionalFormatting>
  <conditionalFormatting sqref="AR16:AU16">
    <cfRule type="expression" dxfId="5230" priority="3750">
      <formula>AT17="K"</formula>
    </cfRule>
  </conditionalFormatting>
  <conditionalFormatting sqref="AR19:AU19">
    <cfRule type="expression" dxfId="5229" priority="3780">
      <formula>AT20="K"</formula>
    </cfRule>
  </conditionalFormatting>
  <conditionalFormatting sqref="AR22:AU22">
    <cfRule type="expression" dxfId="5228" priority="3810">
      <formula>AT23="K"</formula>
    </cfRule>
  </conditionalFormatting>
  <conditionalFormatting sqref="AR25:AU25">
    <cfRule type="expression" dxfId="5227" priority="3840">
      <formula>AT26="K"</formula>
    </cfRule>
  </conditionalFormatting>
  <conditionalFormatting sqref="AR28:AU28">
    <cfRule type="expression" dxfId="5226" priority="3870">
      <formula>AT29="K"</formula>
    </cfRule>
  </conditionalFormatting>
  <conditionalFormatting sqref="AR31:AU31">
    <cfRule type="expression" dxfId="5225" priority="3900">
      <formula>AT32="K"</formula>
    </cfRule>
  </conditionalFormatting>
  <conditionalFormatting sqref="AR34:AU34">
    <cfRule type="expression" dxfId="5224" priority="3930">
      <formula>AT35="K"</formula>
    </cfRule>
  </conditionalFormatting>
  <conditionalFormatting sqref="AR37:AU37">
    <cfRule type="expression" dxfId="5223" priority="3960">
      <formula>AT38="K"</formula>
    </cfRule>
  </conditionalFormatting>
  <conditionalFormatting sqref="AR40:AU40">
    <cfRule type="expression" dxfId="5222" priority="3990">
      <formula>AT41="K"</formula>
    </cfRule>
  </conditionalFormatting>
  <conditionalFormatting sqref="AR43:AU43">
    <cfRule type="expression" dxfId="5221" priority="4020">
      <formula>AT44="K"</formula>
    </cfRule>
  </conditionalFormatting>
  <conditionalFormatting sqref="AR46:AU46">
    <cfRule type="expression" dxfId="5220" priority="4050">
      <formula>AT47="K"</formula>
    </cfRule>
  </conditionalFormatting>
  <conditionalFormatting sqref="AS5">
    <cfRule type="expression" dxfId="5215" priority="3612">
      <formula>AT5="K"</formula>
    </cfRule>
    <cfRule type="expression" dxfId="5218" priority="3613">
      <formula>AT5="DEF"</formula>
    </cfRule>
    <cfRule type="expression" dxfId="5219" priority="3614">
      <formula>AT5="TE"</formula>
    </cfRule>
    <cfRule type="expression" dxfId="5214" priority="3615">
      <formula>AT5="WR"</formula>
    </cfRule>
    <cfRule type="expression" dxfId="5216" priority="3616">
      <formula>AT5="RB"</formula>
    </cfRule>
    <cfRule type="expression" dxfId="5217" priority="3617">
      <formula>AT5="QB"</formula>
    </cfRule>
  </conditionalFormatting>
  <conditionalFormatting sqref="AS8">
    <cfRule type="expression" dxfId="5208" priority="3642">
      <formula>AT8="K"</formula>
    </cfRule>
    <cfRule type="expression" dxfId="5213" priority="3643">
      <formula>AT8="DEF"</formula>
    </cfRule>
    <cfRule type="expression" dxfId="5212" priority="3644">
      <formula>AT8="TE"</formula>
    </cfRule>
    <cfRule type="expression" dxfId="5211" priority="3645">
      <formula>AT8="WR"</formula>
    </cfRule>
    <cfRule type="expression" dxfId="5210" priority="3646">
      <formula>AT8="RB"</formula>
    </cfRule>
    <cfRule type="expression" dxfId="5209" priority="3647">
      <formula>AT8="QB"</formula>
    </cfRule>
  </conditionalFormatting>
  <conditionalFormatting sqref="AS11">
    <cfRule type="expression" dxfId="5202" priority="3672">
      <formula>AT11="K"</formula>
    </cfRule>
    <cfRule type="expression" dxfId="5203" priority="3673">
      <formula>AT11="DEF"</formula>
    </cfRule>
    <cfRule type="expression" dxfId="5207" priority="3674">
      <formula>AT11="TE"</formula>
    </cfRule>
    <cfRule type="expression" dxfId="5206" priority="3675">
      <formula>AT11="WR"</formula>
    </cfRule>
    <cfRule type="expression" dxfId="5205" priority="3676">
      <formula>AT11="RB"</formula>
    </cfRule>
    <cfRule type="expression" dxfId="5204" priority="3677">
      <formula>AT11="QB"</formula>
    </cfRule>
  </conditionalFormatting>
  <conditionalFormatting sqref="AS14">
    <cfRule type="expression" dxfId="5201" priority="3702">
      <formula>AT14="K"</formula>
    </cfRule>
    <cfRule type="expression" dxfId="5200" priority="3703">
      <formula>AT14="DEF"</formula>
    </cfRule>
    <cfRule type="expression" dxfId="5197" priority="3704">
      <formula>AT14="TE"</formula>
    </cfRule>
    <cfRule type="expression" dxfId="5198" priority="3705">
      <formula>AT14="WR"</formula>
    </cfRule>
    <cfRule type="expression" dxfId="5196" priority="3706">
      <formula>AT14="RB"</formula>
    </cfRule>
    <cfRule type="expression" dxfId="5199" priority="3707">
      <formula>AT14="QB"</formula>
    </cfRule>
  </conditionalFormatting>
  <conditionalFormatting sqref="AS17">
    <cfRule type="expression" dxfId="5195" priority="3732">
      <formula>AT17="K"</formula>
    </cfRule>
    <cfRule type="expression" dxfId="5193" priority="3733">
      <formula>AT17="DEF"</formula>
    </cfRule>
    <cfRule type="expression" dxfId="5194" priority="3734">
      <formula>AT17="TE"</formula>
    </cfRule>
    <cfRule type="expression" dxfId="5192" priority="3735">
      <formula>AT17="WR"</formula>
    </cfRule>
    <cfRule type="expression" dxfId="5191" priority="3736">
      <formula>AT17="RB"</formula>
    </cfRule>
    <cfRule type="expression" dxfId="5190" priority="3737">
      <formula>AT17="QB"</formula>
    </cfRule>
  </conditionalFormatting>
  <conditionalFormatting sqref="AS20">
    <cfRule type="expression" dxfId="5184" priority="3762">
      <formula>AT20="K"</formula>
    </cfRule>
    <cfRule type="expression" dxfId="5185" priority="3763">
      <formula>AT20="DEF"</formula>
    </cfRule>
    <cfRule type="expression" dxfId="5186" priority="3764">
      <formula>AT20="TE"</formula>
    </cfRule>
    <cfRule type="expression" dxfId="5187" priority="3765">
      <formula>AT20="WR"</formula>
    </cfRule>
    <cfRule type="expression" dxfId="5188" priority="3766">
      <formula>AT20="RB"</formula>
    </cfRule>
    <cfRule type="expression" dxfId="5189" priority="3767">
      <formula>AT20="QB"</formula>
    </cfRule>
  </conditionalFormatting>
  <conditionalFormatting sqref="AS23">
    <cfRule type="expression" dxfId="5178" priority="3792">
      <formula>AT23="K"</formula>
    </cfRule>
    <cfRule type="expression" dxfId="5183" priority="3793">
      <formula>AT23="DEF"</formula>
    </cfRule>
    <cfRule type="expression" dxfId="5182" priority="3794">
      <formula>AT23="TE"</formula>
    </cfRule>
    <cfRule type="expression" dxfId="5181" priority="3795">
      <formula>AT23="WR"</formula>
    </cfRule>
    <cfRule type="expression" dxfId="5180" priority="3796">
      <formula>AT23="RB"</formula>
    </cfRule>
    <cfRule type="expression" dxfId="5179" priority="3797">
      <formula>AT23="QB"</formula>
    </cfRule>
  </conditionalFormatting>
  <conditionalFormatting sqref="AS26">
    <cfRule type="expression" dxfId="5174" priority="3822">
      <formula>AT26="K"</formula>
    </cfRule>
    <cfRule type="expression" dxfId="5173" priority="3823">
      <formula>AT26="DEF"</formula>
    </cfRule>
    <cfRule type="expression" dxfId="5177" priority="3824">
      <formula>AT26="TE"</formula>
    </cfRule>
    <cfRule type="expression" dxfId="5176" priority="3825">
      <formula>AT26="WR"</formula>
    </cfRule>
    <cfRule type="expression" dxfId="5175" priority="3826">
      <formula>AT26="RB"</formula>
    </cfRule>
    <cfRule type="expression" dxfId="5172" priority="3827">
      <formula>AT26="QB"</formula>
    </cfRule>
  </conditionalFormatting>
  <conditionalFormatting sqref="AS29">
    <cfRule type="expression" dxfId="5171" priority="3852">
      <formula>AT29="K"</formula>
    </cfRule>
    <cfRule type="expression" dxfId="5170" priority="3853">
      <formula>AT29="DEF"</formula>
    </cfRule>
    <cfRule type="expression" dxfId="5169" priority="3854">
      <formula>AT29="TE"</formula>
    </cfRule>
    <cfRule type="expression" dxfId="5168" priority="3855">
      <formula>AT29="WR"</formula>
    </cfRule>
    <cfRule type="expression" dxfId="5166" priority="3856">
      <formula>AT29="RB"</formula>
    </cfRule>
    <cfRule type="expression" dxfId="5167" priority="3857">
      <formula>AT29="QB"</formula>
    </cfRule>
  </conditionalFormatting>
  <conditionalFormatting sqref="AS32">
    <cfRule type="expression" dxfId="5164" priority="3882">
      <formula>AT32="K"</formula>
    </cfRule>
    <cfRule type="expression" dxfId="5165" priority="3883">
      <formula>AT32="DEF"</formula>
    </cfRule>
    <cfRule type="expression" dxfId="5160" priority="3884">
      <formula>AT32="TE"</formula>
    </cfRule>
    <cfRule type="expression" dxfId="5163" priority="3885">
      <formula>AT32="WR"</formula>
    </cfRule>
    <cfRule type="expression" dxfId="5162" priority="3886">
      <formula>AT32="RB"</formula>
    </cfRule>
    <cfRule type="expression" dxfId="5161" priority="3887">
      <formula>AT32="QB"</formula>
    </cfRule>
  </conditionalFormatting>
  <conditionalFormatting sqref="AS35">
    <cfRule type="expression" dxfId="5158" priority="3912">
      <formula>AT35="K"</formula>
    </cfRule>
    <cfRule type="expression" dxfId="5157" priority="3913">
      <formula>AT35="DEF"</formula>
    </cfRule>
    <cfRule type="expression" dxfId="5156" priority="3914">
      <formula>AT35="TE"</formula>
    </cfRule>
    <cfRule type="expression" dxfId="5155" priority="3915">
      <formula>AT35="WR"</formula>
    </cfRule>
    <cfRule type="expression" dxfId="5159" priority="3916">
      <formula>AT35="RB"</formula>
    </cfRule>
    <cfRule type="expression" dxfId="5154" priority="3917">
      <formula>AT35="QB"</formula>
    </cfRule>
  </conditionalFormatting>
  <conditionalFormatting sqref="AS38">
    <cfRule type="expression" dxfId="5150" priority="3942">
      <formula>AT38="K"</formula>
    </cfRule>
    <cfRule type="expression" dxfId="5149" priority="3943">
      <formula>AT38="DEF"</formula>
    </cfRule>
    <cfRule type="expression" dxfId="5148" priority="3944">
      <formula>AT38="TE"</formula>
    </cfRule>
    <cfRule type="expression" dxfId="5153" priority="3945">
      <formula>AT38="WR"</formula>
    </cfRule>
    <cfRule type="expression" dxfId="5151" priority="3946">
      <formula>AT38="RB"</formula>
    </cfRule>
    <cfRule type="expression" dxfId="5152" priority="3947">
      <formula>AT38="QB"</formula>
    </cfRule>
  </conditionalFormatting>
  <conditionalFormatting sqref="AS41">
    <cfRule type="expression" dxfId="5144" priority="3972">
      <formula>AT41="K"</formula>
    </cfRule>
    <cfRule type="expression" dxfId="5145" priority="3973">
      <formula>AT41="DEF"</formula>
    </cfRule>
    <cfRule type="expression" dxfId="5146" priority="3974">
      <formula>AT41="TE"</formula>
    </cfRule>
    <cfRule type="expression" dxfId="5147" priority="3975">
      <formula>AT41="WR"</formula>
    </cfRule>
    <cfRule type="expression" dxfId="5142" priority="3976">
      <formula>AT41="RB"</formula>
    </cfRule>
    <cfRule type="expression" dxfId="5143" priority="3977">
      <formula>AT41="QB"</formula>
    </cfRule>
  </conditionalFormatting>
  <conditionalFormatting sqref="AS44">
    <cfRule type="expression" dxfId="5137" priority="4002">
      <formula>AT44="K"</formula>
    </cfRule>
    <cfRule type="expression" dxfId="5139" priority="4003">
      <formula>AT44="DEF"</formula>
    </cfRule>
    <cfRule type="expression" dxfId="5136" priority="4004">
      <formula>AT44="TE"</formula>
    </cfRule>
    <cfRule type="expression" dxfId="5138" priority="4005">
      <formula>AT44="WR"</formula>
    </cfRule>
    <cfRule type="expression" dxfId="5140" priority="4006">
      <formula>AT44="RB"</formula>
    </cfRule>
    <cfRule type="expression" dxfId="5141" priority="4007">
      <formula>AT44="QB"</formula>
    </cfRule>
  </conditionalFormatting>
  <conditionalFormatting sqref="AS47">
    <cfRule type="expression" dxfId="5131" priority="4032">
      <formula>AT47="K"</formula>
    </cfRule>
    <cfRule type="expression" dxfId="5130" priority="4033">
      <formula>AT47="DEF"</formula>
    </cfRule>
    <cfRule type="expression" dxfId="5135" priority="4034">
      <formula>AT47="TE"</formula>
    </cfRule>
    <cfRule type="expression" dxfId="5134" priority="4035">
      <formula>AT47="WR"</formula>
    </cfRule>
    <cfRule type="expression" dxfId="5132" priority="4036">
      <formula>AT47="RB"</formula>
    </cfRule>
    <cfRule type="expression" dxfId="5133" priority="4037">
      <formula>AT47="QB"</formula>
    </cfRule>
  </conditionalFormatting>
  <conditionalFormatting sqref="AT5">
    <cfRule type="expression" dxfId="5125" priority="3618">
      <formula>AT5="K"</formula>
    </cfRule>
    <cfRule type="expression" dxfId="5129" priority="3619">
      <formula>AT5="DEF"</formula>
    </cfRule>
    <cfRule type="expression" dxfId="5128" priority="3620">
      <formula>AT5="TE"</formula>
    </cfRule>
    <cfRule type="expression" dxfId="5127" priority="3621">
      <formula>AT5="WR"</formula>
    </cfRule>
    <cfRule type="expression" dxfId="5126" priority="3622">
      <formula>AT5="RB"</formula>
    </cfRule>
    <cfRule type="expression" dxfId="5124" priority="3623">
      <formula>AT5="QB"</formula>
    </cfRule>
  </conditionalFormatting>
  <conditionalFormatting sqref="AT8">
    <cfRule type="expression" dxfId="5121" priority="3648">
      <formula>AT8="K"</formula>
    </cfRule>
    <cfRule type="expression" dxfId="5122" priority="3649">
      <formula>AT8="DEF"</formula>
    </cfRule>
    <cfRule type="expression" dxfId="5123" priority="3650">
      <formula>AT8="TE"</formula>
    </cfRule>
    <cfRule type="expression" dxfId="5119" priority="3651">
      <formula>AT8="WR"</formula>
    </cfRule>
    <cfRule type="expression" dxfId="5118" priority="3652">
      <formula>AT8="RB"</formula>
    </cfRule>
    <cfRule type="expression" dxfId="5120" priority="3653">
      <formula>AT8="QB"</formula>
    </cfRule>
  </conditionalFormatting>
  <conditionalFormatting sqref="AT11">
    <cfRule type="expression" dxfId="5117" priority="3678">
      <formula>AT11="K"</formula>
    </cfRule>
    <cfRule type="expression" dxfId="5116" priority="3679">
      <formula>AT11="DEF"</formula>
    </cfRule>
    <cfRule type="expression" dxfId="5113" priority="3680">
      <formula>AT11="TE"</formula>
    </cfRule>
    <cfRule type="expression" dxfId="5115" priority="3681">
      <formula>AT11="WR"</formula>
    </cfRule>
    <cfRule type="expression" dxfId="5112" priority="3682">
      <formula>AT11="RB"</formula>
    </cfRule>
    <cfRule type="expression" dxfId="5114" priority="3683">
      <formula>AT11="QB"</formula>
    </cfRule>
  </conditionalFormatting>
  <conditionalFormatting sqref="AT14">
    <cfRule type="expression" dxfId="5110" priority="3708">
      <formula>AT14="K"</formula>
    </cfRule>
    <cfRule type="expression" dxfId="5111" priority="3709">
      <formula>AT14="DEF"</formula>
    </cfRule>
    <cfRule type="expression" dxfId="5109" priority="3710">
      <formula>AT14="TE"</formula>
    </cfRule>
    <cfRule type="expression" dxfId="5107" priority="3711">
      <formula>AT14="WR"</formula>
    </cfRule>
    <cfRule type="expression" dxfId="5106" priority="3712">
      <formula>AT14="RB"</formula>
    </cfRule>
    <cfRule type="expression" dxfId="5108" priority="3713">
      <formula>AT14="QB"</formula>
    </cfRule>
  </conditionalFormatting>
  <conditionalFormatting sqref="AT17">
    <cfRule type="expression" dxfId="5100" priority="3738">
      <formula>AT17="K"</formula>
    </cfRule>
    <cfRule type="expression" dxfId="5102" priority="3739">
      <formula>AT17="DEF"</formula>
    </cfRule>
    <cfRule type="expression" dxfId="5101" priority="3740">
      <formula>AT17="TE"</formula>
    </cfRule>
    <cfRule type="expression" dxfId="5105" priority="3741">
      <formula>AT17="WR"</formula>
    </cfRule>
    <cfRule type="expression" dxfId="5104" priority="3742">
      <formula>AT17="RB"</formula>
    </cfRule>
    <cfRule type="expression" dxfId="5103" priority="3743">
      <formula>AT17="QB"</formula>
    </cfRule>
  </conditionalFormatting>
  <conditionalFormatting sqref="AT20">
    <cfRule type="expression" dxfId="5094" priority="3768">
      <formula>AT20="K"</formula>
    </cfRule>
    <cfRule type="expression" dxfId="5099" priority="3769">
      <formula>AT20="DEF"</formula>
    </cfRule>
    <cfRule type="expression" dxfId="5098" priority="3770">
      <formula>AT20="TE"</formula>
    </cfRule>
    <cfRule type="expression" dxfId="5097" priority="3771">
      <formula>AT20="WR"</formula>
    </cfRule>
    <cfRule type="expression" dxfId="5095" priority="3772">
      <formula>AT20="RB"</formula>
    </cfRule>
    <cfRule type="expression" dxfId="5096" priority="3773">
      <formula>AT20="QB"</formula>
    </cfRule>
  </conditionalFormatting>
  <conditionalFormatting sqref="AT23">
    <cfRule type="expression" dxfId="5092" priority="3798">
      <formula>AT23="K"</formula>
    </cfRule>
    <cfRule type="expression" dxfId="5093" priority="3799">
      <formula>AT23="DEF"</formula>
    </cfRule>
    <cfRule type="expression" dxfId="5091" priority="3800">
      <formula>AT23="TE"</formula>
    </cfRule>
    <cfRule type="expression" dxfId="5090" priority="3801">
      <formula>AT23="WR"</formula>
    </cfRule>
    <cfRule type="expression" dxfId="5089" priority="3802">
      <formula>AT23="RB"</formula>
    </cfRule>
    <cfRule type="expression" dxfId="5088" priority="3803">
      <formula>AT23="QB"</formula>
    </cfRule>
  </conditionalFormatting>
  <conditionalFormatting sqref="AT26">
    <cfRule type="expression" dxfId="5087" priority="3828">
      <formula>AT26="K"</formula>
    </cfRule>
    <cfRule type="expression" dxfId="5082" priority="3829">
      <formula>AT26="DEF"</formula>
    </cfRule>
    <cfRule type="expression" dxfId="5086" priority="3830">
      <formula>AT26="TE"</formula>
    </cfRule>
    <cfRule type="expression" dxfId="5085" priority="3831">
      <formula>AT26="WR"</formula>
    </cfRule>
    <cfRule type="expression" dxfId="5084" priority="3832">
      <formula>AT26="RB"</formula>
    </cfRule>
    <cfRule type="expression" dxfId="5083" priority="3833">
      <formula>AT26="QB"</formula>
    </cfRule>
  </conditionalFormatting>
  <conditionalFormatting sqref="AT29">
    <cfRule type="expression" dxfId="5079" priority="3858">
      <formula>AT29="K"</formula>
    </cfRule>
    <cfRule type="expression" dxfId="5078" priority="3859">
      <formula>AT29="DEF"</formula>
    </cfRule>
    <cfRule type="expression" dxfId="5076" priority="3860">
      <formula>AT29="TE"</formula>
    </cfRule>
    <cfRule type="expression" dxfId="5081" priority="3861">
      <formula>AT29="WR"</formula>
    </cfRule>
    <cfRule type="expression" dxfId="5077" priority="3862">
      <formula>AT29="RB"</formula>
    </cfRule>
    <cfRule type="expression" dxfId="5080" priority="3863">
      <formula>AT29="QB"</formula>
    </cfRule>
  </conditionalFormatting>
  <conditionalFormatting sqref="AT32">
    <cfRule type="expression" dxfId="5074" priority="3888">
      <formula>AT32="K"</formula>
    </cfRule>
    <cfRule type="expression" dxfId="5070" priority="3889">
      <formula>AT32="DEF"</formula>
    </cfRule>
    <cfRule type="expression" dxfId="5071" priority="3890">
      <formula>AT32="TE"</formula>
    </cfRule>
    <cfRule type="expression" dxfId="5072" priority="3891">
      <formula>AT32="WR"</formula>
    </cfRule>
    <cfRule type="expression" dxfId="5075" priority="3892">
      <formula>AT32="RB"</formula>
    </cfRule>
    <cfRule type="expression" dxfId="5073" priority="3893">
      <formula>AT32="QB"</formula>
    </cfRule>
  </conditionalFormatting>
  <conditionalFormatting sqref="AT35">
    <cfRule type="expression" dxfId="5065" priority="3918">
      <formula>AT35="K"</formula>
    </cfRule>
    <cfRule type="expression" dxfId="5064" priority="3919">
      <formula>AT35="DEF"</formula>
    </cfRule>
    <cfRule type="expression" dxfId="5069" priority="3920">
      <formula>AT35="TE"</formula>
    </cfRule>
    <cfRule type="expression" dxfId="5066" priority="3921">
      <formula>AT35="WR"</formula>
    </cfRule>
    <cfRule type="expression" dxfId="5068" priority="3922">
      <formula>AT35="RB"</formula>
    </cfRule>
    <cfRule type="expression" dxfId="5067" priority="3923">
      <formula>AT35="QB"</formula>
    </cfRule>
  </conditionalFormatting>
  <conditionalFormatting sqref="AT38">
    <cfRule type="expression" dxfId="5062" priority="3948">
      <formula>AT38="K"</formula>
    </cfRule>
    <cfRule type="expression" dxfId="5063" priority="3949">
      <formula>AT38="DEF"</formula>
    </cfRule>
    <cfRule type="expression" dxfId="5058" priority="3950">
      <formula>AT38="TE"</formula>
    </cfRule>
    <cfRule type="expression" dxfId="5059" priority="3951">
      <formula>AT38="WR"</formula>
    </cfRule>
    <cfRule type="expression" dxfId="5060" priority="3952">
      <formula>AT38="RB"</formula>
    </cfRule>
    <cfRule type="expression" dxfId="5061" priority="3953">
      <formula>AT38="QB"</formula>
    </cfRule>
  </conditionalFormatting>
  <conditionalFormatting sqref="AT41">
    <cfRule type="expression" dxfId="5054" priority="3978">
      <formula>AT41="K"</formula>
    </cfRule>
    <cfRule type="expression" dxfId="5053" priority="3979">
      <formula>AT41="DEF"</formula>
    </cfRule>
    <cfRule type="expression" dxfId="5052" priority="3980">
      <formula>AT41="TE"</formula>
    </cfRule>
    <cfRule type="expression" dxfId="5057" priority="3981">
      <formula>AT41="WR"</formula>
    </cfRule>
    <cfRule type="expression" dxfId="5056" priority="3982">
      <formula>AT41="RB"</formula>
    </cfRule>
    <cfRule type="expression" dxfId="5055" priority="3983">
      <formula>AT41="QB"</formula>
    </cfRule>
  </conditionalFormatting>
  <conditionalFormatting sqref="AT44">
    <cfRule type="expression" dxfId="5051" priority="4008">
      <formula>AT44="K"</formula>
    </cfRule>
    <cfRule type="expression" dxfId="5050" priority="4009">
      <formula>AT44="DEF"</formula>
    </cfRule>
    <cfRule type="expression" dxfId="5049" priority="4010">
      <formula>AT44="TE"</formula>
    </cfRule>
    <cfRule type="expression" dxfId="5048" priority="4011">
      <formula>AT44="WR"</formula>
    </cfRule>
    <cfRule type="expression" dxfId="5047" priority="4012">
      <formula>AT44="RB"</formula>
    </cfRule>
    <cfRule type="expression" dxfId="5046" priority="4013">
      <formula>AT44="QB"</formula>
    </cfRule>
  </conditionalFormatting>
  <conditionalFormatting sqref="AT47">
    <cfRule type="expression" dxfId="5045" priority="4038">
      <formula>AT47="K"</formula>
    </cfRule>
    <cfRule type="expression" dxfId="5044" priority="4039">
      <formula>AT47="DEF"</formula>
    </cfRule>
    <cfRule type="expression" dxfId="5043" priority="4040">
      <formula>AT47="TE"</formula>
    </cfRule>
    <cfRule type="expression" dxfId="5042" priority="4041">
      <formula>AT47="WR"</formula>
    </cfRule>
    <cfRule type="expression" dxfId="5041" priority="4042">
      <formula>AT47="RB"</formula>
    </cfRule>
    <cfRule type="expression" dxfId="5040" priority="4043">
      <formula>AT47="QB"</formula>
    </cfRule>
  </conditionalFormatting>
  <conditionalFormatting sqref="AU5">
    <cfRule type="expression" dxfId="5036" priority="3624">
      <formula>AT5="K"</formula>
    </cfRule>
    <cfRule type="expression" dxfId="5037" priority="3625">
      <formula>AT5="DEF"</formula>
    </cfRule>
    <cfRule type="expression" dxfId="5038" priority="3626">
      <formula>AT5="TE"</formula>
    </cfRule>
    <cfRule type="expression" dxfId="5039" priority="3627">
      <formula>AT5="WR"</formula>
    </cfRule>
    <cfRule type="expression" dxfId="5034" priority="3628">
      <formula>AT5="RB"</formula>
    </cfRule>
    <cfRule type="expression" dxfId="5035" priority="3629">
      <formula>AT5="QB"</formula>
    </cfRule>
  </conditionalFormatting>
  <conditionalFormatting sqref="AU8">
    <cfRule type="expression" dxfId="5032" priority="3654">
      <formula>AT8="K"</formula>
    </cfRule>
    <cfRule type="expression" dxfId="5033" priority="3655">
      <formula>AT8="DEF"</formula>
    </cfRule>
    <cfRule type="expression" dxfId="5028" priority="3656">
      <formula>AT8="TE"</formula>
    </cfRule>
    <cfRule type="expression" dxfId="5029" priority="3657">
      <formula>AT8="WR"</formula>
    </cfRule>
    <cfRule type="expression" dxfId="5030" priority="3658">
      <formula>AT8="RB"</formula>
    </cfRule>
    <cfRule type="expression" dxfId="5031" priority="3659">
      <formula>AT8="QB"</formula>
    </cfRule>
  </conditionalFormatting>
  <conditionalFormatting sqref="AU11">
    <cfRule type="expression" dxfId="5023" priority="3684">
      <formula>AT11="K"</formula>
    </cfRule>
    <cfRule type="expression" dxfId="5024" priority="3685">
      <formula>AT11="DEF"</formula>
    </cfRule>
    <cfRule type="expression" dxfId="5025" priority="3686">
      <formula>AT11="TE"</formula>
    </cfRule>
    <cfRule type="expression" dxfId="5022" priority="3687">
      <formula>AT11="WR"</formula>
    </cfRule>
    <cfRule type="expression" dxfId="5027" priority="3688">
      <formula>AT11="RB"</formula>
    </cfRule>
    <cfRule type="expression" dxfId="5026" priority="3689">
      <formula>AT11="QB"</formula>
    </cfRule>
  </conditionalFormatting>
  <conditionalFormatting sqref="AU14">
    <cfRule type="expression" dxfId="5017" priority="3714">
      <formula>AT14="K"</formula>
    </cfRule>
    <cfRule type="expression" dxfId="5018" priority="3715">
      <formula>AT14="DEF"</formula>
    </cfRule>
    <cfRule type="expression" dxfId="5019" priority="3716">
      <formula>AT14="TE"</formula>
    </cfRule>
    <cfRule type="expression" dxfId="5020" priority="3717">
      <formula>AT14="WR"</formula>
    </cfRule>
    <cfRule type="expression" dxfId="5021" priority="3718">
      <formula>AT14="RB"</formula>
    </cfRule>
    <cfRule type="expression" dxfId="5016" priority="3719">
      <formula>AT14="QB"</formula>
    </cfRule>
  </conditionalFormatting>
  <conditionalFormatting sqref="AU17">
    <cfRule type="expression" dxfId="5014" priority="3744">
      <formula>AT17="K"</formula>
    </cfRule>
    <cfRule type="expression" dxfId="5010" priority="3745">
      <formula>AT17="DEF"</formula>
    </cfRule>
    <cfRule type="expression" dxfId="5011" priority="3746">
      <formula>AT17="TE"</formula>
    </cfRule>
    <cfRule type="expression" dxfId="5012" priority="3747">
      <formula>AT17="WR"</formula>
    </cfRule>
    <cfRule type="expression" dxfId="5015" priority="3748">
      <formula>AT17="RB"</formula>
    </cfRule>
    <cfRule type="expression" dxfId="5013" priority="3749">
      <formula>AT17="QB"</formula>
    </cfRule>
  </conditionalFormatting>
  <conditionalFormatting sqref="AU20">
    <cfRule type="expression" dxfId="5004" priority="3774">
      <formula>AT20="K"</formula>
    </cfRule>
    <cfRule type="expression" dxfId="5005" priority="3775">
      <formula>AT20="DEF"</formula>
    </cfRule>
    <cfRule type="expression" dxfId="5006" priority="3776">
      <formula>AT20="TE"</formula>
    </cfRule>
    <cfRule type="expression" dxfId="5007" priority="3777">
      <formula>AT20="WR"</formula>
    </cfRule>
    <cfRule type="expression" dxfId="5008" priority="3778">
      <formula>AT20="RB"</formula>
    </cfRule>
    <cfRule type="expression" dxfId="5009" priority="3779">
      <formula>AT20="QB"</formula>
    </cfRule>
  </conditionalFormatting>
  <conditionalFormatting sqref="AU23">
    <cfRule type="expression" dxfId="5002" priority="3804">
      <formula>AT23="K"</formula>
    </cfRule>
    <cfRule type="expression" dxfId="5001" priority="3805">
      <formula>AT23="DEF"</formula>
    </cfRule>
    <cfRule type="expression" dxfId="5000" priority="3806">
      <formula>AT23="TE"</formula>
    </cfRule>
    <cfRule type="expression" dxfId="4999" priority="3807">
      <formula>AT23="WR"</formula>
    </cfRule>
    <cfRule type="expression" dxfId="4998" priority="3808">
      <formula>AT23="RB"</formula>
    </cfRule>
    <cfRule type="expression" dxfId="5003" priority="3809">
      <formula>AT23="QB"</formula>
    </cfRule>
  </conditionalFormatting>
  <conditionalFormatting sqref="AU26">
    <cfRule type="expression" dxfId="4992" priority="3834">
      <formula>AT26="K"</formula>
    </cfRule>
    <cfRule type="expression" dxfId="4994" priority="3835">
      <formula>AT26="DEF"</formula>
    </cfRule>
    <cfRule type="expression" dxfId="4995" priority="3836">
      <formula>AT26="TE"</formula>
    </cfRule>
    <cfRule type="expression" dxfId="4993" priority="3837">
      <formula>AT26="WR"</formula>
    </cfRule>
    <cfRule type="expression" dxfId="4996" priority="3838">
      <formula>AT26="RB"</formula>
    </cfRule>
    <cfRule type="expression" dxfId="4997" priority="3839">
      <formula>AT26="QB"</formula>
    </cfRule>
  </conditionalFormatting>
  <conditionalFormatting sqref="AU29">
    <cfRule type="expression" dxfId="4990" priority="3864">
      <formula>AT29="K"</formula>
    </cfRule>
    <cfRule type="expression" dxfId="4991" priority="3865">
      <formula>AT29="DEF"</formula>
    </cfRule>
    <cfRule type="expression" dxfId="4989" priority="3866">
      <formula>AT29="TE"</formula>
    </cfRule>
    <cfRule type="expression" dxfId="4988" priority="3867">
      <formula>AT29="WR"</formula>
    </cfRule>
    <cfRule type="expression" dxfId="4987" priority="3868">
      <formula>AT29="RB"</formula>
    </cfRule>
    <cfRule type="expression" dxfId="4986" priority="3869">
      <formula>AT29="QB"</formula>
    </cfRule>
  </conditionalFormatting>
  <conditionalFormatting sqref="AU32">
    <cfRule type="expression" dxfId="4981" priority="3894">
      <formula>AT32="K"</formula>
    </cfRule>
    <cfRule type="expression" dxfId="4982" priority="3895">
      <formula>AT32="DEF"</formula>
    </cfRule>
    <cfRule type="expression" dxfId="4983" priority="3896">
      <formula>AT32="TE"</formula>
    </cfRule>
    <cfRule type="expression" dxfId="4984" priority="3897">
      <formula>AT32="WR"</formula>
    </cfRule>
    <cfRule type="expression" dxfId="4985" priority="3898">
      <formula>AT32="RB"</formula>
    </cfRule>
    <cfRule type="expression" dxfId="4980" priority="3899">
      <formula>AT32="QB"</formula>
    </cfRule>
  </conditionalFormatting>
  <conditionalFormatting sqref="AU35">
    <cfRule type="expression" dxfId="4974" priority="3924">
      <formula>AT35="K"</formula>
    </cfRule>
    <cfRule type="expression" dxfId="4975" priority="3925">
      <formula>AT35="DEF"</formula>
    </cfRule>
    <cfRule type="expression" dxfId="4976" priority="3926">
      <formula>AT35="TE"</formula>
    </cfRule>
    <cfRule type="expression" dxfId="4977" priority="3927">
      <formula>AT35="WR"</formula>
    </cfRule>
    <cfRule type="expression" dxfId="4978" priority="3928">
      <formula>AT35="RB"</formula>
    </cfRule>
    <cfRule type="expression" dxfId="4979" priority="3929">
      <formula>AT35="QB"</formula>
    </cfRule>
  </conditionalFormatting>
  <conditionalFormatting sqref="AU38">
    <cfRule type="expression" dxfId="4973" priority="3954">
      <formula>AT38="K"</formula>
    </cfRule>
    <cfRule type="expression" dxfId="4972" priority="3955">
      <formula>AT38="DEF"</formula>
    </cfRule>
    <cfRule type="expression" dxfId="4971" priority="3956">
      <formula>AT38="TE"</formula>
    </cfRule>
    <cfRule type="expression" dxfId="4970" priority="3957">
      <formula>AT38="WR"</formula>
    </cfRule>
    <cfRule type="expression" dxfId="4969" priority="3958">
      <formula>AT38="RB"</formula>
    </cfRule>
    <cfRule type="expression" dxfId="4968" priority="3959">
      <formula>AT38="QB"</formula>
    </cfRule>
  </conditionalFormatting>
  <conditionalFormatting sqref="AU41">
    <cfRule type="expression" dxfId="4962" priority="3984">
      <formula>AT41="K"</formula>
    </cfRule>
    <cfRule type="expression" dxfId="4967" priority="3985">
      <formula>AT41="DEF"</formula>
    </cfRule>
    <cfRule type="expression" dxfId="4966" priority="3986">
      <formula>AT41="TE"</formula>
    </cfRule>
    <cfRule type="expression" dxfId="4965" priority="3987">
      <formula>AT41="WR"</formula>
    </cfRule>
    <cfRule type="expression" dxfId="4964" priority="3988">
      <formula>AT41="RB"</formula>
    </cfRule>
    <cfRule type="expression" dxfId="4963" priority="3989">
      <formula>AT41="QB"</formula>
    </cfRule>
  </conditionalFormatting>
  <conditionalFormatting sqref="AU44">
    <cfRule type="expression" dxfId="4956" priority="4014">
      <formula>AT44="K"</formula>
    </cfRule>
    <cfRule type="expression" dxfId="4961" priority="4015">
      <formula>AT44="DEF"</formula>
    </cfRule>
    <cfRule type="expression" dxfId="4960" priority="4016">
      <formula>AT44="TE"</formula>
    </cfRule>
    <cfRule type="expression" dxfId="4959" priority="4017">
      <formula>AT44="WR"</formula>
    </cfRule>
    <cfRule type="expression" dxfId="4958" priority="4018">
      <formula>AT44="RB"</formula>
    </cfRule>
    <cfRule type="expression" dxfId="4957" priority="4019">
      <formula>AT44="QB"</formula>
    </cfRule>
  </conditionalFormatting>
  <conditionalFormatting sqref="AU47">
    <cfRule type="expression" dxfId="4955" priority="4044">
      <formula>AT47="K"</formula>
    </cfRule>
    <cfRule type="expression" dxfId="4954" priority="4045">
      <formula>AT47="DEF"</formula>
    </cfRule>
    <cfRule type="expression" dxfId="4953" priority="4046">
      <formula>AT47="TE"</formula>
    </cfRule>
    <cfRule type="expression" dxfId="4952" priority="4047">
      <formula>AT47="WR"</formula>
    </cfRule>
    <cfRule type="expression" dxfId="4951" priority="4048">
      <formula>AT47="RB"</formula>
    </cfRule>
    <cfRule type="expression" dxfId="4950" priority="4049">
      <formula>AT47="QB"</formula>
    </cfRule>
  </conditionalFormatting>
  <conditionalFormatting sqref="AW4">
    <cfRule type="expression" dxfId="4949" priority="4051">
      <formula>AY5="DEF"</formula>
    </cfRule>
    <cfRule type="expression" dxfId="4948" priority="4052">
      <formula>AY5="TE"</formula>
    </cfRule>
    <cfRule type="expression" dxfId="4947" priority="4053">
      <formula>AY5="WR"</formula>
    </cfRule>
    <cfRule type="expression" dxfId="4946" priority="4054">
      <formula>AY5="RB"</formula>
    </cfRule>
    <cfRule type="expression" dxfId="4945" priority="4055">
      <formula>AY5="QB"</formula>
    </cfRule>
  </conditionalFormatting>
  <conditionalFormatting sqref="AW5">
    <cfRule type="expression" dxfId="4944" priority="4056">
      <formula>AY5="K"</formula>
    </cfRule>
    <cfRule type="expression" dxfId="4943" priority="4057">
      <formula>AY5="DEF"</formula>
    </cfRule>
    <cfRule type="expression" dxfId="4942" priority="4058">
      <formula>AY5="TE"</formula>
    </cfRule>
    <cfRule type="expression" dxfId="4941" priority="4059">
      <formula>AY5="WR"</formula>
    </cfRule>
    <cfRule type="expression" dxfId="4940" priority="4060">
      <formula>AY5="RB"</formula>
    </cfRule>
    <cfRule type="expression" dxfId="4939" priority="4061">
      <formula>AY5="QB"</formula>
    </cfRule>
  </conditionalFormatting>
  <conditionalFormatting sqref="AW7">
    <cfRule type="expression" dxfId="4936" priority="4081">
      <formula>AY8="DEF"</formula>
    </cfRule>
    <cfRule type="expression" dxfId="4937" priority="4082">
      <formula>AY8="TE"</formula>
    </cfRule>
    <cfRule type="expression" dxfId="4938" priority="4083">
      <formula>AY8="WR"</formula>
    </cfRule>
    <cfRule type="expression" dxfId="4934" priority="4084">
      <formula>AY8="RB"</formula>
    </cfRule>
    <cfRule type="expression" dxfId="4935" priority="4085">
      <formula>AY8="QB"</formula>
    </cfRule>
  </conditionalFormatting>
  <conditionalFormatting sqref="AW8">
    <cfRule type="expression" dxfId="4932" priority="4086">
      <formula>AY8="K"</formula>
    </cfRule>
    <cfRule type="expression" dxfId="4931" priority="4087">
      <formula>AY8="DEF"</formula>
    </cfRule>
    <cfRule type="expression" dxfId="4930" priority="4088">
      <formula>AY8="TE"</formula>
    </cfRule>
    <cfRule type="expression" dxfId="4929" priority="4089">
      <formula>AY8="WR"</formula>
    </cfRule>
    <cfRule type="expression" dxfId="4933" priority="4090">
      <formula>AY8="RB"</formula>
    </cfRule>
    <cfRule type="expression" dxfId="4928" priority="4091">
      <formula>AY8="QB"</formula>
    </cfRule>
  </conditionalFormatting>
  <conditionalFormatting sqref="AW10">
    <cfRule type="expression" dxfId="4923" priority="4111">
      <formula>AY11="DEF"</formula>
    </cfRule>
    <cfRule type="expression" dxfId="4924" priority="4112">
      <formula>AY11="TE"</formula>
    </cfRule>
    <cfRule type="expression" dxfId="4925" priority="4113">
      <formula>AY11="WR"</formula>
    </cfRule>
    <cfRule type="expression" dxfId="4926" priority="4114">
      <formula>AY11="RB"</formula>
    </cfRule>
    <cfRule type="expression" dxfId="4927" priority="4115">
      <formula>AY11="QB"</formula>
    </cfRule>
  </conditionalFormatting>
  <conditionalFormatting sqref="AW11">
    <cfRule type="expression" dxfId="4918" priority="4116">
      <formula>AY11="K"</formula>
    </cfRule>
    <cfRule type="expression" dxfId="4922" priority="4117">
      <formula>AY11="DEF"</formula>
    </cfRule>
    <cfRule type="expression" dxfId="4919" priority="4118">
      <formula>AY11="TE"</formula>
    </cfRule>
    <cfRule type="expression" dxfId="4920" priority="4119">
      <formula>AY11="WR"</formula>
    </cfRule>
    <cfRule type="expression" dxfId="4921" priority="4120">
      <formula>AY11="RB"</formula>
    </cfRule>
    <cfRule type="expression" dxfId="4917" priority="4121">
      <formula>AY11="QB"</formula>
    </cfRule>
  </conditionalFormatting>
  <conditionalFormatting sqref="AW13">
    <cfRule type="expression" dxfId="4912" priority="4141">
      <formula>AY14="DEF"</formula>
    </cfRule>
    <cfRule type="expression" dxfId="4914" priority="4142">
      <formula>AY14="TE"</formula>
    </cfRule>
    <cfRule type="expression" dxfId="4915" priority="4143">
      <formula>AY14="WR"</formula>
    </cfRule>
    <cfRule type="expression" dxfId="4916" priority="4144">
      <formula>AY14="RB"</formula>
    </cfRule>
    <cfRule type="expression" dxfId="4913" priority="4145">
      <formula>AY14="QB"</formula>
    </cfRule>
  </conditionalFormatting>
  <conditionalFormatting sqref="AW14">
    <cfRule type="expression" dxfId="4909" priority="4146">
      <formula>AY14="K"</formula>
    </cfRule>
    <cfRule type="expression" dxfId="4910" priority="4147">
      <formula>AY14="DEF"</formula>
    </cfRule>
    <cfRule type="expression" dxfId="4911" priority="4148">
      <formula>AY14="TE"</formula>
    </cfRule>
    <cfRule type="expression" dxfId="4908" priority="4149">
      <formula>AY14="WR"</formula>
    </cfRule>
    <cfRule type="expression" dxfId="4907" priority="4150">
      <formula>AY14="RB"</formula>
    </cfRule>
    <cfRule type="expression" dxfId="4906" priority="4151">
      <formula>AY14="QB"</formula>
    </cfRule>
  </conditionalFormatting>
  <conditionalFormatting sqref="AW16">
    <cfRule type="expression" dxfId="4904" priority="4171">
      <formula>AY17="DEF"</formula>
    </cfRule>
    <cfRule type="expression" dxfId="4903" priority="4172">
      <formula>AY17="TE"</formula>
    </cfRule>
    <cfRule type="expression" dxfId="4902" priority="4173">
      <formula>AY17="WR"</formula>
    </cfRule>
    <cfRule type="expression" dxfId="4905" priority="4174">
      <formula>AY17="RB"</formula>
    </cfRule>
    <cfRule type="expression" dxfId="4901" priority="4175">
      <formula>AY17="QB"</formula>
    </cfRule>
  </conditionalFormatting>
  <conditionalFormatting sqref="AW17">
    <cfRule type="expression" dxfId="4900" priority="4176">
      <formula>AY17="K"</formula>
    </cfRule>
    <cfRule type="expression" dxfId="4899" priority="4177">
      <formula>AY17="DEF"</formula>
    </cfRule>
    <cfRule type="expression" dxfId="4898" priority="4178">
      <formula>AY17="TE"</formula>
    </cfRule>
    <cfRule type="expression" dxfId="4897" priority="4179">
      <formula>AY17="WR"</formula>
    </cfRule>
    <cfRule type="expression" dxfId="4896" priority="4180">
      <formula>AY17="RB"</formula>
    </cfRule>
    <cfRule type="expression" dxfId="4895" priority="4181">
      <formula>AY17="QB"</formula>
    </cfRule>
  </conditionalFormatting>
  <conditionalFormatting sqref="AW19">
    <cfRule type="expression" dxfId="4892" priority="4201">
      <formula>AY20="DEF"</formula>
    </cfRule>
    <cfRule type="expression" dxfId="4891" priority="4202">
      <formula>AY20="TE"</formula>
    </cfRule>
    <cfRule type="expression" dxfId="4890" priority="4203">
      <formula>AY20="WR"</formula>
    </cfRule>
    <cfRule type="expression" dxfId="4894" priority="4204">
      <formula>AY20="RB"</formula>
    </cfRule>
    <cfRule type="expression" dxfId="4893" priority="4205">
      <formula>AY20="QB"</formula>
    </cfRule>
  </conditionalFormatting>
  <conditionalFormatting sqref="AW20">
    <cfRule type="expression" dxfId="4884" priority="4206">
      <formula>AY20="K"</formula>
    </cfRule>
    <cfRule type="expression" dxfId="4889" priority="4207">
      <formula>AY20="DEF"</formula>
    </cfRule>
    <cfRule type="expression" dxfId="4888" priority="4208">
      <formula>AY20="TE"</formula>
    </cfRule>
    <cfRule type="expression" dxfId="4887" priority="4209">
      <formula>AY20="WR"</formula>
    </cfRule>
    <cfRule type="expression" dxfId="4885" priority="4210">
      <formula>AY20="RB"</formula>
    </cfRule>
    <cfRule type="expression" dxfId="4886" priority="4211">
      <formula>AY20="QB"</formula>
    </cfRule>
  </conditionalFormatting>
  <conditionalFormatting sqref="AW22">
    <cfRule type="expression" dxfId="4883" priority="4231">
      <formula>AY23="DEF"</formula>
    </cfRule>
    <cfRule type="expression" dxfId="4879" priority="4232">
      <formula>AY23="TE"</formula>
    </cfRule>
    <cfRule type="expression" dxfId="4880" priority="4233">
      <formula>AY23="WR"</formula>
    </cfRule>
    <cfRule type="expression" dxfId="4881" priority="4234">
      <formula>AY23="RB"</formula>
    </cfRule>
    <cfRule type="expression" dxfId="4882" priority="4235">
      <formula>AY23="QB"</formula>
    </cfRule>
  </conditionalFormatting>
  <conditionalFormatting sqref="AW23">
    <cfRule type="expression" dxfId="4873" priority="4236">
      <formula>AY23="K"</formula>
    </cfRule>
    <cfRule type="expression" dxfId="4874" priority="4237">
      <formula>AY23="DEF"</formula>
    </cfRule>
    <cfRule type="expression" dxfId="4875" priority="4238">
      <formula>AY23="TE"</formula>
    </cfRule>
    <cfRule type="expression" dxfId="4876" priority="4239">
      <formula>AY23="WR"</formula>
    </cfRule>
    <cfRule type="expression" dxfId="4877" priority="4240">
      <formula>AY23="RB"</formula>
    </cfRule>
    <cfRule type="expression" dxfId="4878" priority="4241">
      <formula>AY23="QB"</formula>
    </cfRule>
  </conditionalFormatting>
  <conditionalFormatting sqref="AW25">
    <cfRule type="expression" dxfId="4872" priority="4261">
      <formula>AY26="DEF"</formula>
    </cfRule>
    <cfRule type="expression" dxfId="4871" priority="4262">
      <formula>AY26="TE"</formula>
    </cfRule>
    <cfRule type="expression" dxfId="4870" priority="4263">
      <formula>AY26="WR"</formula>
    </cfRule>
    <cfRule type="expression" dxfId="4869" priority="4264">
      <formula>AY26="RB"</formula>
    </cfRule>
    <cfRule type="expression" dxfId="4868" priority="4265">
      <formula>AY26="QB"</formula>
    </cfRule>
  </conditionalFormatting>
  <conditionalFormatting sqref="AW26">
    <cfRule type="expression" dxfId="4866" priority="4266">
      <formula>AY26="K"</formula>
    </cfRule>
    <cfRule type="expression" dxfId="4865" priority="4267">
      <formula>AY26="DEF"</formula>
    </cfRule>
    <cfRule type="expression" dxfId="4864" priority="4268">
      <formula>AY26="TE"</formula>
    </cfRule>
    <cfRule type="expression" dxfId="4862" priority="4269">
      <formula>AY26="WR"</formula>
    </cfRule>
    <cfRule type="expression" dxfId="4863" priority="4270">
      <formula>AY26="RB"</formula>
    </cfRule>
    <cfRule type="expression" dxfId="4867" priority="4271">
      <formula>AY26="QB"</formula>
    </cfRule>
  </conditionalFormatting>
  <conditionalFormatting sqref="AW28">
    <cfRule type="expression" dxfId="4857" priority="4291">
      <formula>AY29="DEF"</formula>
    </cfRule>
    <cfRule type="expression" dxfId="4858" priority="4292">
      <formula>AY29="TE"</formula>
    </cfRule>
    <cfRule type="expression" dxfId="4859" priority="4293">
      <formula>AY29="WR"</formula>
    </cfRule>
    <cfRule type="expression" dxfId="4860" priority="4294">
      <formula>AY29="RB"</formula>
    </cfRule>
    <cfRule type="expression" dxfId="4861" priority="4295">
      <formula>AY29="QB"</formula>
    </cfRule>
  </conditionalFormatting>
  <conditionalFormatting sqref="AW29">
    <cfRule type="expression" dxfId="4852" priority="4296">
      <formula>AY29="K"</formula>
    </cfRule>
    <cfRule type="expression" dxfId="4853" priority="4297">
      <formula>AY29="DEF"</formula>
    </cfRule>
    <cfRule type="expression" dxfId="4854" priority="4298">
      <formula>AY29="TE"</formula>
    </cfRule>
    <cfRule type="expression" dxfId="4855" priority="4299">
      <formula>AY29="WR"</formula>
    </cfRule>
    <cfRule type="expression" dxfId="4856" priority="4300">
      <formula>AY29="RB"</formula>
    </cfRule>
    <cfRule type="expression" dxfId="4851" priority="4301">
      <formula>AY29="QB"</formula>
    </cfRule>
  </conditionalFormatting>
  <conditionalFormatting sqref="AW31">
    <cfRule type="expression" dxfId="4847" priority="4321">
      <formula>AY32="DEF"</formula>
    </cfRule>
    <cfRule type="expression" dxfId="4848" priority="4322">
      <formula>AY32="TE"</formula>
    </cfRule>
    <cfRule type="expression" dxfId="4849" priority="4323">
      <formula>AY32="WR"</formula>
    </cfRule>
    <cfRule type="expression" dxfId="4850" priority="4324">
      <formula>AY32="RB"</formula>
    </cfRule>
    <cfRule type="expression" dxfId="4846" priority="4325">
      <formula>AY32="QB"</formula>
    </cfRule>
  </conditionalFormatting>
  <conditionalFormatting sqref="AW32">
    <cfRule type="expression" dxfId="4843" priority="4326">
      <formula>AY32="K"</formula>
    </cfRule>
    <cfRule type="expression" dxfId="4841" priority="4327">
      <formula>AY32="DEF"</formula>
    </cfRule>
    <cfRule type="expression" dxfId="4840" priority="4328">
      <formula>AY32="TE"</formula>
    </cfRule>
    <cfRule type="expression" dxfId="4842" priority="4329">
      <formula>AY32="WR"</formula>
    </cfRule>
    <cfRule type="expression" dxfId="4845" priority="4330">
      <formula>AY32="RB"</formula>
    </cfRule>
    <cfRule type="expression" dxfId="4844" priority="4331">
      <formula>AY32="QB"</formula>
    </cfRule>
  </conditionalFormatting>
  <conditionalFormatting sqref="AW34">
    <cfRule type="expression" dxfId="4839" priority="4351">
      <formula>AY35="DEF"</formula>
    </cfRule>
    <cfRule type="expression" dxfId="4838" priority="4352">
      <formula>AY35="TE"</formula>
    </cfRule>
    <cfRule type="expression" dxfId="4837" priority="4353">
      <formula>AY35="WR"</formula>
    </cfRule>
    <cfRule type="expression" dxfId="4836" priority="4354">
      <formula>AY35="RB"</formula>
    </cfRule>
    <cfRule type="expression" dxfId="4835" priority="4355">
      <formula>AY35="QB"</formula>
    </cfRule>
  </conditionalFormatting>
  <conditionalFormatting sqref="AW35">
    <cfRule type="expression" dxfId="4834" priority="4356">
      <formula>AY35="K"</formula>
    </cfRule>
    <cfRule type="expression" dxfId="4833" priority="4357">
      <formula>AY35="DEF"</formula>
    </cfRule>
    <cfRule type="expression" dxfId="4832" priority="4358">
      <formula>AY35="TE"</formula>
    </cfRule>
    <cfRule type="expression" dxfId="4831" priority="4359">
      <formula>AY35="WR"</formula>
    </cfRule>
    <cfRule type="expression" dxfId="4830" priority="4360">
      <formula>AY35="RB"</formula>
    </cfRule>
    <cfRule type="expression" dxfId="4829" priority="4361">
      <formula>AY35="QB"</formula>
    </cfRule>
  </conditionalFormatting>
  <conditionalFormatting sqref="AW37">
    <cfRule type="expression" dxfId="4828" priority="4381">
      <formula>AY38="DEF"</formula>
    </cfRule>
    <cfRule type="expression" dxfId="4826" priority="4382">
      <formula>AY38="TE"</formula>
    </cfRule>
    <cfRule type="expression" dxfId="4827" priority="4383">
      <formula>AY38="WR"</formula>
    </cfRule>
    <cfRule type="expression" dxfId="4825" priority="4384">
      <formula>AY38="RB"</formula>
    </cfRule>
    <cfRule type="expression" dxfId="4824" priority="4385">
      <formula>AY38="QB"</formula>
    </cfRule>
  </conditionalFormatting>
  <conditionalFormatting sqref="AW38">
    <cfRule type="expression" dxfId="4823" priority="4386">
      <formula>AY38="K"</formula>
    </cfRule>
    <cfRule type="expression" dxfId="4822" priority="4387">
      <formula>AY38="DEF"</formula>
    </cfRule>
    <cfRule type="expression" dxfId="4821" priority="4388">
      <formula>AY38="TE"</formula>
    </cfRule>
    <cfRule type="expression" dxfId="4820" priority="4389">
      <formula>AY38="WR"</formula>
    </cfRule>
    <cfRule type="expression" dxfId="4819" priority="4390">
      <formula>AY38="RB"</formula>
    </cfRule>
    <cfRule type="expression" dxfId="4818" priority="4391">
      <formula>AY38="QB"</formula>
    </cfRule>
  </conditionalFormatting>
  <conditionalFormatting sqref="AW40">
    <cfRule type="expression" dxfId="4817" priority="4411">
      <formula>AY41="DEF"</formula>
    </cfRule>
    <cfRule type="expression" dxfId="4813" priority="4412">
      <formula>AY41="TE"</formula>
    </cfRule>
    <cfRule type="expression" dxfId="4814" priority="4413">
      <formula>AY41="WR"</formula>
    </cfRule>
    <cfRule type="expression" dxfId="4815" priority="4414">
      <formula>AY41="RB"</formula>
    </cfRule>
    <cfRule type="expression" dxfId="4816" priority="4415">
      <formula>AY41="QB"</formula>
    </cfRule>
  </conditionalFormatting>
  <conditionalFormatting sqref="AW41">
    <cfRule type="expression" dxfId="4807" priority="4416">
      <formula>AY41="K"</formula>
    </cfRule>
    <cfRule type="expression" dxfId="4809" priority="4417">
      <formula>AY41="DEF"</formula>
    </cfRule>
    <cfRule type="expression" dxfId="4810" priority="4418">
      <formula>AY41="TE"</formula>
    </cfRule>
    <cfRule type="expression" dxfId="4811" priority="4419">
      <formula>AY41="WR"</formula>
    </cfRule>
    <cfRule type="expression" dxfId="4812" priority="4420">
      <formula>AY41="RB"</formula>
    </cfRule>
    <cfRule type="expression" dxfId="4808" priority="4421">
      <formula>AY41="QB"</formula>
    </cfRule>
  </conditionalFormatting>
  <conditionalFormatting sqref="AW43">
    <cfRule type="expression" dxfId="4804" priority="4441">
      <formula>AY44="DEF"</formula>
    </cfRule>
    <cfRule type="expression" dxfId="4803" priority="4442">
      <formula>AY44="TE"</formula>
    </cfRule>
    <cfRule type="expression" dxfId="4805" priority="4443">
      <formula>AY44="WR"</formula>
    </cfRule>
    <cfRule type="expression" dxfId="4802" priority="4444">
      <formula>AY44="RB"</formula>
    </cfRule>
    <cfRule type="expression" dxfId="4806" priority="4445">
      <formula>AY44="QB"</formula>
    </cfRule>
  </conditionalFormatting>
  <conditionalFormatting sqref="AW44">
    <cfRule type="expression" dxfId="4796" priority="4446">
      <formula>AY44="K"</formula>
    </cfRule>
    <cfRule type="expression" dxfId="4797" priority="4447">
      <formula>AY44="DEF"</formula>
    </cfRule>
    <cfRule type="expression" dxfId="4798" priority="4448">
      <formula>AY44="TE"</formula>
    </cfRule>
    <cfRule type="expression" dxfId="4799" priority="4449">
      <formula>AY44="WR"</formula>
    </cfRule>
    <cfRule type="expression" dxfId="4801" priority="4450">
      <formula>AY44="RB"</formula>
    </cfRule>
    <cfRule type="expression" dxfId="4800" priority="4451">
      <formula>AY44="QB"</formula>
    </cfRule>
  </conditionalFormatting>
  <conditionalFormatting sqref="AW46">
    <cfRule type="expression" dxfId="4794" priority="4471">
      <formula>AY47="DEF"</formula>
    </cfRule>
    <cfRule type="expression" dxfId="4795" priority="4472">
      <formula>AY47="TE"</formula>
    </cfRule>
    <cfRule type="expression" dxfId="4791" priority="4473">
      <formula>AY47="WR"</formula>
    </cfRule>
    <cfRule type="expression" dxfId="4792" priority="4474">
      <formula>AY47="RB"</formula>
    </cfRule>
    <cfRule type="expression" dxfId="4793" priority="4475">
      <formula>AY47="QB"</formula>
    </cfRule>
  </conditionalFormatting>
  <conditionalFormatting sqref="AW47">
    <cfRule type="expression" dxfId="4785" priority="4476">
      <formula>AY47="K"</formula>
    </cfRule>
    <cfRule type="expression" dxfId="4786" priority="4477">
      <formula>AY47="DEF"</formula>
    </cfRule>
    <cfRule type="expression" dxfId="4787" priority="4478">
      <formula>AY47="TE"</formula>
    </cfRule>
    <cfRule type="expression" dxfId="4788" priority="4479">
      <formula>AY47="WR"</formula>
    </cfRule>
    <cfRule type="expression" dxfId="4789" priority="4480">
      <formula>AY47="RB"</formula>
    </cfRule>
    <cfRule type="expression" dxfId="4790" priority="4481">
      <formula>AY47="QB"</formula>
    </cfRule>
  </conditionalFormatting>
  <conditionalFormatting sqref="AW4:AZ4">
    <cfRule type="expression" dxfId="4784" priority="4080">
      <formula>AY5="K"</formula>
    </cfRule>
  </conditionalFormatting>
  <conditionalFormatting sqref="AW7:AZ7">
    <cfRule type="expression" dxfId="4783" priority="4110">
      <formula>AY8="K"</formula>
    </cfRule>
  </conditionalFormatting>
  <conditionalFormatting sqref="AW10:AZ10">
    <cfRule type="expression" dxfId="4782" priority="4140">
      <formula>AY11="K"</formula>
    </cfRule>
  </conditionalFormatting>
  <conditionalFormatting sqref="AW13:AZ13">
    <cfRule type="expression" dxfId="4781" priority="4170">
      <formula>AY14="K"</formula>
    </cfRule>
  </conditionalFormatting>
  <conditionalFormatting sqref="AW16:AZ16">
    <cfRule type="expression" dxfId="4780" priority="4200">
      <formula>AY17="K"</formula>
    </cfRule>
  </conditionalFormatting>
  <conditionalFormatting sqref="AW19:AZ19">
    <cfRule type="expression" dxfId="4779" priority="4230">
      <formula>AY20="K"</formula>
    </cfRule>
  </conditionalFormatting>
  <conditionalFormatting sqref="AW22:AZ22">
    <cfRule type="expression" dxfId="4778" priority="4260">
      <formula>AY23="K"</formula>
    </cfRule>
  </conditionalFormatting>
  <conditionalFormatting sqref="AW25:AZ25">
    <cfRule type="expression" dxfId="4777" priority="4290">
      <formula>AY26="K"</formula>
    </cfRule>
  </conditionalFormatting>
  <conditionalFormatting sqref="AW28:AZ28">
    <cfRule type="expression" dxfId="4776" priority="4320">
      <formula>AY29="K"</formula>
    </cfRule>
  </conditionalFormatting>
  <conditionalFormatting sqref="AW31:AZ31">
    <cfRule type="expression" dxfId="4775" priority="4350">
      <formula>AY32="K"</formula>
    </cfRule>
  </conditionalFormatting>
  <conditionalFormatting sqref="AW34:AZ34">
    <cfRule type="expression" dxfId="4774" priority="4380">
      <formula>AY35="K"</formula>
    </cfRule>
  </conditionalFormatting>
  <conditionalFormatting sqref="AW37:AZ37">
    <cfRule type="expression" dxfId="4773" priority="4410">
      <formula>AY38="K"</formula>
    </cfRule>
  </conditionalFormatting>
  <conditionalFormatting sqref="AW40:AZ40">
    <cfRule type="expression" dxfId="4772" priority="4440">
      <formula>AY41="K"</formula>
    </cfRule>
  </conditionalFormatting>
  <conditionalFormatting sqref="AW43:AZ43">
    <cfRule type="expression" dxfId="4771" priority="4470">
      <formula>AY44="K"</formula>
    </cfRule>
  </conditionalFormatting>
  <conditionalFormatting sqref="AW46:AZ46">
    <cfRule type="expression" dxfId="4770" priority="4500">
      <formula>AY47="K"</formula>
    </cfRule>
  </conditionalFormatting>
  <conditionalFormatting sqref="AX5">
    <cfRule type="expression" dxfId="4764" priority="4062">
      <formula>AY5="K"</formula>
    </cfRule>
    <cfRule type="expression" dxfId="4769" priority="4063">
      <formula>AY5="DEF"</formula>
    </cfRule>
    <cfRule type="expression" dxfId="4768" priority="4064">
      <formula>AY5="TE"</formula>
    </cfRule>
    <cfRule type="expression" dxfId="4767" priority="4065">
      <formula>AY5="WR"</formula>
    </cfRule>
    <cfRule type="expression" dxfId="4766" priority="4066">
      <formula>AY5="RB"</formula>
    </cfRule>
    <cfRule type="expression" dxfId="4765" priority="4067">
      <formula>AY5="QB"</formula>
    </cfRule>
  </conditionalFormatting>
  <conditionalFormatting sqref="AX8">
    <cfRule type="expression" dxfId="4762" priority="4092">
      <formula>AY8="K"</formula>
    </cfRule>
    <cfRule type="expression" dxfId="4761" priority="4093">
      <formula>AY8="DEF"</formula>
    </cfRule>
    <cfRule type="expression" dxfId="4763" priority="4094">
      <formula>AY8="TE"</formula>
    </cfRule>
    <cfRule type="expression" dxfId="4759" priority="4095">
      <formula>AY8="WR"</formula>
    </cfRule>
    <cfRule type="expression" dxfId="4760" priority="4096">
      <formula>AY8="RB"</formula>
    </cfRule>
    <cfRule type="expression" dxfId="4758" priority="4097">
      <formula>AY8="QB"</formula>
    </cfRule>
  </conditionalFormatting>
  <conditionalFormatting sqref="AX11">
    <cfRule type="expression" dxfId="4753" priority="4122">
      <formula>AY11="K"</formula>
    </cfRule>
    <cfRule type="expression" dxfId="4757" priority="4123">
      <formula>AY11="DEF"</formula>
    </cfRule>
    <cfRule type="expression" dxfId="4756" priority="4124">
      <formula>AY11="TE"</formula>
    </cfRule>
    <cfRule type="expression" dxfId="4755" priority="4125">
      <formula>AY11="WR"</formula>
    </cfRule>
    <cfRule type="expression" dxfId="4752" priority="4126">
      <formula>AY11="RB"</formula>
    </cfRule>
    <cfRule type="expression" dxfId="4754" priority="4127">
      <formula>AY11="QB"</formula>
    </cfRule>
  </conditionalFormatting>
  <conditionalFormatting sqref="AX14">
    <cfRule type="expression" dxfId="4751" priority="4152">
      <formula>AY14="K"</formula>
    </cfRule>
    <cfRule type="expression" dxfId="4750" priority="4153">
      <formula>AY14="DEF"</formula>
    </cfRule>
    <cfRule type="expression" dxfId="4749" priority="4154">
      <formula>AY14="TE"</formula>
    </cfRule>
    <cfRule type="expression" dxfId="4748" priority="4155">
      <formula>AY14="WR"</formula>
    </cfRule>
    <cfRule type="expression" dxfId="4747" priority="4156">
      <formula>AY14="RB"</formula>
    </cfRule>
    <cfRule type="expression" dxfId="4746" priority="4157">
      <formula>AY14="QB"</formula>
    </cfRule>
  </conditionalFormatting>
  <conditionalFormatting sqref="AX17">
    <cfRule type="expression" dxfId="4740" priority="4182">
      <formula>AY17="K"</formula>
    </cfRule>
    <cfRule type="expression" dxfId="4745" priority="4183">
      <formula>AY17="DEF"</formula>
    </cfRule>
    <cfRule type="expression" dxfId="4741" priority="4184">
      <formula>AY17="TE"</formula>
    </cfRule>
    <cfRule type="expression" dxfId="4744" priority="4185">
      <formula>AY17="WR"</formula>
    </cfRule>
    <cfRule type="expression" dxfId="4742" priority="4186">
      <formula>AY17="RB"</formula>
    </cfRule>
    <cfRule type="expression" dxfId="4743" priority="4187">
      <formula>AY17="QB"</formula>
    </cfRule>
  </conditionalFormatting>
  <conditionalFormatting sqref="AX20">
    <cfRule type="expression" dxfId="4735" priority="4212">
      <formula>AY20="K"</formula>
    </cfRule>
    <cfRule type="expression" dxfId="4739" priority="4213">
      <formula>AY20="DEF"</formula>
    </cfRule>
    <cfRule type="expression" dxfId="4734" priority="4214">
      <formula>AY20="TE"</formula>
    </cfRule>
    <cfRule type="expression" dxfId="4738" priority="4215">
      <formula>AY20="WR"</formula>
    </cfRule>
    <cfRule type="expression" dxfId="4736" priority="4216">
      <formula>AY20="RB"</formula>
    </cfRule>
    <cfRule type="expression" dxfId="4737" priority="4217">
      <formula>AY20="QB"</formula>
    </cfRule>
  </conditionalFormatting>
  <conditionalFormatting sqref="AX23">
    <cfRule type="expression" dxfId="4733" priority="4242">
      <formula>AY23="K"</formula>
    </cfRule>
    <cfRule type="expression" dxfId="4732" priority="4243">
      <formula>AY23="DEF"</formula>
    </cfRule>
    <cfRule type="expression" dxfId="4731" priority="4244">
      <formula>AY23="TE"</formula>
    </cfRule>
    <cfRule type="expression" dxfId="4730" priority="4245">
      <formula>AY23="WR"</formula>
    </cfRule>
    <cfRule type="expression" dxfId="4728" priority="4246">
      <formula>AY23="RB"</formula>
    </cfRule>
    <cfRule type="expression" dxfId="4729" priority="4247">
      <formula>AY23="QB"</formula>
    </cfRule>
  </conditionalFormatting>
  <conditionalFormatting sqref="AX26">
    <cfRule type="expression" dxfId="4723" priority="4272">
      <formula>AY26="K"</formula>
    </cfRule>
    <cfRule type="expression" dxfId="4726" priority="4273">
      <formula>AY26="DEF"</formula>
    </cfRule>
    <cfRule type="expression" dxfId="4727" priority="4274">
      <formula>AY26="TE"</formula>
    </cfRule>
    <cfRule type="expression" dxfId="4725" priority="4275">
      <formula>AY26="WR"</formula>
    </cfRule>
    <cfRule type="expression" dxfId="4722" priority="4276">
      <formula>AY26="RB"</formula>
    </cfRule>
    <cfRule type="expression" dxfId="4724" priority="4277">
      <formula>AY26="QB"</formula>
    </cfRule>
  </conditionalFormatting>
  <conditionalFormatting sqref="AX29">
    <cfRule type="expression" dxfId="4720" priority="4302">
      <formula>AY29="K"</formula>
    </cfRule>
    <cfRule type="expression" dxfId="4719" priority="4303">
      <formula>AY29="DEF"</formula>
    </cfRule>
    <cfRule type="expression" dxfId="4716" priority="4304">
      <formula>AY29="TE"</formula>
    </cfRule>
    <cfRule type="expression" dxfId="4717" priority="4305">
      <formula>AY29="WR"</formula>
    </cfRule>
    <cfRule type="expression" dxfId="4721" priority="4306">
      <formula>AY29="RB"</formula>
    </cfRule>
    <cfRule type="expression" dxfId="4718" priority="4307">
      <formula>AY29="QB"</formula>
    </cfRule>
  </conditionalFormatting>
  <conditionalFormatting sqref="AX32">
    <cfRule type="expression" dxfId="4715" priority="4332">
      <formula>AY32="K"</formula>
    </cfRule>
    <cfRule type="expression" dxfId="4714" priority="4333">
      <formula>AY32="DEF"</formula>
    </cfRule>
    <cfRule type="expression" dxfId="4713" priority="4334">
      <formula>AY32="TE"</formula>
    </cfRule>
    <cfRule type="expression" dxfId="4712" priority="4335">
      <formula>AY32="WR"</formula>
    </cfRule>
    <cfRule type="expression" dxfId="4711" priority="4336">
      <formula>AY32="RB"</formula>
    </cfRule>
    <cfRule type="expression" dxfId="4710" priority="4337">
      <formula>AY32="QB"</formula>
    </cfRule>
  </conditionalFormatting>
  <conditionalFormatting sqref="AX35">
    <cfRule type="expression" dxfId="4704" priority="4362">
      <formula>AY35="K"</formula>
    </cfRule>
    <cfRule type="expression" dxfId="4705" priority="4363">
      <formula>AY35="DEF"</formula>
    </cfRule>
    <cfRule type="expression" dxfId="4706" priority="4364">
      <formula>AY35="TE"</formula>
    </cfRule>
    <cfRule type="expression" dxfId="4707" priority="4365">
      <formula>AY35="WR"</formula>
    </cfRule>
    <cfRule type="expression" dxfId="4708" priority="4366">
      <formula>AY35="RB"</formula>
    </cfRule>
    <cfRule type="expression" dxfId="4709" priority="4367">
      <formula>AY35="QB"</formula>
    </cfRule>
  </conditionalFormatting>
  <conditionalFormatting sqref="AX38">
    <cfRule type="expression" dxfId="4699" priority="4392">
      <formula>AY38="K"</formula>
    </cfRule>
    <cfRule type="expression" dxfId="4700" priority="4393">
      <formula>AY38="DEF"</formula>
    </cfRule>
    <cfRule type="expression" dxfId="4698" priority="4394">
      <formula>AY38="TE"</formula>
    </cfRule>
    <cfRule type="expression" dxfId="4703" priority="4395">
      <formula>AY38="WR"</formula>
    </cfRule>
    <cfRule type="expression" dxfId="4702" priority="4396">
      <formula>AY38="RB"</formula>
    </cfRule>
    <cfRule type="expression" dxfId="4701" priority="4397">
      <formula>AY38="QB"</formula>
    </cfRule>
  </conditionalFormatting>
  <conditionalFormatting sqref="AX41">
    <cfRule type="expression" dxfId="4697" priority="4422">
      <formula>AY41="K"</formula>
    </cfRule>
    <cfRule type="expression" dxfId="4692" priority="4423">
      <formula>AY41="DEF"</formula>
    </cfRule>
    <cfRule type="expression" dxfId="4696" priority="4424">
      <formula>AY41="TE"</formula>
    </cfRule>
    <cfRule type="expression" dxfId="4695" priority="4425">
      <formula>AY41="WR"</formula>
    </cfRule>
    <cfRule type="expression" dxfId="4694" priority="4426">
      <formula>AY41="RB"</formula>
    </cfRule>
    <cfRule type="expression" dxfId="4693" priority="4427">
      <formula>AY41="QB"</formula>
    </cfRule>
  </conditionalFormatting>
  <conditionalFormatting sqref="AX44">
    <cfRule type="expression" dxfId="4690" priority="4452">
      <formula>AY44="K"</formula>
    </cfRule>
    <cfRule type="expression" dxfId="4689" priority="4453">
      <formula>AY44="DEF"</formula>
    </cfRule>
    <cfRule type="expression" dxfId="4691" priority="4454">
      <formula>AY44="TE"</formula>
    </cfRule>
    <cfRule type="expression" dxfId="4688" priority="4455">
      <formula>AY44="WR"</formula>
    </cfRule>
    <cfRule type="expression" dxfId="4687" priority="4456">
      <formula>AY44="RB"</formula>
    </cfRule>
    <cfRule type="expression" dxfId="4686" priority="4457">
      <formula>AY44="QB"</formula>
    </cfRule>
  </conditionalFormatting>
  <conditionalFormatting sqref="AX47">
    <cfRule type="expression" dxfId="4684" priority="4482">
      <formula>AY47="K"</formula>
    </cfRule>
    <cfRule type="expression" dxfId="4685" priority="4483">
      <formula>AY47="DEF"</formula>
    </cfRule>
    <cfRule type="expression" dxfId="4680" priority="4484">
      <formula>AY47="TE"</formula>
    </cfRule>
    <cfRule type="expression" dxfId="4681" priority="4485">
      <formula>AY47="WR"</formula>
    </cfRule>
    <cfRule type="expression" dxfId="4682" priority="4486">
      <formula>AY47="RB"</formula>
    </cfRule>
    <cfRule type="expression" dxfId="4683" priority="4487">
      <formula>AY47="QB"</formula>
    </cfRule>
  </conditionalFormatting>
  <conditionalFormatting sqref="AY5">
    <cfRule type="expression" dxfId="4674" priority="4068">
      <formula>AY5="K"</formula>
    </cfRule>
    <cfRule type="expression" dxfId="4675" priority="4069">
      <formula>AY5="DEF"</formula>
    </cfRule>
    <cfRule type="expression" dxfId="4679" priority="4070">
      <formula>AY5="TE"</formula>
    </cfRule>
    <cfRule type="expression" dxfId="4676" priority="4071">
      <formula>AY5="WR"</formula>
    </cfRule>
    <cfRule type="expression" dxfId="4677" priority="4072">
      <formula>AY5="RB"</formula>
    </cfRule>
    <cfRule type="expression" dxfId="4678" priority="4073">
      <formula>AY5="QB"</formula>
    </cfRule>
  </conditionalFormatting>
  <conditionalFormatting sqref="AY8">
    <cfRule type="expression" dxfId="4668" priority="4098">
      <formula>AY8="K"</formula>
    </cfRule>
    <cfRule type="expression" dxfId="4669" priority="4099">
      <formula>AY8="DEF"</formula>
    </cfRule>
    <cfRule type="expression" dxfId="4670" priority="4100">
      <formula>AY8="TE"</formula>
    </cfRule>
    <cfRule type="expression" dxfId="4671" priority="4101">
      <formula>AY8="WR"</formula>
    </cfRule>
    <cfRule type="expression" dxfId="4672" priority="4102">
      <formula>AY8="RB"</formula>
    </cfRule>
    <cfRule type="expression" dxfId="4673" priority="4103">
      <formula>AY8="QB"</formula>
    </cfRule>
  </conditionalFormatting>
  <conditionalFormatting sqref="AY11">
    <cfRule type="expression" dxfId="4667" priority="4128">
      <formula>AY11="K"</formula>
    </cfRule>
    <cfRule type="expression" dxfId="4666" priority="4129">
      <formula>AY11="DEF"</formula>
    </cfRule>
    <cfRule type="expression" dxfId="4662" priority="4130">
      <formula>AY11="TE"</formula>
    </cfRule>
    <cfRule type="expression" dxfId="4663" priority="4131">
      <formula>AY11="WR"</formula>
    </cfRule>
    <cfRule type="expression" dxfId="4664" priority="4132">
      <formula>AY11="RB"</formula>
    </cfRule>
    <cfRule type="expression" dxfId="4665" priority="4133">
      <formula>AY11="QB"</formula>
    </cfRule>
  </conditionalFormatting>
  <conditionalFormatting sqref="AY14">
    <cfRule type="expression" dxfId="4657" priority="4158">
      <formula>AY14="K"</formula>
    </cfRule>
    <cfRule type="expression" dxfId="4658" priority="4159">
      <formula>AY14="DEF"</formula>
    </cfRule>
    <cfRule type="expression" dxfId="4661" priority="4160">
      <formula>AY14="TE"</formula>
    </cfRule>
    <cfRule type="expression" dxfId="4659" priority="4161">
      <formula>AY14="WR"</formula>
    </cfRule>
    <cfRule type="expression" dxfId="4660" priority="4162">
      <formula>AY14="RB"</formula>
    </cfRule>
    <cfRule type="expression" dxfId="4656" priority="4163">
      <formula>AY14="QB"</formula>
    </cfRule>
  </conditionalFormatting>
  <conditionalFormatting sqref="AY17">
    <cfRule type="expression" dxfId="4650" priority="4188">
      <formula>AY17="K"</formula>
    </cfRule>
    <cfRule type="expression" dxfId="4651" priority="4189">
      <formula>AY17="DEF"</formula>
    </cfRule>
    <cfRule type="expression" dxfId="4655" priority="4190">
      <formula>AY17="TE"</formula>
    </cfRule>
    <cfRule type="expression" dxfId="4654" priority="4191">
      <formula>AY17="WR"</formula>
    </cfRule>
    <cfRule type="expression" dxfId="4653" priority="4192">
      <formula>AY17="RB"</formula>
    </cfRule>
    <cfRule type="expression" dxfId="4652" priority="4193">
      <formula>AY17="QB"</formula>
    </cfRule>
  </conditionalFormatting>
  <conditionalFormatting sqref="AY20">
    <cfRule type="expression" dxfId="4648" priority="4218">
      <formula>AY20="K"</formula>
    </cfRule>
    <cfRule type="expression" dxfId="4644" priority="4219">
      <formula>AY20="DEF"</formula>
    </cfRule>
    <cfRule type="expression" dxfId="4649" priority="4220">
      <formula>AY20="TE"</formula>
    </cfRule>
    <cfRule type="expression" dxfId="4647" priority="4221">
      <formula>AY20="WR"</formula>
    </cfRule>
    <cfRule type="expression" dxfId="4646" priority="4222">
      <formula>AY20="RB"</formula>
    </cfRule>
    <cfRule type="expression" dxfId="4645" priority="4223">
      <formula>AY20="QB"</formula>
    </cfRule>
  </conditionalFormatting>
  <conditionalFormatting sqref="AY23">
    <cfRule type="expression" dxfId="4643" priority="4248">
      <formula>AY23="K"</formula>
    </cfRule>
    <cfRule type="expression" dxfId="4641" priority="4249">
      <formula>AY23="DEF"</formula>
    </cfRule>
    <cfRule type="expression" dxfId="4638" priority="4250">
      <formula>AY23="TE"</formula>
    </cfRule>
    <cfRule type="expression" dxfId="4642" priority="4251">
      <formula>AY23="WR"</formula>
    </cfRule>
    <cfRule type="expression" dxfId="4639" priority="4252">
      <formula>AY23="RB"</formula>
    </cfRule>
    <cfRule type="expression" dxfId="4640" priority="4253">
      <formula>AY23="QB"</formula>
    </cfRule>
  </conditionalFormatting>
  <conditionalFormatting sqref="AY26">
    <cfRule type="expression" dxfId="4635" priority="4278">
      <formula>AY26="K"</formula>
    </cfRule>
    <cfRule type="expression" dxfId="4634" priority="4279">
      <formula>AY26="DEF"</formula>
    </cfRule>
    <cfRule type="expression" dxfId="4633" priority="4280">
      <formula>AY26="TE"</formula>
    </cfRule>
    <cfRule type="expression" dxfId="4632" priority="4281">
      <formula>AY26="WR"</formula>
    </cfRule>
    <cfRule type="expression" dxfId="4636" priority="4282">
      <formula>AY26="RB"</formula>
    </cfRule>
    <cfRule type="expression" dxfId="4637" priority="4283">
      <formula>AY26="QB"</formula>
    </cfRule>
  </conditionalFormatting>
  <conditionalFormatting sqref="AY29">
    <cfRule type="expression" dxfId="4631" priority="4308">
      <formula>AY29="K"</formula>
    </cfRule>
    <cfRule type="expression" dxfId="4630" priority="4309">
      <formula>AY29="DEF"</formula>
    </cfRule>
    <cfRule type="expression" dxfId="4629" priority="4310">
      <formula>AY29="TE"</formula>
    </cfRule>
    <cfRule type="expression" dxfId="4628" priority="4311">
      <formula>AY29="WR"</formula>
    </cfRule>
    <cfRule type="expression" dxfId="4627" priority="4312">
      <formula>AY29="RB"</formula>
    </cfRule>
    <cfRule type="expression" dxfId="4626" priority="4313">
      <formula>AY29="QB"</formula>
    </cfRule>
  </conditionalFormatting>
  <conditionalFormatting sqref="AY32">
    <cfRule type="expression" dxfId="4625" priority="4338">
      <formula>AY32="K"</formula>
    </cfRule>
    <cfRule type="expression" dxfId="4621" priority="4339">
      <formula>AY32="DEF"</formula>
    </cfRule>
    <cfRule type="expression" dxfId="4620" priority="4340">
      <formula>AY32="TE"</formula>
    </cfRule>
    <cfRule type="expression" dxfId="4624" priority="4341">
      <formula>AY32="WR"</formula>
    </cfRule>
    <cfRule type="expression" dxfId="4623" priority="4342">
      <formula>AY32="RB"</formula>
    </cfRule>
    <cfRule type="expression" dxfId="4622" priority="4343">
      <formula>AY32="QB"</formula>
    </cfRule>
  </conditionalFormatting>
  <conditionalFormatting sqref="AY35">
    <cfRule type="expression" dxfId="4616" priority="4368">
      <formula>AY35="K"</formula>
    </cfRule>
    <cfRule type="expression" dxfId="4617" priority="4369">
      <formula>AY35="DEF"</formula>
    </cfRule>
    <cfRule type="expression" dxfId="4618" priority="4370">
      <formula>AY35="TE"</formula>
    </cfRule>
    <cfRule type="expression" dxfId="4614" priority="4371">
      <formula>AY35="WR"</formula>
    </cfRule>
    <cfRule type="expression" dxfId="4615" priority="4372">
      <formula>AY35="RB"</formula>
    </cfRule>
    <cfRule type="expression" dxfId="4619" priority="4373">
      <formula>AY35="QB"</formula>
    </cfRule>
  </conditionalFormatting>
  <conditionalFormatting sqref="AY38">
    <cfRule type="expression" dxfId="4613" priority="4398">
      <formula>AY38="K"</formula>
    </cfRule>
    <cfRule type="expression" dxfId="4612" priority="4399">
      <formula>AY38="DEF"</formula>
    </cfRule>
    <cfRule type="expression" dxfId="4611" priority="4400">
      <formula>AY38="TE"</formula>
    </cfRule>
    <cfRule type="expression" dxfId="4610" priority="4401">
      <formula>AY38="WR"</formula>
    </cfRule>
    <cfRule type="expression" dxfId="4609" priority="4402">
      <formula>AY38="RB"</formula>
    </cfRule>
    <cfRule type="expression" dxfId="4608" priority="4403">
      <formula>AY38="QB"</formula>
    </cfRule>
  </conditionalFormatting>
  <conditionalFormatting sqref="AY41">
    <cfRule type="expression" dxfId="4604" priority="4428">
      <formula>AY41="K"</formula>
    </cfRule>
    <cfRule type="expression" dxfId="4605" priority="4429">
      <formula>AY41="DEF"</formula>
    </cfRule>
    <cfRule type="expression" dxfId="4606" priority="4430">
      <formula>AY41="TE"</formula>
    </cfRule>
    <cfRule type="expression" dxfId="4607" priority="4431">
      <formula>AY41="WR"</formula>
    </cfRule>
    <cfRule type="expression" dxfId="4603" priority="4432">
      <formula>AY41="RB"</formula>
    </cfRule>
    <cfRule type="expression" dxfId="4602" priority="4433">
      <formula>AY41="QB"</formula>
    </cfRule>
  </conditionalFormatting>
  <conditionalFormatting sqref="AY44">
    <cfRule type="expression" dxfId="4596" priority="4458">
      <formula>AY44="K"</formula>
    </cfRule>
    <cfRule type="expression" dxfId="4597" priority="4459">
      <formula>AY44="DEF"</formula>
    </cfRule>
    <cfRule type="expression" dxfId="4598" priority="4460">
      <formula>AY44="TE"</formula>
    </cfRule>
    <cfRule type="expression" dxfId="4599" priority="4461">
      <formula>AY44="WR"</formula>
    </cfRule>
    <cfRule type="expression" dxfId="4600" priority="4462">
      <formula>AY44="RB"</formula>
    </cfRule>
    <cfRule type="expression" dxfId="4601" priority="4463">
      <formula>AY44="QB"</formula>
    </cfRule>
  </conditionalFormatting>
  <conditionalFormatting sqref="AY47">
    <cfRule type="expression" dxfId="4593" priority="4488">
      <formula>AY47="K"</formula>
    </cfRule>
    <cfRule type="expression" dxfId="4594" priority="4489">
      <formula>AY47="DEF"</formula>
    </cfRule>
    <cfRule type="expression" dxfId="4595" priority="4490">
      <formula>AY47="TE"</formula>
    </cfRule>
    <cfRule type="expression" dxfId="4591" priority="4491">
      <formula>AY47="WR"</formula>
    </cfRule>
    <cfRule type="expression" dxfId="4590" priority="4492">
      <formula>AY47="RB"</formula>
    </cfRule>
    <cfRule type="expression" dxfId="4592" priority="4493">
      <formula>AY47="QB"</formula>
    </cfRule>
  </conditionalFormatting>
  <conditionalFormatting sqref="AZ5">
    <cfRule type="expression" dxfId="4586" priority="4074">
      <formula>AY5="K"</formula>
    </cfRule>
    <cfRule type="expression" dxfId="4585" priority="4075">
      <formula>AY5="DEF"</formula>
    </cfRule>
    <cfRule type="expression" dxfId="4584" priority="4076">
      <formula>AY5="TE"</formula>
    </cfRule>
    <cfRule type="expression" dxfId="4589" priority="4077">
      <formula>AY5="WR"</formula>
    </cfRule>
    <cfRule type="expression" dxfId="4588" priority="4078">
      <formula>AY5="RB"</formula>
    </cfRule>
    <cfRule type="expression" dxfId="4587" priority="4079">
      <formula>AY5="QB"</formula>
    </cfRule>
  </conditionalFormatting>
  <conditionalFormatting sqref="AZ8">
    <cfRule type="expression" dxfId="4583" priority="4104">
      <formula>AY8="K"</formula>
    </cfRule>
    <cfRule type="expression" dxfId="4578" priority="4105">
      <formula>AY8="DEF"</formula>
    </cfRule>
    <cfRule type="expression" dxfId="4582" priority="4106">
      <formula>AY8="TE"</formula>
    </cfRule>
    <cfRule type="expression" dxfId="4581" priority="4107">
      <formula>AY8="WR"</formula>
    </cfRule>
    <cfRule type="expression" dxfId="4580" priority="4108">
      <formula>AY8="RB"</formula>
    </cfRule>
    <cfRule type="expression" dxfId="4579" priority="4109">
      <formula>AY8="QB"</formula>
    </cfRule>
  </conditionalFormatting>
  <conditionalFormatting sqref="AZ11">
    <cfRule type="expression" dxfId="4573" priority="4134">
      <formula>AY11="K"</formula>
    </cfRule>
    <cfRule type="expression" dxfId="4574" priority="4135">
      <formula>AY11="DEF"</formula>
    </cfRule>
    <cfRule type="expression" dxfId="4575" priority="4136">
      <formula>AY11="TE"</formula>
    </cfRule>
    <cfRule type="expression" dxfId="4572" priority="4137">
      <formula>AY11="WR"</formula>
    </cfRule>
    <cfRule type="expression" dxfId="4576" priority="4138">
      <formula>AY11="RB"</formula>
    </cfRule>
    <cfRule type="expression" dxfId="4577" priority="4139">
      <formula>AY11="QB"</formula>
    </cfRule>
  </conditionalFormatting>
  <conditionalFormatting sqref="AZ14">
    <cfRule type="expression" dxfId="4567" priority="4164">
      <formula>AY14="K"</formula>
    </cfRule>
    <cfRule type="expression" dxfId="4568" priority="4165">
      <formula>AY14="DEF"</formula>
    </cfRule>
    <cfRule type="expression" dxfId="4569" priority="4166">
      <formula>AY14="TE"</formula>
    </cfRule>
    <cfRule type="expression" dxfId="4570" priority="4167">
      <formula>AY14="WR"</formula>
    </cfRule>
    <cfRule type="expression" dxfId="4571" priority="4168">
      <formula>AY14="RB"</formula>
    </cfRule>
    <cfRule type="expression" dxfId="4566" priority="4169">
      <formula>AY14="QB"</formula>
    </cfRule>
  </conditionalFormatting>
  <conditionalFormatting sqref="AZ17">
    <cfRule type="expression" dxfId="4565" priority="4194">
      <formula>AY17="K"</formula>
    </cfRule>
    <cfRule type="expression" dxfId="4560" priority="4195">
      <formula>AY17="DEF"</formula>
    </cfRule>
    <cfRule type="expression" dxfId="4564" priority="4196">
      <formula>AY17="TE"</formula>
    </cfRule>
    <cfRule type="expression" dxfId="4563" priority="4197">
      <formula>AY17="WR"</formula>
    </cfRule>
    <cfRule type="expression" dxfId="4562" priority="4198">
      <formula>AY17="RB"</formula>
    </cfRule>
    <cfRule type="expression" dxfId="4561" priority="4199">
      <formula>AY17="QB"</formula>
    </cfRule>
  </conditionalFormatting>
  <conditionalFormatting sqref="AZ20">
    <cfRule type="expression" dxfId="4559" priority="4224">
      <formula>AY20="K"</formula>
    </cfRule>
    <cfRule type="expression" dxfId="4554" priority="4225">
      <formula>AY20="DEF"</formula>
    </cfRule>
    <cfRule type="expression" dxfId="4556" priority="4226">
      <formula>AY20="TE"</formula>
    </cfRule>
    <cfRule type="expression" dxfId="4555" priority="4227">
      <formula>AY20="WR"</formula>
    </cfRule>
    <cfRule type="expression" dxfId="4558" priority="4228">
      <formula>AY20="RB"</formula>
    </cfRule>
    <cfRule type="expression" dxfId="4557" priority="4229">
      <formula>AY20="QB"</formula>
    </cfRule>
  </conditionalFormatting>
  <conditionalFormatting sqref="AZ23">
    <cfRule type="expression" dxfId="4549" priority="4254">
      <formula>AY23="K"</formula>
    </cfRule>
    <cfRule type="expression" dxfId="4553" priority="4255">
      <formula>AY23="DEF"</formula>
    </cfRule>
    <cfRule type="expression" dxfId="4548" priority="4256">
      <formula>AY23="TE"</formula>
    </cfRule>
    <cfRule type="expression" dxfId="4552" priority="4257">
      <formula>AY23="WR"</formula>
    </cfRule>
    <cfRule type="expression" dxfId="4550" priority="4258">
      <formula>AY23="RB"</formula>
    </cfRule>
    <cfRule type="expression" dxfId="4551" priority="4259">
      <formula>AY23="QB"</formula>
    </cfRule>
  </conditionalFormatting>
  <conditionalFormatting sqref="AZ26">
    <cfRule type="expression" dxfId="4544" priority="4284">
      <formula>AY26="K"</formula>
    </cfRule>
    <cfRule type="expression" dxfId="4543" priority="4285">
      <formula>AY26="DEF"</formula>
    </cfRule>
    <cfRule type="expression" dxfId="4542" priority="4286">
      <formula>AY26="TE"</formula>
    </cfRule>
    <cfRule type="expression" dxfId="4547" priority="4287">
      <formula>AY26="WR"</formula>
    </cfRule>
    <cfRule type="expression" dxfId="4546" priority="4288">
      <formula>AY26="RB"</formula>
    </cfRule>
    <cfRule type="expression" dxfId="4545" priority="4289">
      <formula>AY26="QB"</formula>
    </cfRule>
  </conditionalFormatting>
  <conditionalFormatting sqref="AZ29">
    <cfRule type="expression" dxfId="4536" priority="4314">
      <formula>AY29="K"</formula>
    </cfRule>
    <cfRule type="expression" dxfId="4537" priority="4315">
      <formula>AY29="DEF"</formula>
    </cfRule>
    <cfRule type="expression" dxfId="4538" priority="4316">
      <formula>AY29="TE"</formula>
    </cfRule>
    <cfRule type="expression" dxfId="4539" priority="4317">
      <formula>AY29="WR"</formula>
    </cfRule>
    <cfRule type="expression" dxfId="4540" priority="4318">
      <formula>AY29="RB"</formula>
    </cfRule>
    <cfRule type="expression" dxfId="4541" priority="4319">
      <formula>AY29="QB"</formula>
    </cfRule>
  </conditionalFormatting>
  <conditionalFormatting sqref="AZ32">
    <cfRule type="expression" dxfId="4531" priority="4344">
      <formula>AY32="K"</formula>
    </cfRule>
    <cfRule type="expression" dxfId="4532" priority="4345">
      <formula>AY32="DEF"</formula>
    </cfRule>
    <cfRule type="expression" dxfId="4533" priority="4346">
      <formula>AY32="TE"</formula>
    </cfRule>
    <cfRule type="expression" dxfId="4530" priority="4347">
      <formula>AY32="WR"</formula>
    </cfRule>
    <cfRule type="expression" dxfId="4534" priority="4348">
      <formula>AY32="RB"</formula>
    </cfRule>
    <cfRule type="expression" dxfId="4535" priority="4349">
      <formula>AY32="QB"</formula>
    </cfRule>
  </conditionalFormatting>
  <conditionalFormatting sqref="AZ35">
    <cfRule type="expression" dxfId="4526" priority="4374">
      <formula>AY35="K"</formula>
    </cfRule>
    <cfRule type="expression" dxfId="4529" priority="4375">
      <formula>AY35="DEF"</formula>
    </cfRule>
    <cfRule type="expression" dxfId="4524" priority="4376">
      <formula>AY35="TE"</formula>
    </cfRule>
    <cfRule type="expression" dxfId="4525" priority="4377">
      <formula>AY35="WR"</formula>
    </cfRule>
    <cfRule type="expression" dxfId="4528" priority="4378">
      <formula>AY35="RB"</formula>
    </cfRule>
    <cfRule type="expression" dxfId="4527" priority="4379">
      <formula>AY35="QB"</formula>
    </cfRule>
  </conditionalFormatting>
  <conditionalFormatting sqref="AZ38">
    <cfRule type="expression" dxfId="4521" priority="4404">
      <formula>AY38="K"</formula>
    </cfRule>
    <cfRule type="expression" dxfId="4522" priority="4405">
      <formula>AY38="DEF"</formula>
    </cfRule>
    <cfRule type="expression" dxfId="4520" priority="4406">
      <formula>AY38="TE"</formula>
    </cfRule>
    <cfRule type="expression" dxfId="4523" priority="4407">
      <formula>AY38="WR"</formula>
    </cfRule>
    <cfRule type="expression" dxfId="4518" priority="4408">
      <formula>AY38="RB"</formula>
    </cfRule>
    <cfRule type="expression" dxfId="4519" priority="4409">
      <formula>AY38="QB"</formula>
    </cfRule>
  </conditionalFormatting>
  <conditionalFormatting sqref="AZ41">
    <cfRule type="expression" dxfId="4516" priority="4434">
      <formula>AY41="K"</formula>
    </cfRule>
    <cfRule type="expression" dxfId="4512" priority="4435">
      <formula>AY41="DEF"</formula>
    </cfRule>
    <cfRule type="expression" dxfId="4513" priority="4436">
      <formula>AY41="TE"</formula>
    </cfRule>
    <cfRule type="expression" dxfId="4517" priority="4437">
      <formula>AY41="WR"</formula>
    </cfRule>
    <cfRule type="expression" dxfId="4514" priority="4438">
      <formula>AY41="RB"</formula>
    </cfRule>
    <cfRule type="expression" dxfId="4515" priority="4439">
      <formula>AY41="QB"</formula>
    </cfRule>
  </conditionalFormatting>
  <conditionalFormatting sqref="AZ44">
    <cfRule type="expression" dxfId="4507" priority="4464">
      <formula>AY44="K"</formula>
    </cfRule>
    <cfRule type="expression" dxfId="4508" priority="4465">
      <formula>AY44="DEF"</formula>
    </cfRule>
    <cfRule type="expression" dxfId="4509" priority="4466">
      <formula>AY44="TE"</formula>
    </cfRule>
    <cfRule type="expression" dxfId="4510" priority="4467">
      <formula>AY44="WR"</formula>
    </cfRule>
    <cfRule type="expression" dxfId="4506" priority="4468">
      <formula>AY44="RB"</formula>
    </cfRule>
    <cfRule type="expression" dxfId="4511" priority="4469">
      <formula>AY44="QB"</formula>
    </cfRule>
  </conditionalFormatting>
  <conditionalFormatting sqref="AZ47">
    <cfRule type="expression" dxfId="4500" priority="4494">
      <formula>AY47="K"</formula>
    </cfRule>
    <cfRule type="expression" dxfId="4505" priority="4495">
      <formula>AY47="DEF"</formula>
    </cfRule>
    <cfRule type="expression" dxfId="4504" priority="4496">
      <formula>AY47="TE"</formula>
    </cfRule>
    <cfRule type="expression" dxfId="4503" priority="4497">
      <formula>AY47="WR"</formula>
    </cfRule>
    <cfRule type="expression" dxfId="4502" priority="4498">
      <formula>AY47="RB"</formula>
    </cfRule>
    <cfRule type="expression" dxfId="4501" priority="4499">
      <formula>AY47="QB"</formula>
    </cfRule>
  </conditionalFormatting>
  <conditionalFormatting sqref="BB4">
    <cfRule type="expression" dxfId="4499" priority="4501">
      <formula>BD5="DEF"</formula>
    </cfRule>
    <cfRule type="expression" dxfId="4498" priority="4502">
      <formula>BD5="TE"</formula>
    </cfRule>
    <cfRule type="expression" dxfId="4497" priority="4503">
      <formula>BD5="WR"</formula>
    </cfRule>
    <cfRule type="expression" dxfId="4496" priority="4504">
      <formula>BD5="RB"</formula>
    </cfRule>
    <cfRule type="expression" dxfId="4495" priority="4505">
      <formula>BD5="QB"</formula>
    </cfRule>
  </conditionalFormatting>
  <conditionalFormatting sqref="BB5">
    <cfRule type="expression" dxfId="4494" priority="4506">
      <formula>BD5="K"</formula>
    </cfRule>
    <cfRule type="expression" dxfId="4493" priority="4507">
      <formula>BD5="DEF"</formula>
    </cfRule>
    <cfRule type="expression" dxfId="4492" priority="4508">
      <formula>BD5="TE"</formula>
    </cfRule>
    <cfRule type="expression" dxfId="4491" priority="4509">
      <formula>BD5="WR"</formula>
    </cfRule>
    <cfRule type="expression" dxfId="4490" priority="4510">
      <formula>BD5="RB"</formula>
    </cfRule>
    <cfRule type="expression" dxfId="4489" priority="4511">
      <formula>BD5="QB"</formula>
    </cfRule>
  </conditionalFormatting>
  <conditionalFormatting sqref="BB7">
    <cfRule type="expression" dxfId="4484" priority="4531">
      <formula>BD8="DEF"</formula>
    </cfRule>
    <cfRule type="expression" dxfId="4485" priority="4532">
      <formula>BD8="TE"</formula>
    </cfRule>
    <cfRule type="expression" dxfId="4486" priority="4533">
      <formula>BD8="WR"</formula>
    </cfRule>
    <cfRule type="expression" dxfId="4487" priority="4534">
      <formula>BD8="RB"</formula>
    </cfRule>
    <cfRule type="expression" dxfId="4488" priority="4535">
      <formula>BD8="QB"</formula>
    </cfRule>
  </conditionalFormatting>
  <conditionalFormatting sqref="BB8">
    <cfRule type="expression" dxfId="4480" priority="4536">
      <formula>BD8="K"</formula>
    </cfRule>
    <cfRule type="expression" dxfId="4479" priority="4537">
      <formula>BD8="DEF"</formula>
    </cfRule>
    <cfRule type="expression" dxfId="4478" priority="4538">
      <formula>BD8="TE"</formula>
    </cfRule>
    <cfRule type="expression" dxfId="4483" priority="4539">
      <formula>BD8="WR"</formula>
    </cfRule>
    <cfRule type="expression" dxfId="4482" priority="4540">
      <formula>BD8="RB"</formula>
    </cfRule>
    <cfRule type="expression" dxfId="4481" priority="4541">
      <formula>BD8="QB"</formula>
    </cfRule>
  </conditionalFormatting>
  <conditionalFormatting sqref="BB10">
    <cfRule type="expression" dxfId="4473" priority="4561">
      <formula>BD11="DEF"</formula>
    </cfRule>
    <cfRule type="expression" dxfId="4474" priority="4562">
      <formula>BD11="TE"</formula>
    </cfRule>
    <cfRule type="expression" dxfId="4476" priority="4563">
      <formula>BD11="WR"</formula>
    </cfRule>
    <cfRule type="expression" dxfId="4477" priority="4564">
      <formula>BD11="RB"</formula>
    </cfRule>
    <cfRule type="expression" dxfId="4475" priority="4565">
      <formula>BD11="QB"</formula>
    </cfRule>
  </conditionalFormatting>
  <conditionalFormatting sqref="BB11">
    <cfRule type="expression" dxfId="4468" priority="4566">
      <formula>BD11="K"</formula>
    </cfRule>
    <cfRule type="expression" dxfId="4469" priority="4567">
      <formula>BD11="DEF"</formula>
    </cfRule>
    <cfRule type="expression" dxfId="4470" priority="4568">
      <formula>BD11="TE"</formula>
    </cfRule>
    <cfRule type="expression" dxfId="4471" priority="4569">
      <formula>BD11="WR"</formula>
    </cfRule>
    <cfRule type="expression" dxfId="4472" priority="4570">
      <formula>BD11="RB"</formula>
    </cfRule>
    <cfRule type="expression" dxfId="4467" priority="4571">
      <formula>BD11="QB"</formula>
    </cfRule>
  </conditionalFormatting>
  <conditionalFormatting sqref="BB13">
    <cfRule type="expression" dxfId="4462" priority="4591">
      <formula>BD14="DEF"</formula>
    </cfRule>
    <cfRule type="expression" dxfId="4463" priority="4592">
      <formula>BD14="TE"</formula>
    </cfRule>
    <cfRule type="expression" dxfId="4466" priority="4593">
      <formula>BD14="WR"</formula>
    </cfRule>
    <cfRule type="expression" dxfId="4465" priority="4594">
      <formula>BD14="RB"</formula>
    </cfRule>
    <cfRule type="expression" dxfId="4464" priority="4595">
      <formula>BD14="QB"</formula>
    </cfRule>
  </conditionalFormatting>
  <conditionalFormatting sqref="BB14">
    <cfRule type="expression" dxfId="4461" priority="4596">
      <formula>BD14="K"</formula>
    </cfRule>
    <cfRule type="expression" dxfId="4457" priority="4597">
      <formula>BD14="DEF"</formula>
    </cfRule>
    <cfRule type="expression" dxfId="4458" priority="4598">
      <formula>BD14="TE"</formula>
    </cfRule>
    <cfRule type="expression" dxfId="4456" priority="4599">
      <formula>BD14="WR"</formula>
    </cfRule>
    <cfRule type="expression" dxfId="4459" priority="4600">
      <formula>BD14="RB"</formula>
    </cfRule>
    <cfRule type="expression" dxfId="4460" priority="4601">
      <formula>BD14="QB"</formula>
    </cfRule>
  </conditionalFormatting>
  <conditionalFormatting sqref="BB16">
    <cfRule type="expression" dxfId="4453" priority="4621">
      <formula>BD17="DEF"</formula>
    </cfRule>
    <cfRule type="expression" dxfId="4455" priority="4622">
      <formula>BD17="TE"</formula>
    </cfRule>
    <cfRule type="expression" dxfId="4454" priority="4623">
      <formula>BD17="WR"</formula>
    </cfRule>
    <cfRule type="expression" dxfId="4452" priority="4624">
      <formula>BD17="RB"</formula>
    </cfRule>
    <cfRule type="expression" dxfId="4451" priority="4625">
      <formula>BD17="QB"</formula>
    </cfRule>
  </conditionalFormatting>
  <conditionalFormatting sqref="BB17">
    <cfRule type="expression" dxfId="4450" priority="4626">
      <formula>BD17="K"</formula>
    </cfRule>
    <cfRule type="expression" dxfId="4449" priority="4627">
      <formula>BD17="DEF"</formula>
    </cfRule>
    <cfRule type="expression" dxfId="4446" priority="4628">
      <formula>BD17="TE"</formula>
    </cfRule>
    <cfRule type="expression" dxfId="4445" priority="4629">
      <formula>BD17="WR"</formula>
    </cfRule>
    <cfRule type="expression" dxfId="4447" priority="4630">
      <formula>BD17="RB"</formula>
    </cfRule>
    <cfRule type="expression" dxfId="4448" priority="4631">
      <formula>BD17="QB"</formula>
    </cfRule>
  </conditionalFormatting>
  <conditionalFormatting sqref="BB19">
    <cfRule type="expression" dxfId="4443" priority="4651">
      <formula>BD20="DEF"</formula>
    </cfRule>
    <cfRule type="expression" dxfId="4444" priority="4652">
      <formula>BD20="TE"</formula>
    </cfRule>
    <cfRule type="expression" dxfId="4442" priority="4653">
      <formula>BD20="WR"</formula>
    </cfRule>
    <cfRule type="expression" dxfId="4440" priority="4654">
      <formula>BD20="RB"</formula>
    </cfRule>
    <cfRule type="expression" dxfId="4441" priority="4655">
      <formula>BD20="QB"</formula>
    </cfRule>
  </conditionalFormatting>
  <conditionalFormatting sqref="BB20">
    <cfRule type="expression" dxfId="4434" priority="4656">
      <formula>BD20="K"</formula>
    </cfRule>
    <cfRule type="expression" dxfId="4438" priority="4657">
      <formula>BD20="DEF"</formula>
    </cfRule>
    <cfRule type="expression" dxfId="4437" priority="4658">
      <formula>BD20="TE"</formula>
    </cfRule>
    <cfRule type="expression" dxfId="4439" priority="4659">
      <formula>BD20="WR"</formula>
    </cfRule>
    <cfRule type="expression" dxfId="4435" priority="4660">
      <formula>BD20="RB"</formula>
    </cfRule>
    <cfRule type="expression" dxfId="4436" priority="4661">
      <formula>BD20="QB"</formula>
    </cfRule>
  </conditionalFormatting>
  <conditionalFormatting sqref="BB22">
    <cfRule type="expression" dxfId="4433" priority="4681">
      <formula>BD23="DEF"</formula>
    </cfRule>
    <cfRule type="expression" dxfId="4432" priority="4682">
      <formula>BD23="TE"</formula>
    </cfRule>
    <cfRule type="expression" dxfId="4430" priority="4683">
      <formula>BD23="WR"</formula>
    </cfRule>
    <cfRule type="expression" dxfId="4431" priority="4684">
      <formula>BD23="RB"</formula>
    </cfRule>
    <cfRule type="expression" dxfId="4429" priority="4685">
      <formula>BD23="QB"</formula>
    </cfRule>
  </conditionalFormatting>
  <conditionalFormatting sqref="BB23">
    <cfRule type="expression" dxfId="4428" priority="4686">
      <formula>BD23="K"</formula>
    </cfRule>
    <cfRule type="expression" dxfId="4427" priority="4687">
      <formula>BD23="DEF"</formula>
    </cfRule>
    <cfRule type="expression" dxfId="4426" priority="4688">
      <formula>BD23="TE"</formula>
    </cfRule>
    <cfRule type="expression" dxfId="4423" priority="4689">
      <formula>BD23="WR"</formula>
    </cfRule>
    <cfRule type="expression" dxfId="4424" priority="4690">
      <formula>BD23="RB"</formula>
    </cfRule>
    <cfRule type="expression" dxfId="4425" priority="4691">
      <formula>BD23="QB"</formula>
    </cfRule>
  </conditionalFormatting>
  <conditionalFormatting sqref="BB25">
    <cfRule type="expression" dxfId="4418" priority="4711">
      <formula>BD26="DEF"</formula>
    </cfRule>
    <cfRule type="expression" dxfId="4419" priority="4712">
      <formula>BD26="TE"</formula>
    </cfRule>
    <cfRule type="expression" dxfId="4422" priority="4713">
      <formula>BD26="WR"</formula>
    </cfRule>
    <cfRule type="expression" dxfId="4421" priority="4714">
      <formula>BD26="RB"</formula>
    </cfRule>
    <cfRule type="expression" dxfId="4420" priority="4715">
      <formula>BD26="QB"</formula>
    </cfRule>
  </conditionalFormatting>
  <conditionalFormatting sqref="BB26">
    <cfRule type="expression" dxfId="4413" priority="4716">
      <formula>BD26="K"</formula>
    </cfRule>
    <cfRule type="expression" dxfId="4414" priority="4717">
      <formula>BD26="DEF"</formula>
    </cfRule>
    <cfRule type="expression" dxfId="4412" priority="4718">
      <formula>BD26="TE"</formula>
    </cfRule>
    <cfRule type="expression" dxfId="4415" priority="4719">
      <formula>BD26="WR"</formula>
    </cfRule>
    <cfRule type="expression" dxfId="4416" priority="4720">
      <formula>BD26="RB"</formula>
    </cfRule>
    <cfRule type="expression" dxfId="4417" priority="4721">
      <formula>BD26="QB"</formula>
    </cfRule>
  </conditionalFormatting>
  <conditionalFormatting sqref="BB28">
    <cfRule type="expression" dxfId="4409" priority="4741">
      <formula>BD29="DEF"</formula>
    </cfRule>
    <cfRule type="expression" dxfId="4410" priority="4742">
      <formula>BD29="TE"</formula>
    </cfRule>
    <cfRule type="expression" dxfId="4408" priority="4743">
      <formula>BD29="WR"</formula>
    </cfRule>
    <cfRule type="expression" dxfId="4411" priority="4744">
      <formula>BD29="RB"</formula>
    </cfRule>
    <cfRule type="expression" dxfId="4407" priority="4745">
      <formula>BD29="QB"</formula>
    </cfRule>
  </conditionalFormatting>
  <conditionalFormatting sqref="BB29">
    <cfRule type="expression" dxfId="4405" priority="4746">
      <formula>BD29="K"</formula>
    </cfRule>
    <cfRule type="expression" dxfId="4406" priority="4747">
      <formula>BD29="DEF"</formula>
    </cfRule>
    <cfRule type="expression" dxfId="4401" priority="4748">
      <formula>BD29="TE"</formula>
    </cfRule>
    <cfRule type="expression" dxfId="4404" priority="4749">
      <formula>BD29="WR"</formula>
    </cfRule>
    <cfRule type="expression" dxfId="4402" priority="4750">
      <formula>BD29="RB"</formula>
    </cfRule>
    <cfRule type="expression" dxfId="4403" priority="4751">
      <formula>BD29="QB"</formula>
    </cfRule>
  </conditionalFormatting>
  <conditionalFormatting sqref="BB31">
    <cfRule type="expression" dxfId="4398" priority="4771">
      <formula>BD32="DEF"</formula>
    </cfRule>
    <cfRule type="expression" dxfId="4399" priority="4772">
      <formula>BD32="TE"</formula>
    </cfRule>
    <cfRule type="expression" dxfId="4400" priority="4773">
      <formula>BD32="WR"</formula>
    </cfRule>
    <cfRule type="expression" dxfId="4397" priority="4774">
      <formula>BD32="RB"</formula>
    </cfRule>
    <cfRule type="expression" dxfId="4396" priority="4775">
      <formula>BD32="QB"</formula>
    </cfRule>
  </conditionalFormatting>
  <conditionalFormatting sqref="BB32">
    <cfRule type="expression" dxfId="4394" priority="4776">
      <formula>BD32="K"</formula>
    </cfRule>
    <cfRule type="expression" dxfId="4393" priority="4777">
      <formula>BD32="DEF"</formula>
    </cfRule>
    <cfRule type="expression" dxfId="4392" priority="4778">
      <formula>BD32="TE"</formula>
    </cfRule>
    <cfRule type="expression" dxfId="4391" priority="4779">
      <formula>BD32="WR"</formula>
    </cfRule>
    <cfRule type="expression" dxfId="4395" priority="4780">
      <formula>BD32="RB"</formula>
    </cfRule>
    <cfRule type="expression" dxfId="4390" priority="4781">
      <formula>BD32="QB"</formula>
    </cfRule>
  </conditionalFormatting>
  <conditionalFormatting sqref="BB34">
    <cfRule type="expression" dxfId="4389" priority="4801">
      <formula>BD35="DEF"</formula>
    </cfRule>
    <cfRule type="expression" dxfId="4385" priority="4802">
      <formula>BD35="TE"</formula>
    </cfRule>
    <cfRule type="expression" dxfId="4386" priority="4803">
      <formula>BD35="WR"</formula>
    </cfRule>
    <cfRule type="expression" dxfId="4387" priority="4804">
      <formula>BD35="RB"</formula>
    </cfRule>
    <cfRule type="expression" dxfId="4388" priority="4805">
      <formula>BD35="QB"</formula>
    </cfRule>
  </conditionalFormatting>
  <conditionalFormatting sqref="BB35">
    <cfRule type="expression" dxfId="4379" priority="4806">
      <formula>BD35="K"</formula>
    </cfRule>
    <cfRule type="expression" dxfId="4380" priority="4807">
      <formula>BD35="DEF"</formula>
    </cfRule>
    <cfRule type="expression" dxfId="4381" priority="4808">
      <formula>BD35="TE"</formula>
    </cfRule>
    <cfRule type="expression" dxfId="4382" priority="4809">
      <formula>BD35="WR"</formula>
    </cfRule>
    <cfRule type="expression" dxfId="4383" priority="4810">
      <formula>BD35="RB"</formula>
    </cfRule>
    <cfRule type="expression" dxfId="4384" priority="4811">
      <formula>BD35="QB"</formula>
    </cfRule>
  </conditionalFormatting>
  <conditionalFormatting sqref="BB37">
    <cfRule type="expression" dxfId="4378" priority="4831">
      <formula>BD38="DEF"</formula>
    </cfRule>
    <cfRule type="expression" dxfId="4377" priority="4832">
      <formula>BD38="TE"</formula>
    </cfRule>
    <cfRule type="expression" dxfId="4376" priority="4833">
      <formula>BD38="WR"</formula>
    </cfRule>
    <cfRule type="expression" dxfId="4375" priority="4834">
      <formula>BD38="RB"</formula>
    </cfRule>
    <cfRule type="expression" dxfId="4374" priority="4835">
      <formula>BD38="QB"</formula>
    </cfRule>
  </conditionalFormatting>
  <conditionalFormatting sqref="BB38">
    <cfRule type="expression" dxfId="4372" priority="4836">
      <formula>BD38="K"</formula>
    </cfRule>
    <cfRule type="expression" dxfId="4373" priority="4837">
      <formula>BD38="DEF"</formula>
    </cfRule>
    <cfRule type="expression" dxfId="4371" priority="4838">
      <formula>BD38="TE"</formula>
    </cfRule>
    <cfRule type="expression" dxfId="4370" priority="4839">
      <formula>BD38="WR"</formula>
    </cfRule>
    <cfRule type="expression" dxfId="4369" priority="4840">
      <formula>BD38="RB"</formula>
    </cfRule>
    <cfRule type="expression" dxfId="4368" priority="4841">
      <formula>BD38="QB"</formula>
    </cfRule>
  </conditionalFormatting>
  <conditionalFormatting sqref="BB40">
    <cfRule type="expression" dxfId="4367" priority="4861">
      <formula>BD41="DEF"</formula>
    </cfRule>
    <cfRule type="expression" dxfId="4366" priority="4862">
      <formula>BD41="TE"</formula>
    </cfRule>
    <cfRule type="expression" dxfId="4365" priority="4863">
      <formula>BD41="WR"</formula>
    </cfRule>
    <cfRule type="expression" dxfId="4364" priority="4864">
      <formula>BD41="RB"</formula>
    </cfRule>
    <cfRule type="expression" dxfId="4363" priority="4865">
      <formula>BD41="QB"</formula>
    </cfRule>
  </conditionalFormatting>
  <conditionalFormatting sqref="BB41">
    <cfRule type="expression" dxfId="4360" priority="4866">
      <formula>BD41="K"</formula>
    </cfRule>
    <cfRule type="expression" dxfId="4361" priority="4867">
      <formula>BD41="DEF"</formula>
    </cfRule>
    <cfRule type="expression" dxfId="4359" priority="4868">
      <formula>BD41="TE"</formula>
    </cfRule>
    <cfRule type="expression" dxfId="4358" priority="4869">
      <formula>BD41="WR"</formula>
    </cfRule>
    <cfRule type="expression" dxfId="4362" priority="4870">
      <formula>BD41="RB"</formula>
    </cfRule>
    <cfRule type="expression" dxfId="4357" priority="4871">
      <formula>BD41="QB"</formula>
    </cfRule>
  </conditionalFormatting>
  <conditionalFormatting sqref="BB43">
    <cfRule type="expression" dxfId="4356" priority="4891">
      <formula>BD44="DEF"</formula>
    </cfRule>
    <cfRule type="expression" dxfId="4355" priority="4892">
      <formula>BD44="TE"</formula>
    </cfRule>
    <cfRule type="expression" dxfId="4354" priority="4893">
      <formula>BD44="WR"</formula>
    </cfRule>
    <cfRule type="expression" dxfId="4353" priority="4894">
      <formula>BD44="RB"</formula>
    </cfRule>
    <cfRule type="expression" dxfId="4352" priority="4895">
      <formula>BD44="QB"</formula>
    </cfRule>
  </conditionalFormatting>
  <conditionalFormatting sqref="BB44">
    <cfRule type="expression" dxfId="4351" priority="4896">
      <formula>BD44="K"</formula>
    </cfRule>
    <cfRule type="expression" dxfId="4350" priority="4897">
      <formula>BD44="DEF"</formula>
    </cfRule>
    <cfRule type="expression" dxfId="4349" priority="4898">
      <formula>BD44="TE"</formula>
    </cfRule>
    <cfRule type="expression" dxfId="4348" priority="4899">
      <formula>BD44="WR"</formula>
    </cfRule>
    <cfRule type="expression" dxfId="4347" priority="4900">
      <formula>BD44="RB"</formula>
    </cfRule>
    <cfRule type="expression" dxfId="4346" priority="4901">
      <formula>BD44="QB"</formula>
    </cfRule>
  </conditionalFormatting>
  <conditionalFormatting sqref="BB46">
    <cfRule type="expression" dxfId="4345" priority="4921">
      <formula>BD47="DEF"</formula>
    </cfRule>
    <cfRule type="expression" dxfId="4344" priority="4922">
      <formula>BD47="TE"</formula>
    </cfRule>
    <cfRule type="expression" dxfId="4343" priority="4923">
      <formula>BD47="WR"</formula>
    </cfRule>
    <cfRule type="expression" dxfId="4342" priority="4924">
      <formula>BD47="RB"</formula>
    </cfRule>
    <cfRule type="expression" dxfId="4341" priority="4925">
      <formula>BD47="QB"</formula>
    </cfRule>
  </conditionalFormatting>
  <conditionalFormatting sqref="BB47">
    <cfRule type="expression" dxfId="4340" priority="4926">
      <formula>BD47="K"</formula>
    </cfRule>
    <cfRule type="expression" dxfId="4339" priority="4927">
      <formula>BD47="DEF"</formula>
    </cfRule>
    <cfRule type="expression" dxfId="4338" priority="4928">
      <formula>BD47="TE"</formula>
    </cfRule>
    <cfRule type="expression" dxfId="4337" priority="4929">
      <formula>BD47="WR"</formula>
    </cfRule>
    <cfRule type="expression" dxfId="4336" priority="4930">
      <formula>BD47="RB"</formula>
    </cfRule>
    <cfRule type="expression" dxfId="4335" priority="4931">
      <formula>BD47="QB"</formula>
    </cfRule>
  </conditionalFormatting>
  <conditionalFormatting sqref="BB4:BE4">
    <cfRule type="expression" dxfId="4334" priority="4530">
      <formula>BD5="K"</formula>
    </cfRule>
  </conditionalFormatting>
  <conditionalFormatting sqref="BB7:BE7">
    <cfRule type="expression" dxfId="4333" priority="4560">
      <formula>BD8="K"</formula>
    </cfRule>
  </conditionalFormatting>
  <conditionalFormatting sqref="BB10:BE10">
    <cfRule type="expression" dxfId="4332" priority="4590">
      <formula>BD11="K"</formula>
    </cfRule>
  </conditionalFormatting>
  <conditionalFormatting sqref="BB13:BE13">
    <cfRule type="expression" dxfId="4331" priority="4620">
      <formula>BD14="K"</formula>
    </cfRule>
  </conditionalFormatting>
  <conditionalFormatting sqref="BB16:BE16">
    <cfRule type="expression" dxfId="4330" priority="4650">
      <formula>BD17="K"</formula>
    </cfRule>
  </conditionalFormatting>
  <conditionalFormatting sqref="BB19:BE19">
    <cfRule type="expression" dxfId="4329" priority="4680">
      <formula>BD20="K"</formula>
    </cfRule>
  </conditionalFormatting>
  <conditionalFormatting sqref="BB22:BE22">
    <cfRule type="expression" dxfId="4328" priority="4710">
      <formula>BD23="K"</formula>
    </cfRule>
  </conditionalFormatting>
  <conditionalFormatting sqref="BB25:BE25">
    <cfRule type="expression" dxfId="4327" priority="4740">
      <formula>BD26="K"</formula>
    </cfRule>
  </conditionalFormatting>
  <conditionalFormatting sqref="BB28:BE28">
    <cfRule type="expression" dxfId="4326" priority="4770">
      <formula>BD29="K"</formula>
    </cfRule>
  </conditionalFormatting>
  <conditionalFormatting sqref="BB31:BE31">
    <cfRule type="expression" dxfId="4325" priority="4800">
      <formula>BD32="K"</formula>
    </cfRule>
  </conditionalFormatting>
  <conditionalFormatting sqref="BB34:BE34">
    <cfRule type="expression" dxfId="4324" priority="4830">
      <formula>BD35="K"</formula>
    </cfRule>
  </conditionalFormatting>
  <conditionalFormatting sqref="BB37:BE37">
    <cfRule type="expression" dxfId="4323" priority="4860">
      <formula>BD38="K"</formula>
    </cfRule>
  </conditionalFormatting>
  <conditionalFormatting sqref="BB40:BE40">
    <cfRule type="expression" dxfId="4322" priority="4890">
      <formula>BD41="K"</formula>
    </cfRule>
  </conditionalFormatting>
  <conditionalFormatting sqref="BB43:BE43">
    <cfRule type="expression" dxfId="4321" priority="4920">
      <formula>BD44="K"</formula>
    </cfRule>
  </conditionalFormatting>
  <conditionalFormatting sqref="BB46:BE46">
    <cfRule type="expression" dxfId="4320" priority="4950">
      <formula>BD47="K"</formula>
    </cfRule>
  </conditionalFormatting>
  <conditionalFormatting sqref="BC5">
    <cfRule type="expression" dxfId="4314" priority="4512">
      <formula>BD5="K"</formula>
    </cfRule>
    <cfRule type="expression" dxfId="4315" priority="4513">
      <formula>BD5="DEF"</formula>
    </cfRule>
    <cfRule type="expression" dxfId="4316" priority="4514">
      <formula>BD5="TE"</formula>
    </cfRule>
    <cfRule type="expression" dxfId="4319" priority="4515">
      <formula>BD5="WR"</formula>
    </cfRule>
    <cfRule type="expression" dxfId="4318" priority="4516">
      <formula>BD5="RB"</formula>
    </cfRule>
    <cfRule type="expression" dxfId="4317" priority="4517">
      <formula>BD5="QB"</formula>
    </cfRule>
  </conditionalFormatting>
  <conditionalFormatting sqref="BC8">
    <cfRule type="expression" dxfId="4313" priority="4542">
      <formula>BD8="K"</formula>
    </cfRule>
    <cfRule type="expression" dxfId="4312" priority="4543">
      <formula>BD8="DEF"</formula>
    </cfRule>
    <cfRule type="expression" dxfId="4311" priority="4544">
      <formula>BD8="TE"</formula>
    </cfRule>
    <cfRule type="expression" dxfId="4308" priority="4545">
      <formula>BD8="WR"</formula>
    </cfRule>
    <cfRule type="expression" dxfId="4310" priority="4546">
      <formula>BD8="RB"</formula>
    </cfRule>
    <cfRule type="expression" dxfId="4309" priority="4547">
      <formula>BD8="QB"</formula>
    </cfRule>
  </conditionalFormatting>
  <conditionalFormatting sqref="BC11">
    <cfRule type="expression" dxfId="4303" priority="4572">
      <formula>BD11="K"</formula>
    </cfRule>
    <cfRule type="expression" dxfId="4304" priority="4573">
      <formula>BD11="DEF"</formula>
    </cfRule>
    <cfRule type="expression" dxfId="4305" priority="4574">
      <formula>BD11="TE"</formula>
    </cfRule>
    <cfRule type="expression" dxfId="4306" priority="4575">
      <formula>BD11="WR"</formula>
    </cfRule>
    <cfRule type="expression" dxfId="4307" priority="4576">
      <formula>BD11="RB"</formula>
    </cfRule>
    <cfRule type="expression" dxfId="4302" priority="4577">
      <formula>BD11="QB"</formula>
    </cfRule>
  </conditionalFormatting>
  <conditionalFormatting sqref="BC14">
    <cfRule type="expression" dxfId="4296" priority="4602">
      <formula>BD14="K"</formula>
    </cfRule>
    <cfRule type="expression" dxfId="4297" priority="4603">
      <formula>BD14="DEF"</formula>
    </cfRule>
    <cfRule type="expression" dxfId="4298" priority="4604">
      <formula>BD14="TE"</formula>
    </cfRule>
    <cfRule type="expression" dxfId="4299" priority="4605">
      <formula>BD14="WR"</formula>
    </cfRule>
    <cfRule type="expression" dxfId="4300" priority="4606">
      <formula>BD14="RB"</formula>
    </cfRule>
    <cfRule type="expression" dxfId="4301" priority="4607">
      <formula>BD14="QB"</formula>
    </cfRule>
  </conditionalFormatting>
  <conditionalFormatting sqref="BC17">
    <cfRule type="expression" dxfId="4290" priority="4632">
      <formula>BD17="K"</formula>
    </cfRule>
    <cfRule type="expression" dxfId="4295" priority="4633">
      <formula>BD17="DEF"</formula>
    </cfRule>
    <cfRule type="expression" dxfId="4294" priority="4634">
      <formula>BD17="TE"</formula>
    </cfRule>
    <cfRule type="expression" dxfId="4293" priority="4635">
      <formula>BD17="WR"</formula>
    </cfRule>
    <cfRule type="expression" dxfId="4292" priority="4636">
      <formula>BD17="RB"</formula>
    </cfRule>
    <cfRule type="expression" dxfId="4291" priority="4637">
      <formula>BD17="QB"</formula>
    </cfRule>
  </conditionalFormatting>
  <conditionalFormatting sqref="BC20">
    <cfRule type="expression" dxfId="4288" priority="4662">
      <formula>BD20="K"</formula>
    </cfRule>
    <cfRule type="expression" dxfId="4284" priority="4663">
      <formula>BD20="DEF"</formula>
    </cfRule>
    <cfRule type="expression" dxfId="4289" priority="4664">
      <formula>BD20="TE"</formula>
    </cfRule>
    <cfRule type="expression" dxfId="4285" priority="4665">
      <formula>BD20="WR"</formula>
    </cfRule>
    <cfRule type="expression" dxfId="4286" priority="4666">
      <formula>BD20="RB"</formula>
    </cfRule>
    <cfRule type="expression" dxfId="4287" priority="4667">
      <formula>BD20="QB"</formula>
    </cfRule>
  </conditionalFormatting>
  <conditionalFormatting sqref="BC23">
    <cfRule type="expression" dxfId="4278" priority="4692">
      <formula>BD23="K"</formula>
    </cfRule>
    <cfRule type="expression" dxfId="4283" priority="4693">
      <formula>BD23="DEF"</formula>
    </cfRule>
    <cfRule type="expression" dxfId="4282" priority="4694">
      <formula>BD23="TE"</formula>
    </cfRule>
    <cfRule type="expression" dxfId="4281" priority="4695">
      <formula>BD23="WR"</formula>
    </cfRule>
    <cfRule type="expression" dxfId="4280" priority="4696">
      <formula>BD23="RB"</formula>
    </cfRule>
    <cfRule type="expression" dxfId="4279" priority="4697">
      <formula>BD23="QB"</formula>
    </cfRule>
  </conditionalFormatting>
  <conditionalFormatting sqref="BC26">
    <cfRule type="expression" dxfId="4272" priority="4722">
      <formula>BD26="K"</formula>
    </cfRule>
    <cfRule type="expression" dxfId="4277" priority="4723">
      <formula>BD26="DEF"</formula>
    </cfRule>
    <cfRule type="expression" dxfId="4276" priority="4724">
      <formula>BD26="TE"</formula>
    </cfRule>
    <cfRule type="expression" dxfId="4275" priority="4725">
      <formula>BD26="WR"</formula>
    </cfRule>
    <cfRule type="expression" dxfId="4274" priority="4726">
      <formula>BD26="RB"</formula>
    </cfRule>
    <cfRule type="expression" dxfId="4273" priority="4727">
      <formula>BD26="QB"</formula>
    </cfRule>
  </conditionalFormatting>
  <conditionalFormatting sqref="BC29">
    <cfRule type="expression" dxfId="4266" priority="4752">
      <formula>BD29="K"</formula>
    </cfRule>
    <cfRule type="expression" dxfId="4271" priority="4753">
      <formula>BD29="DEF"</formula>
    </cfRule>
    <cfRule type="expression" dxfId="4270" priority="4754">
      <formula>BD29="TE"</formula>
    </cfRule>
    <cfRule type="expression" dxfId="4268" priority="4755">
      <formula>BD29="WR"</formula>
    </cfRule>
    <cfRule type="expression" dxfId="4269" priority="4756">
      <formula>BD29="RB"</formula>
    </cfRule>
    <cfRule type="expression" dxfId="4267" priority="4757">
      <formula>BD29="QB"</formula>
    </cfRule>
  </conditionalFormatting>
  <conditionalFormatting sqref="BC32">
    <cfRule type="expression" dxfId="4260" priority="4782">
      <formula>BD32="K"</formula>
    </cfRule>
    <cfRule type="expression" dxfId="4265" priority="4783">
      <formula>BD32="DEF"</formula>
    </cfRule>
    <cfRule type="expression" dxfId="4264" priority="4784">
      <formula>BD32="TE"</formula>
    </cfRule>
    <cfRule type="expression" dxfId="4263" priority="4785">
      <formula>BD32="WR"</formula>
    </cfRule>
    <cfRule type="expression" dxfId="4262" priority="4786">
      <formula>BD32="RB"</formula>
    </cfRule>
    <cfRule type="expression" dxfId="4261" priority="4787">
      <formula>BD32="QB"</formula>
    </cfRule>
  </conditionalFormatting>
  <conditionalFormatting sqref="BC35">
    <cfRule type="expression" dxfId="4259" priority="4812">
      <formula>BD35="K"</formula>
    </cfRule>
    <cfRule type="expression" dxfId="4258" priority="4813">
      <formula>BD35="DEF"</formula>
    </cfRule>
    <cfRule type="expression" dxfId="4257" priority="4814">
      <formula>BD35="TE"</formula>
    </cfRule>
    <cfRule type="expression" dxfId="4256" priority="4815">
      <formula>BD35="WR"</formula>
    </cfRule>
    <cfRule type="expression" dxfId="4255" priority="4816">
      <formula>BD35="RB"</formula>
    </cfRule>
    <cfRule type="expression" dxfId="4254" priority="4817">
      <formula>BD35="QB"</formula>
    </cfRule>
  </conditionalFormatting>
  <conditionalFormatting sqref="BC38">
    <cfRule type="expression" dxfId="4252" priority="4842">
      <formula>BD38="K"</formula>
    </cfRule>
    <cfRule type="expression" dxfId="4253" priority="4843">
      <formula>BD38="DEF"</formula>
    </cfRule>
    <cfRule type="expression" dxfId="4251" priority="4844">
      <formula>BD38="TE"</formula>
    </cfRule>
    <cfRule type="expression" dxfId="4250" priority="4845">
      <formula>BD38="WR"</formula>
    </cfRule>
    <cfRule type="expression" dxfId="4249" priority="4846">
      <formula>BD38="RB"</formula>
    </cfRule>
    <cfRule type="expression" dxfId="4248" priority="4847">
      <formula>BD38="QB"</formula>
    </cfRule>
  </conditionalFormatting>
  <conditionalFormatting sqref="BC41">
    <cfRule type="expression" dxfId="4243" priority="4872">
      <formula>BD41="K"</formula>
    </cfRule>
    <cfRule type="expression" dxfId="4244" priority="4873">
      <formula>BD41="DEF"</formula>
    </cfRule>
    <cfRule type="expression" dxfId="4246" priority="4874">
      <formula>BD41="TE"</formula>
    </cfRule>
    <cfRule type="expression" dxfId="4247" priority="4875">
      <formula>BD41="WR"</formula>
    </cfRule>
    <cfRule type="expression" dxfId="4245" priority="4876">
      <formula>BD41="RB"</formula>
    </cfRule>
    <cfRule type="expression" dxfId="4242" priority="4877">
      <formula>BD41="QB"</formula>
    </cfRule>
  </conditionalFormatting>
  <conditionalFormatting sqref="BC44">
    <cfRule type="expression" dxfId="4239" priority="4902">
      <formula>BD44="K"</formula>
    </cfRule>
    <cfRule type="expression" dxfId="4238" priority="4903">
      <formula>BD44="DEF"</formula>
    </cfRule>
    <cfRule type="expression" dxfId="4237" priority="4904">
      <formula>BD44="TE"</formula>
    </cfRule>
    <cfRule type="expression" dxfId="4236" priority="4905">
      <formula>BD44="WR"</formula>
    </cfRule>
    <cfRule type="expression" dxfId="4240" priority="4906">
      <formula>BD44="RB"</formula>
    </cfRule>
    <cfRule type="expression" dxfId="4241" priority="4907">
      <formula>BD44="QB"</formula>
    </cfRule>
  </conditionalFormatting>
  <conditionalFormatting sqref="BC47">
    <cfRule type="expression" dxfId="4233" priority="4932">
      <formula>BD47="K"</formula>
    </cfRule>
    <cfRule type="expression" dxfId="4234" priority="4933">
      <formula>BD47="DEF"</formula>
    </cfRule>
    <cfRule type="expression" dxfId="4235" priority="4934">
      <formula>BD47="TE"</formula>
    </cfRule>
    <cfRule type="expression" dxfId="4231" priority="4935">
      <formula>BD47="WR"</formula>
    </cfRule>
    <cfRule type="expression" dxfId="4230" priority="4936">
      <formula>BD47="RB"</formula>
    </cfRule>
    <cfRule type="expression" dxfId="4232" priority="4937">
      <formula>BD47="QB"</formula>
    </cfRule>
  </conditionalFormatting>
  <conditionalFormatting sqref="BD5">
    <cfRule type="expression" dxfId="4225" priority="4518">
      <formula>BD5="K"</formula>
    </cfRule>
    <cfRule type="expression" dxfId="4226" priority="4519">
      <formula>BD5="DEF"</formula>
    </cfRule>
    <cfRule type="expression" dxfId="4227" priority="4520">
      <formula>BD5="TE"</formula>
    </cfRule>
    <cfRule type="expression" dxfId="4228" priority="4521">
      <formula>BD5="WR"</formula>
    </cfRule>
    <cfRule type="expression" dxfId="4229" priority="4522">
      <formula>BD5="RB"</formula>
    </cfRule>
    <cfRule type="expression" dxfId="4224" priority="4523">
      <formula>BD5="QB"</formula>
    </cfRule>
  </conditionalFormatting>
  <conditionalFormatting sqref="BD8">
    <cfRule type="expression" dxfId="4219" priority="4548">
      <formula>BD8="K"</formula>
    </cfRule>
    <cfRule type="expression" dxfId="4218" priority="4549">
      <formula>BD8="DEF"</formula>
    </cfRule>
    <cfRule type="expression" dxfId="4223" priority="4550">
      <formula>BD8="TE"</formula>
    </cfRule>
    <cfRule type="expression" dxfId="4220" priority="4551">
      <formula>BD8="WR"</formula>
    </cfRule>
    <cfRule type="expression" dxfId="4222" priority="4552">
      <formula>BD8="RB"</formula>
    </cfRule>
    <cfRule type="expression" dxfId="4221" priority="4553">
      <formula>BD8="QB"</formula>
    </cfRule>
  </conditionalFormatting>
  <conditionalFormatting sqref="BD11">
    <cfRule type="expression" dxfId="4215" priority="4578">
      <formula>BD11="K"</formula>
    </cfRule>
    <cfRule type="expression" dxfId="4216" priority="4579">
      <formula>BD11="DEF"</formula>
    </cfRule>
    <cfRule type="expression" dxfId="4212" priority="4580">
      <formula>BD11="TE"</formula>
    </cfRule>
    <cfRule type="expression" dxfId="4213" priority="4581">
      <formula>BD11="WR"</formula>
    </cfRule>
    <cfRule type="expression" dxfId="4214" priority="4582">
      <formula>BD11="RB"</formula>
    </cfRule>
    <cfRule type="expression" dxfId="4217" priority="4583">
      <formula>BD11="QB"</formula>
    </cfRule>
  </conditionalFormatting>
  <conditionalFormatting sqref="BD14">
    <cfRule type="expression" dxfId="4206" priority="4608">
      <formula>BD14="K"</formula>
    </cfRule>
    <cfRule type="expression" dxfId="4207" priority="4609">
      <formula>BD14="DEF"</formula>
    </cfRule>
    <cfRule type="expression" dxfId="4211" priority="4610">
      <formula>BD14="TE"</formula>
    </cfRule>
    <cfRule type="expression" dxfId="4210" priority="4611">
      <formula>BD14="WR"</formula>
    </cfRule>
    <cfRule type="expression" dxfId="4209" priority="4612">
      <formula>BD14="RB"</formula>
    </cfRule>
    <cfRule type="expression" dxfId="4208" priority="4613">
      <formula>BD14="QB"</formula>
    </cfRule>
  </conditionalFormatting>
  <conditionalFormatting sqref="BD17">
    <cfRule type="expression" dxfId="4202" priority="4638">
      <formula>BD17="K"</formula>
    </cfRule>
    <cfRule type="expression" dxfId="4204" priority="4639">
      <formula>BD17="DEF"</formula>
    </cfRule>
    <cfRule type="expression" dxfId="4203" priority="4640">
      <formula>BD17="TE"</formula>
    </cfRule>
    <cfRule type="expression" dxfId="4205" priority="4641">
      <formula>BD17="WR"</formula>
    </cfRule>
    <cfRule type="expression" dxfId="4200" priority="4642">
      <formula>BD17="RB"</formula>
    </cfRule>
    <cfRule type="expression" dxfId="4201" priority="4643">
      <formula>BD17="QB"</formula>
    </cfRule>
  </conditionalFormatting>
  <conditionalFormatting sqref="BD20">
    <cfRule type="expression" dxfId="4196" priority="4668">
      <formula>BD20="K"</formula>
    </cfRule>
    <cfRule type="expression" dxfId="4195" priority="4669">
      <formula>BD20="DEF"</formula>
    </cfRule>
    <cfRule type="expression" dxfId="4194" priority="4670">
      <formula>BD20="TE"</formula>
    </cfRule>
    <cfRule type="expression" dxfId="4199" priority="4671">
      <formula>BD20="WR"</formula>
    </cfRule>
    <cfRule type="expression" dxfId="4198" priority="4672">
      <formula>BD20="RB"</formula>
    </cfRule>
    <cfRule type="expression" dxfId="4197" priority="4673">
      <formula>BD20="QB"</formula>
    </cfRule>
  </conditionalFormatting>
  <conditionalFormatting sqref="BD23">
    <cfRule type="expression" dxfId="4191" priority="4698">
      <formula>BD23="K"</formula>
    </cfRule>
    <cfRule type="expression" dxfId="4188" priority="4699">
      <formula>BD23="DEF"</formula>
    </cfRule>
    <cfRule type="expression" dxfId="4189" priority="4700">
      <formula>BD23="TE"</formula>
    </cfRule>
    <cfRule type="expression" dxfId="4190" priority="4701">
      <formula>BD23="WR"</formula>
    </cfRule>
    <cfRule type="expression" dxfId="4193" priority="4702">
      <formula>BD23="RB"</formula>
    </cfRule>
    <cfRule type="expression" dxfId="4192" priority="4703">
      <formula>BD23="QB"</formula>
    </cfRule>
  </conditionalFormatting>
  <conditionalFormatting sqref="BD26">
    <cfRule type="expression" dxfId="4187" priority="4728">
      <formula>BD26="K"</formula>
    </cfRule>
    <cfRule type="expression" dxfId="4186" priority="4729">
      <formula>BD26="DEF"</formula>
    </cfRule>
    <cfRule type="expression" dxfId="4185" priority="4730">
      <formula>BD26="TE"</formula>
    </cfRule>
    <cfRule type="expression" dxfId="4184" priority="4731">
      <formula>BD26="WR"</formula>
    </cfRule>
    <cfRule type="expression" dxfId="4183" priority="4732">
      <formula>BD26="RB"</formula>
    </cfRule>
    <cfRule type="expression" dxfId="4182" priority="4733">
      <formula>BD26="QB"</formula>
    </cfRule>
  </conditionalFormatting>
  <conditionalFormatting sqref="BD29">
    <cfRule type="expression" dxfId="4176" priority="4758">
      <formula>BD29="K"</formula>
    </cfRule>
    <cfRule type="expression" dxfId="4181" priority="4759">
      <formula>BD29="DEF"</formula>
    </cfRule>
    <cfRule type="expression" dxfId="4180" priority="4760">
      <formula>BD29="TE"</formula>
    </cfRule>
    <cfRule type="expression" dxfId="4179" priority="4761">
      <formula>BD29="WR"</formula>
    </cfRule>
    <cfRule type="expression" dxfId="4178" priority="4762">
      <formula>BD29="RB"</formula>
    </cfRule>
    <cfRule type="expression" dxfId="4177" priority="4763">
      <formula>BD29="QB"</formula>
    </cfRule>
  </conditionalFormatting>
  <conditionalFormatting sqref="BD32">
    <cfRule type="expression" dxfId="4170" priority="4788">
      <formula>BD32="K"</formula>
    </cfRule>
    <cfRule type="expression" dxfId="4171" priority="4789">
      <formula>BD32="DEF"</formula>
    </cfRule>
    <cfRule type="expression" dxfId="4172" priority="4790">
      <formula>BD32="TE"</formula>
    </cfRule>
    <cfRule type="expression" dxfId="4173" priority="4791">
      <formula>BD32="WR"</formula>
    </cfRule>
    <cfRule type="expression" dxfId="4174" priority="4792">
      <formula>BD32="RB"</formula>
    </cfRule>
    <cfRule type="expression" dxfId="4175" priority="4793">
      <formula>BD32="QB"</formula>
    </cfRule>
  </conditionalFormatting>
  <conditionalFormatting sqref="BD35">
    <cfRule type="expression" dxfId="4166" priority="4818">
      <formula>BD35="K"</formula>
    </cfRule>
    <cfRule type="expression" dxfId="4169" priority="4819">
      <formula>BD35="DEF"</formula>
    </cfRule>
    <cfRule type="expression" dxfId="4168" priority="4820">
      <formula>BD35="TE"</formula>
    </cfRule>
    <cfRule type="expression" dxfId="4167" priority="4821">
      <formula>BD35="WR"</formula>
    </cfRule>
    <cfRule type="expression" dxfId="4165" priority="4822">
      <formula>BD35="RB"</formula>
    </cfRule>
    <cfRule type="expression" dxfId="4164" priority="4823">
      <formula>BD35="QB"</formula>
    </cfRule>
  </conditionalFormatting>
  <conditionalFormatting sqref="BD38">
    <cfRule type="expression" dxfId="4163" priority="4848">
      <formula>BD38="K"</formula>
    </cfRule>
    <cfRule type="expression" dxfId="4162" priority="4849">
      <formula>BD38="DEF"</formula>
    </cfRule>
    <cfRule type="expression" dxfId="4161" priority="4850">
      <formula>BD38="TE"</formula>
    </cfRule>
    <cfRule type="expression" dxfId="4160" priority="4851">
      <formula>BD38="WR"</formula>
    </cfRule>
    <cfRule type="expression" dxfId="4159" priority="4852">
      <formula>BD38="RB"</formula>
    </cfRule>
    <cfRule type="expression" dxfId="4158" priority="4853">
      <formula>BD38="QB"</formula>
    </cfRule>
  </conditionalFormatting>
  <conditionalFormatting sqref="BD41">
    <cfRule type="expression" dxfId="4157" priority="4878">
      <formula>BD41="K"</formula>
    </cfRule>
    <cfRule type="expression" dxfId="4152" priority="4879">
      <formula>BD41="DEF"</formula>
    </cfRule>
    <cfRule type="expression" dxfId="4153" priority="4880">
      <formula>BD41="TE"</formula>
    </cfRule>
    <cfRule type="expression" dxfId="4154" priority="4881">
      <formula>BD41="WR"</formula>
    </cfRule>
    <cfRule type="expression" dxfId="4155" priority="4882">
      <formula>BD41="RB"</formula>
    </cfRule>
    <cfRule type="expression" dxfId="4156" priority="4883">
      <formula>BD41="QB"</formula>
    </cfRule>
  </conditionalFormatting>
  <conditionalFormatting sqref="BD44">
    <cfRule type="expression" dxfId="4151" priority="4908">
      <formula>BD44="K"</formula>
    </cfRule>
    <cfRule type="expression" dxfId="4150" priority="4909">
      <formula>BD44="DEF"</formula>
    </cfRule>
    <cfRule type="expression" dxfId="4149" priority="4910">
      <formula>BD44="TE"</formula>
    </cfRule>
    <cfRule type="expression" dxfId="4148" priority="4911">
      <formula>BD44="WR"</formula>
    </cfRule>
    <cfRule type="expression" dxfId="4146" priority="4912">
      <formula>BD44="RB"</formula>
    </cfRule>
    <cfRule type="expression" dxfId="4147" priority="4913">
      <formula>BD44="QB"</formula>
    </cfRule>
  </conditionalFormatting>
  <conditionalFormatting sqref="BD47">
    <cfRule type="expression" dxfId="4142" priority="4938">
      <formula>BD47="K"</formula>
    </cfRule>
    <cfRule type="expression" dxfId="4143" priority="4939">
      <formula>BD47="DEF"</formula>
    </cfRule>
    <cfRule type="expression" dxfId="4144" priority="4940">
      <formula>BD47="TE"</formula>
    </cfRule>
    <cfRule type="expression" dxfId="4141" priority="4941">
      <formula>BD47="WR"</formula>
    </cfRule>
    <cfRule type="expression" dxfId="4145" priority="4942">
      <formula>BD47="RB"</formula>
    </cfRule>
    <cfRule type="expression" dxfId="4140" priority="4943">
      <formula>BD47="QB"</formula>
    </cfRule>
  </conditionalFormatting>
  <conditionalFormatting sqref="BE5">
    <cfRule type="expression" dxfId="4135" priority="4524">
      <formula>BD5="K"</formula>
    </cfRule>
    <cfRule type="expression" dxfId="4136" priority="4525">
      <formula>BD5="DEF"</formula>
    </cfRule>
    <cfRule type="expression" dxfId="4137" priority="4526">
      <formula>BD5="TE"</formula>
    </cfRule>
    <cfRule type="expression" dxfId="4138" priority="4527">
      <formula>BD5="WR"</formula>
    </cfRule>
    <cfRule type="expression" dxfId="4139" priority="4528">
      <formula>BD5="RB"</formula>
    </cfRule>
    <cfRule type="expression" dxfId="4134" priority="4529">
      <formula>BD5="QB"</formula>
    </cfRule>
  </conditionalFormatting>
  <conditionalFormatting sqref="BE8">
    <cfRule type="expression" dxfId="4128" priority="4554">
      <formula>BD8="K"</formula>
    </cfRule>
    <cfRule type="expression" dxfId="4133" priority="4555">
      <formula>BD8="DEF"</formula>
    </cfRule>
    <cfRule type="expression" dxfId="4129" priority="4556">
      <formula>BD8="TE"</formula>
    </cfRule>
    <cfRule type="expression" dxfId="4130" priority="4557">
      <formula>BD8="WR"</formula>
    </cfRule>
    <cfRule type="expression" dxfId="4131" priority="4558">
      <formula>BD8="RB"</formula>
    </cfRule>
    <cfRule type="expression" dxfId="4132" priority="4559">
      <formula>BD8="QB"</formula>
    </cfRule>
  </conditionalFormatting>
  <conditionalFormatting sqref="BE11">
    <cfRule type="expression" dxfId="4123" priority="4584">
      <formula>BD11="K"</formula>
    </cfRule>
    <cfRule type="expression" dxfId="4122" priority="4585">
      <formula>BD11="DEF"</formula>
    </cfRule>
    <cfRule type="expression" dxfId="4124" priority="4586">
      <formula>BD11="TE"</formula>
    </cfRule>
    <cfRule type="expression" dxfId="4127" priority="4587">
      <formula>BD11="WR"</formula>
    </cfRule>
    <cfRule type="expression" dxfId="4126" priority="4588">
      <formula>BD11="RB"</formula>
    </cfRule>
    <cfRule type="expression" dxfId="4125" priority="4589">
      <formula>BD11="QB"</formula>
    </cfRule>
  </conditionalFormatting>
  <conditionalFormatting sqref="BE14">
    <cfRule type="expression" dxfId="4121" priority="4614">
      <formula>BD14="K"</formula>
    </cfRule>
    <cfRule type="expression" dxfId="4120" priority="4615">
      <formula>BD14="DEF"</formula>
    </cfRule>
    <cfRule type="expression" dxfId="4116" priority="4616">
      <formula>BD14="TE"</formula>
    </cfRule>
    <cfRule type="expression" dxfId="4117" priority="4617">
      <formula>BD14="WR"</formula>
    </cfRule>
    <cfRule type="expression" dxfId="4118" priority="4618">
      <formula>BD14="RB"</formula>
    </cfRule>
    <cfRule type="expression" dxfId="4119" priority="4619">
      <formula>BD14="QB"</formula>
    </cfRule>
  </conditionalFormatting>
  <conditionalFormatting sqref="BE17">
    <cfRule type="expression" dxfId="4115" priority="4644">
      <formula>BD17="K"</formula>
    </cfRule>
    <cfRule type="expression" dxfId="4114" priority="4645">
      <formula>BD17="DEF"</formula>
    </cfRule>
    <cfRule type="expression" dxfId="4111" priority="4646">
      <formula>BD17="TE"</formula>
    </cfRule>
    <cfRule type="expression" dxfId="4113" priority="4647">
      <formula>BD17="WR"</formula>
    </cfRule>
    <cfRule type="expression" dxfId="4110" priority="4648">
      <formula>BD17="RB"</formula>
    </cfRule>
    <cfRule type="expression" dxfId="4112" priority="4649">
      <formula>BD17="QB"</formula>
    </cfRule>
  </conditionalFormatting>
  <conditionalFormatting sqref="BE20">
    <cfRule type="expression" dxfId="4109" priority="4674">
      <formula>BD20="K"</formula>
    </cfRule>
    <cfRule type="expression" dxfId="4108" priority="4675">
      <formula>BD20="DEF"</formula>
    </cfRule>
    <cfRule type="expression" dxfId="4107" priority="4676">
      <formula>BD20="TE"</formula>
    </cfRule>
    <cfRule type="expression" dxfId="4106" priority="4677">
      <formula>BD20="WR"</formula>
    </cfRule>
    <cfRule type="expression" dxfId="4105" priority="4678">
      <formula>BD20="RB"</formula>
    </cfRule>
    <cfRule type="expression" dxfId="4104" priority="4679">
      <formula>BD20="QB"</formula>
    </cfRule>
  </conditionalFormatting>
  <conditionalFormatting sqref="BE23">
    <cfRule type="expression" dxfId="4100" priority="4704">
      <formula>BD23="K"</formula>
    </cfRule>
    <cfRule type="expression" dxfId="4101" priority="4705">
      <formula>BD23="DEF"</formula>
    </cfRule>
    <cfRule type="expression" dxfId="4102" priority="4706">
      <formula>BD23="TE"</formula>
    </cfRule>
    <cfRule type="expression" dxfId="4103" priority="4707">
      <formula>BD23="WR"</formula>
    </cfRule>
    <cfRule type="expression" dxfId="4098" priority="4708">
      <formula>BD23="RB"</formula>
    </cfRule>
    <cfRule type="expression" dxfId="4099" priority="4709">
      <formula>BD23="QB"</formula>
    </cfRule>
  </conditionalFormatting>
  <conditionalFormatting sqref="BE26">
    <cfRule type="expression" dxfId="4095" priority="4734">
      <formula>BD26="K"</formula>
    </cfRule>
    <cfRule type="expression" dxfId="4096" priority="4735">
      <formula>BD26="DEF"</formula>
    </cfRule>
    <cfRule type="expression" dxfId="4097" priority="4736">
      <formula>BD26="TE"</formula>
    </cfRule>
    <cfRule type="expression" dxfId="4094" priority="4737">
      <formula>BD26="WR"</formula>
    </cfRule>
    <cfRule type="expression" dxfId="4093" priority="4738">
      <formula>BD26="RB"</formula>
    </cfRule>
    <cfRule type="expression" dxfId="4092" priority="4739">
      <formula>BD26="QB"</formula>
    </cfRule>
  </conditionalFormatting>
  <conditionalFormatting sqref="BE29">
    <cfRule type="expression" dxfId="4090" priority="4764">
      <formula>BD29="K"</formula>
    </cfRule>
    <cfRule type="expression" dxfId="4089" priority="4765">
      <formula>BD29="DEF"</formula>
    </cfRule>
    <cfRule type="expression" dxfId="4091" priority="4766">
      <formula>BD29="TE"</formula>
    </cfRule>
    <cfRule type="expression" dxfId="4088" priority="4767">
      <formula>BD29="WR"</formula>
    </cfRule>
    <cfRule type="expression" dxfId="4087" priority="4768">
      <formula>BD29="RB"</formula>
    </cfRule>
    <cfRule type="expression" dxfId="4086" priority="4769">
      <formula>BD29="QB"</formula>
    </cfRule>
  </conditionalFormatting>
  <conditionalFormatting sqref="BE32">
    <cfRule type="expression" dxfId="4085" priority="4794">
      <formula>BD32="K"</formula>
    </cfRule>
    <cfRule type="expression" dxfId="4080" priority="4795">
      <formula>BD32="DEF"</formula>
    </cfRule>
    <cfRule type="expression" dxfId="4081" priority="4796">
      <formula>BD32="TE"</formula>
    </cfRule>
    <cfRule type="expression" dxfId="4082" priority="4797">
      <formula>BD32="WR"</formula>
    </cfRule>
    <cfRule type="expression" dxfId="4083" priority="4798">
      <formula>BD32="RB"</formula>
    </cfRule>
    <cfRule type="expression" dxfId="4084" priority="4799">
      <formula>BD32="QB"</formula>
    </cfRule>
  </conditionalFormatting>
  <conditionalFormatting sqref="BE35">
    <cfRule type="expression" dxfId="4074" priority="4824">
      <formula>BD35="K"</formula>
    </cfRule>
    <cfRule type="expression" dxfId="4075" priority="4825">
      <formula>BD35="DEF"</formula>
    </cfRule>
    <cfRule type="expression" dxfId="4076" priority="4826">
      <formula>BD35="TE"</formula>
    </cfRule>
    <cfRule type="expression" dxfId="4079" priority="4827">
      <formula>BD35="WR"</formula>
    </cfRule>
    <cfRule type="expression" dxfId="4078" priority="4828">
      <formula>BD35="RB"</formula>
    </cfRule>
    <cfRule type="expression" dxfId="4077" priority="4829">
      <formula>BD35="QB"</formula>
    </cfRule>
  </conditionalFormatting>
  <conditionalFormatting sqref="BE38">
    <cfRule type="expression" dxfId="4073" priority="4854">
      <formula>BD38="K"</formula>
    </cfRule>
    <cfRule type="expression" dxfId="4072" priority="4855">
      <formula>BD38="DEF"</formula>
    </cfRule>
    <cfRule type="expression" dxfId="4071" priority="4856">
      <formula>BD38="TE"</formula>
    </cfRule>
    <cfRule type="expression" dxfId="4068" priority="4857">
      <formula>BD38="WR"</formula>
    </cfRule>
    <cfRule type="expression" dxfId="4070" priority="4858">
      <formula>BD38="RB"</formula>
    </cfRule>
    <cfRule type="expression" dxfId="4069" priority="4859">
      <formula>BD38="QB"</formula>
    </cfRule>
  </conditionalFormatting>
  <conditionalFormatting sqref="BE41">
    <cfRule type="expression" dxfId="4065" priority="4884">
      <formula>BD41="K"</formula>
    </cfRule>
    <cfRule type="expression" dxfId="4066" priority="4885">
      <formula>BD41="DEF"</formula>
    </cfRule>
    <cfRule type="expression" dxfId="4067" priority="4886">
      <formula>BD41="TE"</formula>
    </cfRule>
    <cfRule type="expression" dxfId="4062" priority="4887">
      <formula>BD41="WR"</formula>
    </cfRule>
    <cfRule type="expression" dxfId="4063" priority="4888">
      <formula>BD41="RB"</formula>
    </cfRule>
    <cfRule type="expression" dxfId="4064" priority="4889">
      <formula>BD41="QB"</formula>
    </cfRule>
  </conditionalFormatting>
  <conditionalFormatting sqref="BE44">
    <cfRule type="expression" dxfId="4060" priority="4914">
      <formula>BD44="K"</formula>
    </cfRule>
    <cfRule type="expression" dxfId="4058" priority="4915">
      <formula>BD44="DEF"</formula>
    </cfRule>
    <cfRule type="expression" dxfId="4057" priority="4916">
      <formula>BD44="TE"</formula>
    </cfRule>
    <cfRule type="expression" dxfId="4056" priority="4917">
      <formula>BD44="WR"</formula>
    </cfRule>
    <cfRule type="expression" dxfId="4059" priority="4918">
      <formula>BD44="RB"</formula>
    </cfRule>
    <cfRule type="expression" dxfId="4061" priority="4919">
      <formula>BD44="QB"</formula>
    </cfRule>
  </conditionalFormatting>
  <conditionalFormatting sqref="BE47">
    <cfRule type="expression" dxfId="4055" priority="4944">
      <formula>BD47="K"</formula>
    </cfRule>
    <cfRule type="expression" dxfId="4054" priority="4945">
      <formula>BD47="DEF"</formula>
    </cfRule>
    <cfRule type="expression" dxfId="4053" priority="4946">
      <formula>BD47="TE"</formula>
    </cfRule>
    <cfRule type="expression" dxfId="4052" priority="4947">
      <formula>BD47="WR"</formula>
    </cfRule>
    <cfRule type="expression" dxfId="4051" priority="4948">
      <formula>BD47="RB"</formula>
    </cfRule>
    <cfRule type="expression" dxfId="4050" priority="4949">
      <formula>BD47="QB"</formula>
    </cfRule>
  </conditionalFormatting>
  <conditionalFormatting sqref="BG4">
    <cfRule type="expression" dxfId="4049" priority="4951">
      <formula>BI5="DEF"</formula>
    </cfRule>
    <cfRule type="expression" dxfId="4048" priority="4952">
      <formula>BI5="TE"</formula>
    </cfRule>
    <cfRule type="expression" dxfId="4047" priority="4953">
      <formula>BI5="WR"</formula>
    </cfRule>
    <cfRule type="expression" dxfId="4046" priority="4954">
      <formula>BI5="RB"</formula>
    </cfRule>
    <cfRule type="expression" dxfId="4045" priority="4955">
      <formula>BI5="QB"</formula>
    </cfRule>
  </conditionalFormatting>
  <conditionalFormatting sqref="BG5">
    <cfRule type="expression" dxfId="4044" priority="4956">
      <formula>BI5="K"</formula>
    </cfRule>
    <cfRule type="expression" dxfId="4043" priority="4957">
      <formula>BI5="DEF"</formula>
    </cfRule>
    <cfRule type="expression" dxfId="4042" priority="4958">
      <formula>BI5="TE"</formula>
    </cfRule>
    <cfRule type="expression" dxfId="4041" priority="4959">
      <formula>BI5="WR"</formula>
    </cfRule>
    <cfRule type="expression" dxfId="4040" priority="4960">
      <formula>BI5="RB"</formula>
    </cfRule>
    <cfRule type="expression" dxfId="4039" priority="4961">
      <formula>BI5="QB"</formula>
    </cfRule>
  </conditionalFormatting>
  <conditionalFormatting sqref="BG7">
    <cfRule type="expression" dxfId="4038" priority="4981">
      <formula>BI8="DEF"</formula>
    </cfRule>
    <cfRule type="expression" dxfId="4034" priority="4982">
      <formula>BI8="TE"</formula>
    </cfRule>
    <cfRule type="expression" dxfId="4035" priority="4983">
      <formula>BI8="WR"</formula>
    </cfRule>
    <cfRule type="expression" dxfId="4036" priority="4984">
      <formula>BI8="RB"</formula>
    </cfRule>
    <cfRule type="expression" dxfId="4037" priority="4985">
      <formula>BI8="QB"</formula>
    </cfRule>
  </conditionalFormatting>
  <conditionalFormatting sqref="BG8">
    <cfRule type="expression" dxfId="4033" priority="4986">
      <formula>BI8="K"</formula>
    </cfRule>
    <cfRule type="expression" dxfId="4032" priority="4987">
      <formula>BI8="DEF"</formula>
    </cfRule>
    <cfRule type="expression" dxfId="4030" priority="4988">
      <formula>BI8="TE"</formula>
    </cfRule>
    <cfRule type="expression" dxfId="4031" priority="4989">
      <formula>BI8="WR"</formula>
    </cfRule>
    <cfRule type="expression" dxfId="4028" priority="4990">
      <formula>BI8="RB"</formula>
    </cfRule>
    <cfRule type="expression" dxfId="4029" priority="4991">
      <formula>BI8="QB"</formula>
    </cfRule>
  </conditionalFormatting>
  <conditionalFormatting sqref="BG10">
    <cfRule type="expression" dxfId="4027" priority="5011">
      <formula>BI11="DEF"</formula>
    </cfRule>
    <cfRule type="expression" dxfId="4026" priority="5012">
      <formula>BI11="TE"</formula>
    </cfRule>
    <cfRule type="expression" dxfId="4023" priority="5013">
      <formula>BI11="WR"</formula>
    </cfRule>
    <cfRule type="expression" dxfId="4025" priority="5014">
      <formula>BI11="RB"</formula>
    </cfRule>
    <cfRule type="expression" dxfId="4024" priority="5015">
      <formula>BI11="QB"</formula>
    </cfRule>
  </conditionalFormatting>
  <conditionalFormatting sqref="BG11">
    <cfRule type="expression" dxfId="4022" priority="5016">
      <formula>BI11="K"</formula>
    </cfRule>
    <cfRule type="expression" dxfId="4017" priority="5017">
      <formula>BI11="DEF"</formula>
    </cfRule>
    <cfRule type="expression" dxfId="4018" priority="5018">
      <formula>BI11="TE"</formula>
    </cfRule>
    <cfRule type="expression" dxfId="4019" priority="5019">
      <formula>BI11="WR"</formula>
    </cfRule>
    <cfRule type="expression" dxfId="4020" priority="5020">
      <formula>BI11="RB"</formula>
    </cfRule>
    <cfRule type="expression" dxfId="4021" priority="5021">
      <formula>BI11="QB"</formula>
    </cfRule>
  </conditionalFormatting>
  <conditionalFormatting sqref="BG13">
    <cfRule type="expression" dxfId="4015" priority="5041">
      <formula>BI14="DEF"</formula>
    </cfRule>
    <cfRule type="expression" dxfId="4016" priority="5042">
      <formula>BI14="TE"</formula>
    </cfRule>
    <cfRule type="expression" dxfId="4014" priority="5043">
      <formula>BI14="WR"</formula>
    </cfRule>
    <cfRule type="expression" dxfId="4013" priority="5044">
      <formula>BI14="RB"</formula>
    </cfRule>
    <cfRule type="expression" dxfId="4012" priority="5045">
      <formula>BI14="QB"</formula>
    </cfRule>
  </conditionalFormatting>
  <conditionalFormatting sqref="BG14">
    <cfRule type="expression" dxfId="4007" priority="5046">
      <formula>BI14="K"</formula>
    </cfRule>
    <cfRule type="expression" dxfId="4006" priority="5047">
      <formula>BI14="DEF"</formula>
    </cfRule>
    <cfRule type="expression" dxfId="4008" priority="5048">
      <formula>BI14="TE"</formula>
    </cfRule>
    <cfRule type="expression" dxfId="4009" priority="5049">
      <formula>BI14="WR"</formula>
    </cfRule>
    <cfRule type="expression" dxfId="4010" priority="5050">
      <formula>BI14="RB"</formula>
    </cfRule>
    <cfRule type="expression" dxfId="4011" priority="5051">
      <formula>BI14="QB"</formula>
    </cfRule>
  </conditionalFormatting>
  <conditionalFormatting sqref="BG16">
    <cfRule type="expression" dxfId="4003" priority="5071">
      <formula>BI17="DEF"</formula>
    </cfRule>
    <cfRule type="expression" dxfId="4002" priority="5072">
      <formula>BI17="TE"</formula>
    </cfRule>
    <cfRule type="expression" dxfId="4001" priority="5073">
      <formula>BI17="WR"</formula>
    </cfRule>
    <cfRule type="expression" dxfId="4005" priority="5074">
      <formula>BI17="RB"</formula>
    </cfRule>
    <cfRule type="expression" dxfId="4004" priority="5075">
      <formula>BI17="QB"</formula>
    </cfRule>
  </conditionalFormatting>
  <conditionalFormatting sqref="BG17">
    <cfRule type="expression" dxfId="3998" priority="5076">
      <formula>BI17="K"</formula>
    </cfRule>
    <cfRule type="expression" dxfId="3997" priority="5077">
      <formula>BI17="DEF"</formula>
    </cfRule>
    <cfRule type="expression" dxfId="3995" priority="5078">
      <formula>BI17="TE"</formula>
    </cfRule>
    <cfRule type="expression" dxfId="3999" priority="5079">
      <formula>BI17="WR"</formula>
    </cfRule>
    <cfRule type="expression" dxfId="3996" priority="5080">
      <formula>BI17="RB"</formula>
    </cfRule>
    <cfRule type="expression" dxfId="4000" priority="5081">
      <formula>BI17="QB"</formula>
    </cfRule>
  </conditionalFormatting>
  <conditionalFormatting sqref="BG19">
    <cfRule type="expression" dxfId="3990" priority="5101">
      <formula>BI20="DEF"</formula>
    </cfRule>
    <cfRule type="expression" dxfId="3994" priority="5102">
      <formula>BI20="TE"</formula>
    </cfRule>
    <cfRule type="expression" dxfId="3993" priority="5103">
      <formula>BI20="WR"</formula>
    </cfRule>
    <cfRule type="expression" dxfId="3991" priority="5104">
      <formula>BI20="RB"</formula>
    </cfRule>
    <cfRule type="expression" dxfId="3992" priority="5105">
      <formula>BI20="QB"</formula>
    </cfRule>
  </conditionalFormatting>
  <conditionalFormatting sqref="BG20">
    <cfRule type="expression" dxfId="3984" priority="5106">
      <formula>BI20="K"</formula>
    </cfRule>
    <cfRule type="expression" dxfId="3989" priority="5107">
      <formula>BI20="DEF"</formula>
    </cfRule>
    <cfRule type="expression" dxfId="3988" priority="5108">
      <formula>BI20="TE"</formula>
    </cfRule>
    <cfRule type="expression" dxfId="3987" priority="5109">
      <formula>BI20="WR"</formula>
    </cfRule>
    <cfRule type="expression" dxfId="3986" priority="5110">
      <formula>BI20="RB"</formula>
    </cfRule>
    <cfRule type="expression" dxfId="3985" priority="5111">
      <formula>BI20="QB"</formula>
    </cfRule>
  </conditionalFormatting>
  <conditionalFormatting sqref="BG22">
    <cfRule type="expression" dxfId="3982" priority="5131">
      <formula>BI23="DEF"</formula>
    </cfRule>
    <cfRule type="expression" dxfId="3983" priority="5132">
      <formula>BI23="TE"</formula>
    </cfRule>
    <cfRule type="expression" dxfId="3979" priority="5133">
      <formula>BI23="WR"</formula>
    </cfRule>
    <cfRule type="expression" dxfId="3980" priority="5134">
      <formula>BI23="RB"</formula>
    </cfRule>
    <cfRule type="expression" dxfId="3981" priority="5135">
      <formula>BI23="QB"</formula>
    </cfRule>
  </conditionalFormatting>
  <conditionalFormatting sqref="BG23">
    <cfRule type="expression" dxfId="3973" priority="5136">
      <formula>BI23="K"</formula>
    </cfRule>
    <cfRule type="expression" dxfId="3974" priority="5137">
      <formula>BI23="DEF"</formula>
    </cfRule>
    <cfRule type="expression" dxfId="3978" priority="5138">
      <formula>BI23="TE"</formula>
    </cfRule>
    <cfRule type="expression" dxfId="3975" priority="5139">
      <formula>BI23="WR"</formula>
    </cfRule>
    <cfRule type="expression" dxfId="3976" priority="5140">
      <formula>BI23="RB"</formula>
    </cfRule>
    <cfRule type="expression" dxfId="3977" priority="5141">
      <formula>BI23="QB"</formula>
    </cfRule>
  </conditionalFormatting>
  <conditionalFormatting sqref="BG25">
    <cfRule type="expression" dxfId="3971" priority="5161">
      <formula>BI26="DEF"</formula>
    </cfRule>
    <cfRule type="expression" dxfId="3970" priority="5162">
      <formula>BI26="TE"</formula>
    </cfRule>
    <cfRule type="expression" dxfId="3972" priority="5163">
      <formula>BI26="WR"</formula>
    </cfRule>
    <cfRule type="expression" dxfId="3969" priority="5164">
      <formula>BI26="RB"</formula>
    </cfRule>
    <cfRule type="expression" dxfId="3968" priority="5165">
      <formula>BI26="QB"</formula>
    </cfRule>
  </conditionalFormatting>
  <conditionalFormatting sqref="BG26">
    <cfRule type="expression" dxfId="3964" priority="5166">
      <formula>BI26="K"</formula>
    </cfRule>
    <cfRule type="expression" dxfId="3965" priority="5167">
      <formula>BI26="DEF"</formula>
    </cfRule>
    <cfRule type="expression" dxfId="3962" priority="5168">
      <formula>BI26="TE"</formula>
    </cfRule>
    <cfRule type="expression" dxfId="3963" priority="5169">
      <formula>BI26="WR"</formula>
    </cfRule>
    <cfRule type="expression" dxfId="3967" priority="5170">
      <formula>BI26="RB"</formula>
    </cfRule>
    <cfRule type="expression" dxfId="3966" priority="5171">
      <formula>BI26="QB"</formula>
    </cfRule>
  </conditionalFormatting>
  <conditionalFormatting sqref="BG28">
    <cfRule type="expression" dxfId="3961" priority="5191">
      <formula>BI29="DEF"</formula>
    </cfRule>
    <cfRule type="expression" dxfId="3957" priority="5192">
      <formula>BI29="TE"</formula>
    </cfRule>
    <cfRule type="expression" dxfId="3960" priority="5193">
      <formula>BI29="WR"</formula>
    </cfRule>
    <cfRule type="expression" dxfId="3958" priority="5194">
      <formula>BI29="RB"</formula>
    </cfRule>
    <cfRule type="expression" dxfId="3959" priority="5195">
      <formula>BI29="QB"</formula>
    </cfRule>
  </conditionalFormatting>
  <conditionalFormatting sqref="BG29">
    <cfRule type="expression" dxfId="3956" priority="5196">
      <formula>BI29="K"</formula>
    </cfRule>
    <cfRule type="expression" dxfId="3952" priority="5197">
      <formula>BI29="DEF"</formula>
    </cfRule>
    <cfRule type="expression" dxfId="3953" priority="5198">
      <formula>BI29="TE"</formula>
    </cfRule>
    <cfRule type="expression" dxfId="3954" priority="5199">
      <formula>BI29="WR"</formula>
    </cfRule>
    <cfRule type="expression" dxfId="3951" priority="5200">
      <formula>BI29="RB"</formula>
    </cfRule>
    <cfRule type="expression" dxfId="3955" priority="5201">
      <formula>BI29="QB"</formula>
    </cfRule>
  </conditionalFormatting>
  <conditionalFormatting sqref="BG31">
    <cfRule type="expression" dxfId="3947" priority="5221">
      <formula>BI32="DEF"</formula>
    </cfRule>
    <cfRule type="expression" dxfId="3948" priority="5222">
      <formula>BI32="TE"</formula>
    </cfRule>
    <cfRule type="expression" dxfId="3949" priority="5223">
      <formula>BI32="WR"</formula>
    </cfRule>
    <cfRule type="expression" dxfId="3946" priority="5224">
      <formula>BI32="RB"</formula>
    </cfRule>
    <cfRule type="expression" dxfId="3950" priority="5225">
      <formula>BI32="QB"</formula>
    </cfRule>
  </conditionalFormatting>
  <conditionalFormatting sqref="BG32">
    <cfRule type="expression" dxfId="3943" priority="5226">
      <formula>BI32="K"</formula>
    </cfRule>
    <cfRule type="expression" dxfId="3944" priority="5227">
      <formula>BI32="DEF"</formula>
    </cfRule>
    <cfRule type="expression" dxfId="3945" priority="5228">
      <formula>BI32="TE"</formula>
    </cfRule>
    <cfRule type="expression" dxfId="3942" priority="5229">
      <formula>BI32="WR"</formula>
    </cfRule>
    <cfRule type="expression" dxfId="3941" priority="5230">
      <formula>BI32="RB"</formula>
    </cfRule>
    <cfRule type="expression" dxfId="3940" priority="5231">
      <formula>BI32="QB"</formula>
    </cfRule>
  </conditionalFormatting>
  <conditionalFormatting sqref="BG34">
    <cfRule type="expression" dxfId="3935" priority="5251">
      <formula>BI35="DEF"</formula>
    </cfRule>
    <cfRule type="expression" dxfId="3939" priority="5252">
      <formula>BI35="TE"</formula>
    </cfRule>
    <cfRule type="expression" dxfId="3936" priority="5253">
      <formula>BI35="WR"</formula>
    </cfRule>
    <cfRule type="expression" dxfId="3937" priority="5254">
      <formula>BI35="RB"</formula>
    </cfRule>
    <cfRule type="expression" dxfId="3938" priority="5255">
      <formula>BI35="QB"</formula>
    </cfRule>
  </conditionalFormatting>
  <conditionalFormatting sqref="BG35">
    <cfRule type="expression" dxfId="3930" priority="5256">
      <formula>BI35="K"</formula>
    </cfRule>
    <cfRule type="expression" dxfId="3931" priority="5257">
      <formula>BI35="DEF"</formula>
    </cfRule>
    <cfRule type="expression" dxfId="3932" priority="5258">
      <formula>BI35="TE"</formula>
    </cfRule>
    <cfRule type="expression" dxfId="3933" priority="5259">
      <formula>BI35="WR"</formula>
    </cfRule>
    <cfRule type="expression" dxfId="3934" priority="5260">
      <formula>BI35="RB"</formula>
    </cfRule>
    <cfRule type="expression" dxfId="3929" priority="5261">
      <formula>BI35="QB"</formula>
    </cfRule>
  </conditionalFormatting>
  <conditionalFormatting sqref="BG37">
    <cfRule type="expression" dxfId="3928" priority="5281">
      <formula>BI38="DEF"</formula>
    </cfRule>
    <cfRule type="expression" dxfId="3927" priority="5282">
      <formula>BI38="TE"</formula>
    </cfRule>
    <cfRule type="expression" dxfId="3926" priority="5283">
      <formula>BI38="WR"</formula>
    </cfRule>
    <cfRule type="expression" dxfId="3925" priority="5284">
      <formula>BI38="RB"</formula>
    </cfRule>
    <cfRule type="expression" dxfId="3924" priority="5285">
      <formula>BI38="QB"</formula>
    </cfRule>
  </conditionalFormatting>
  <conditionalFormatting sqref="BG38">
    <cfRule type="expression" dxfId="3923" priority="5286">
      <formula>BI38="K"</formula>
    </cfRule>
    <cfRule type="expression" dxfId="3919" priority="5287">
      <formula>BI38="DEF"</formula>
    </cfRule>
    <cfRule type="expression" dxfId="3920" priority="5288">
      <formula>BI38="TE"</formula>
    </cfRule>
    <cfRule type="expression" dxfId="3921" priority="5289">
      <formula>BI38="WR"</formula>
    </cfRule>
    <cfRule type="expression" dxfId="3918" priority="5290">
      <formula>BI38="RB"</formula>
    </cfRule>
    <cfRule type="expression" dxfId="3922" priority="5291">
      <formula>BI38="QB"</formula>
    </cfRule>
  </conditionalFormatting>
  <conditionalFormatting sqref="BG40">
    <cfRule type="expression" dxfId="3917" priority="5311">
      <formula>BI41="DEF"</formula>
    </cfRule>
    <cfRule type="expression" dxfId="3913" priority="5312">
      <formula>BI41="TE"</formula>
    </cfRule>
    <cfRule type="expression" dxfId="3914" priority="5313">
      <formula>BI41="WR"</formula>
    </cfRule>
    <cfRule type="expression" dxfId="3915" priority="5314">
      <formula>BI41="RB"</formula>
    </cfRule>
    <cfRule type="expression" dxfId="3916" priority="5315">
      <formula>BI41="QB"</formula>
    </cfRule>
  </conditionalFormatting>
  <conditionalFormatting sqref="BG41">
    <cfRule type="expression" dxfId="3907" priority="5316">
      <formula>BI41="K"</formula>
    </cfRule>
    <cfRule type="expression" dxfId="3912" priority="5317">
      <formula>BI41="DEF"</formula>
    </cfRule>
    <cfRule type="expression" dxfId="3911" priority="5318">
      <formula>BI41="TE"</formula>
    </cfRule>
    <cfRule type="expression" dxfId="3910" priority="5319">
      <formula>BI41="WR"</formula>
    </cfRule>
    <cfRule type="expression" dxfId="3909" priority="5320">
      <formula>BI41="RB"</formula>
    </cfRule>
    <cfRule type="expression" dxfId="3908" priority="5321">
      <formula>BI41="QB"</formula>
    </cfRule>
  </conditionalFormatting>
  <conditionalFormatting sqref="BG43">
    <cfRule type="expression" dxfId="3902" priority="5341">
      <formula>BI44="DEF"</formula>
    </cfRule>
    <cfRule type="expression" dxfId="3906" priority="5342">
      <formula>BI44="TE"</formula>
    </cfRule>
    <cfRule type="expression" dxfId="3905" priority="5343">
      <formula>BI44="WR"</formula>
    </cfRule>
    <cfRule type="expression" dxfId="3904" priority="5344">
      <formula>BI44="RB"</formula>
    </cfRule>
    <cfRule type="expression" dxfId="3903" priority="5345">
      <formula>BI44="QB"</formula>
    </cfRule>
  </conditionalFormatting>
  <conditionalFormatting sqref="BG44">
    <cfRule type="expression" dxfId="3898" priority="5346">
      <formula>BI44="K"</formula>
    </cfRule>
    <cfRule type="expression" dxfId="3897" priority="5347">
      <formula>BI44="DEF"</formula>
    </cfRule>
    <cfRule type="expression" dxfId="3896" priority="5348">
      <formula>BI44="TE"</formula>
    </cfRule>
    <cfRule type="expression" dxfId="3899" priority="5349">
      <formula>BI44="WR"</formula>
    </cfRule>
    <cfRule type="expression" dxfId="3901" priority="5350">
      <formula>BI44="RB"</formula>
    </cfRule>
    <cfRule type="expression" dxfId="3900" priority="5351">
      <formula>BI44="QB"</formula>
    </cfRule>
  </conditionalFormatting>
  <conditionalFormatting sqref="BG46">
    <cfRule type="expression" dxfId="3891" priority="5371">
      <formula>BI47="DEF"</formula>
    </cfRule>
    <cfRule type="expression" dxfId="3895" priority="5372">
      <formula>BI47="TE"</formula>
    </cfRule>
    <cfRule type="expression" dxfId="3892" priority="5373">
      <formula>BI47="WR"</formula>
    </cfRule>
    <cfRule type="expression" dxfId="3893" priority="5374">
      <formula>BI47="RB"</formula>
    </cfRule>
    <cfRule type="expression" dxfId="3894" priority="5375">
      <formula>BI47="QB"</formula>
    </cfRule>
  </conditionalFormatting>
  <conditionalFormatting sqref="BG47">
    <cfRule type="expression" dxfId="3885" priority="5376">
      <formula>BI47="K"</formula>
    </cfRule>
    <cfRule type="expression" dxfId="3886" priority="5377">
      <formula>BI47="DEF"</formula>
    </cfRule>
    <cfRule type="expression" dxfId="3887" priority="5378">
      <formula>BI47="TE"</formula>
    </cfRule>
    <cfRule type="expression" dxfId="3888" priority="5379">
      <formula>BI47="WR"</formula>
    </cfRule>
    <cfRule type="expression" dxfId="3890" priority="5380">
      <formula>BI47="RB"</formula>
    </cfRule>
    <cfRule type="expression" dxfId="3889" priority="5381">
      <formula>BI47="QB"</formula>
    </cfRule>
  </conditionalFormatting>
  <conditionalFormatting sqref="BG4:BJ4">
    <cfRule type="expression" dxfId="3884" priority="4980">
      <formula>BI5="K"</formula>
    </cfRule>
  </conditionalFormatting>
  <conditionalFormatting sqref="BG7:BJ7">
    <cfRule type="expression" dxfId="3883" priority="5010">
      <formula>BI8="K"</formula>
    </cfRule>
  </conditionalFormatting>
  <conditionalFormatting sqref="BG10:BJ10">
    <cfRule type="expression" dxfId="3882" priority="5040">
      <formula>BI11="K"</formula>
    </cfRule>
  </conditionalFormatting>
  <conditionalFormatting sqref="BG13:BJ13">
    <cfRule type="expression" dxfId="3881" priority="5070">
      <formula>BI14="K"</formula>
    </cfRule>
  </conditionalFormatting>
  <conditionalFormatting sqref="BG16:BJ16">
    <cfRule type="expression" dxfId="3880" priority="5100">
      <formula>BI17="K"</formula>
    </cfRule>
  </conditionalFormatting>
  <conditionalFormatting sqref="BG19:BJ19">
    <cfRule type="expression" dxfId="3879" priority="5130">
      <formula>BI20="K"</formula>
    </cfRule>
  </conditionalFormatting>
  <conditionalFormatting sqref="BG22:BJ22">
    <cfRule type="expression" dxfId="3878" priority="5160">
      <formula>BI23="K"</formula>
    </cfRule>
  </conditionalFormatting>
  <conditionalFormatting sqref="BG25:BJ25">
    <cfRule type="expression" dxfId="3877" priority="5190">
      <formula>BI26="K"</formula>
    </cfRule>
  </conditionalFormatting>
  <conditionalFormatting sqref="BG28:BJ28">
    <cfRule type="expression" dxfId="3876" priority="5220">
      <formula>BI29="K"</formula>
    </cfRule>
  </conditionalFormatting>
  <conditionalFormatting sqref="BG31:BJ31">
    <cfRule type="expression" dxfId="3875" priority="5250">
      <formula>BI32="K"</formula>
    </cfRule>
  </conditionalFormatting>
  <conditionalFormatting sqref="BG34:BJ34">
    <cfRule type="expression" dxfId="3874" priority="5280">
      <formula>BI35="K"</formula>
    </cfRule>
  </conditionalFormatting>
  <conditionalFormatting sqref="BG37:BJ37">
    <cfRule type="expression" dxfId="3873" priority="5310">
      <formula>BI38="K"</formula>
    </cfRule>
  </conditionalFormatting>
  <conditionalFormatting sqref="BG40:BJ40">
    <cfRule type="expression" dxfId="3872" priority="5340">
      <formula>BI41="K"</formula>
    </cfRule>
  </conditionalFormatting>
  <conditionalFormatting sqref="BG43:BJ43">
    <cfRule type="expression" dxfId="3871" priority="5370">
      <formula>BI44="K"</formula>
    </cfRule>
  </conditionalFormatting>
  <conditionalFormatting sqref="BG46:BJ46">
    <cfRule type="expression" dxfId="3870" priority="5400">
      <formula>BI47="K"</formula>
    </cfRule>
  </conditionalFormatting>
  <conditionalFormatting sqref="BH5">
    <cfRule type="expression" dxfId="3864" priority="4962">
      <formula>BI5="K"</formula>
    </cfRule>
    <cfRule type="expression" dxfId="3869" priority="4963">
      <formula>BI5="DEF"</formula>
    </cfRule>
    <cfRule type="expression" dxfId="3868" priority="4964">
      <formula>BI5="TE"</formula>
    </cfRule>
    <cfRule type="expression" dxfId="3867" priority="4965">
      <formula>BI5="WR"</formula>
    </cfRule>
    <cfRule type="expression" dxfId="3866" priority="4966">
      <formula>BI5="RB"</formula>
    </cfRule>
    <cfRule type="expression" dxfId="3865" priority="4967">
      <formula>BI5="QB"</formula>
    </cfRule>
  </conditionalFormatting>
  <conditionalFormatting sqref="BH8">
    <cfRule type="expression" dxfId="3863" priority="4992">
      <formula>BI8="K"</formula>
    </cfRule>
    <cfRule type="expression" dxfId="3862" priority="4993">
      <formula>BI8="DEF"</formula>
    </cfRule>
    <cfRule type="expression" dxfId="3858" priority="4994">
      <formula>BI8="TE"</formula>
    </cfRule>
    <cfRule type="expression" dxfId="3861" priority="4995">
      <formula>BI8="WR"</formula>
    </cfRule>
    <cfRule type="expression" dxfId="3860" priority="4996">
      <formula>BI8="RB"</formula>
    </cfRule>
    <cfRule type="expression" dxfId="3859" priority="4997">
      <formula>BI8="QB"</formula>
    </cfRule>
  </conditionalFormatting>
  <conditionalFormatting sqref="BH11">
    <cfRule type="expression" dxfId="3857" priority="5022">
      <formula>BI11="K"</formula>
    </cfRule>
    <cfRule type="expression" dxfId="3856" priority="5023">
      <formula>BI11="DEF"</formula>
    </cfRule>
    <cfRule type="expression" dxfId="3855" priority="5024">
      <formula>BI11="TE"</formula>
    </cfRule>
    <cfRule type="expression" dxfId="3852" priority="5025">
      <formula>BI11="WR"</formula>
    </cfRule>
    <cfRule type="expression" dxfId="3854" priority="5026">
      <formula>BI11="RB"</formula>
    </cfRule>
    <cfRule type="expression" dxfId="3853" priority="5027">
      <formula>BI11="QB"</formula>
    </cfRule>
  </conditionalFormatting>
  <conditionalFormatting sqref="BH14">
    <cfRule type="expression" dxfId="3850" priority="5052">
      <formula>BI14="K"</formula>
    </cfRule>
    <cfRule type="expression" dxfId="3849" priority="5053">
      <formula>BI14="DEF"</formula>
    </cfRule>
    <cfRule type="expression" dxfId="3848" priority="5054">
      <formula>BI14="TE"</formula>
    </cfRule>
    <cfRule type="expression" dxfId="3846" priority="5055">
      <formula>BI14="WR"</formula>
    </cfRule>
    <cfRule type="expression" dxfId="3851" priority="5056">
      <formula>BI14="RB"</formula>
    </cfRule>
    <cfRule type="expression" dxfId="3847" priority="5057">
      <formula>BI14="QB"</formula>
    </cfRule>
  </conditionalFormatting>
  <conditionalFormatting sqref="BH17">
    <cfRule type="expression" dxfId="3844" priority="5082">
      <formula>BI17="K"</formula>
    </cfRule>
    <cfRule type="expression" dxfId="3840" priority="5083">
      <formula>BI17="DEF"</formula>
    </cfRule>
    <cfRule type="expression" dxfId="3841" priority="5084">
      <formula>BI17="TE"</formula>
    </cfRule>
    <cfRule type="expression" dxfId="3843" priority="5085">
      <formula>BI17="WR"</formula>
    </cfRule>
    <cfRule type="expression" dxfId="3842" priority="5086">
      <formula>BI17="RB"</formula>
    </cfRule>
    <cfRule type="expression" dxfId="3845" priority="5087">
      <formula>BI17="QB"</formula>
    </cfRule>
  </conditionalFormatting>
  <conditionalFormatting sqref="BH20">
    <cfRule type="expression" dxfId="3837" priority="5112">
      <formula>BI20="K"</formula>
    </cfRule>
    <cfRule type="expression" dxfId="3836" priority="5113">
      <formula>BI20="DEF"</formula>
    </cfRule>
    <cfRule type="expression" dxfId="3834" priority="5114">
      <formula>BI20="TE"</formula>
    </cfRule>
    <cfRule type="expression" dxfId="3835" priority="5115">
      <formula>BI20="WR"</formula>
    </cfRule>
    <cfRule type="expression" dxfId="3839" priority="5116">
      <formula>BI20="RB"</formula>
    </cfRule>
    <cfRule type="expression" dxfId="3838" priority="5117">
      <formula>BI20="QB"</formula>
    </cfRule>
  </conditionalFormatting>
  <conditionalFormatting sqref="BH23">
    <cfRule type="expression" dxfId="3831" priority="5142">
      <formula>BI23="K"</formula>
    </cfRule>
    <cfRule type="expression" dxfId="3828" priority="5143">
      <formula>BI23="DEF"</formula>
    </cfRule>
    <cfRule type="expression" dxfId="3832" priority="5144">
      <formula>BI23="TE"</formula>
    </cfRule>
    <cfRule type="expression" dxfId="3830" priority="5145">
      <formula>BI23="WR"</formula>
    </cfRule>
    <cfRule type="expression" dxfId="3829" priority="5146">
      <formula>BI23="RB"</formula>
    </cfRule>
    <cfRule type="expression" dxfId="3833" priority="5147">
      <formula>BI23="QB"</formula>
    </cfRule>
  </conditionalFormatting>
  <conditionalFormatting sqref="BH26">
    <cfRule type="expression" dxfId="3825" priority="5172">
      <formula>BI26="K"</formula>
    </cfRule>
    <cfRule type="expression" dxfId="3822" priority="5173">
      <formula>BI26="DEF"</formula>
    </cfRule>
    <cfRule type="expression" dxfId="3827" priority="5174">
      <formula>BI26="TE"</formula>
    </cfRule>
    <cfRule type="expression" dxfId="3826" priority="5175">
      <formula>BI26="WR"</formula>
    </cfRule>
    <cfRule type="expression" dxfId="3824" priority="5176">
      <formula>BI26="RB"</formula>
    </cfRule>
    <cfRule type="expression" dxfId="3823" priority="5177">
      <formula>BI26="QB"</formula>
    </cfRule>
  </conditionalFormatting>
  <conditionalFormatting sqref="BH29">
    <cfRule type="expression" dxfId="3816" priority="5202">
      <formula>BI29="K"</formula>
    </cfRule>
    <cfRule type="expression" dxfId="3819" priority="5203">
      <formula>BI29="DEF"</formula>
    </cfRule>
    <cfRule type="expression" dxfId="3820" priority="5204">
      <formula>BI29="TE"</formula>
    </cfRule>
    <cfRule type="expression" dxfId="3818" priority="5205">
      <formula>BI29="WR"</formula>
    </cfRule>
    <cfRule type="expression" dxfId="3817" priority="5206">
      <formula>BI29="RB"</formula>
    </cfRule>
    <cfRule type="expression" dxfId="3821" priority="5207">
      <formula>BI29="QB"</formula>
    </cfRule>
  </conditionalFormatting>
  <conditionalFormatting sqref="BH32">
    <cfRule type="expression" dxfId="3811" priority="5232">
      <formula>BI32="K"</formula>
    </cfRule>
    <cfRule type="expression" dxfId="3810" priority="5233">
      <formula>BI32="DEF"</formula>
    </cfRule>
    <cfRule type="expression" dxfId="3815" priority="5234">
      <formula>BI32="TE"</formula>
    </cfRule>
    <cfRule type="expression" dxfId="3812" priority="5235">
      <formula>BI32="WR"</formula>
    </cfRule>
    <cfRule type="expression" dxfId="3813" priority="5236">
      <formula>BI32="RB"</formula>
    </cfRule>
    <cfRule type="expression" dxfId="3814" priority="5237">
      <formula>BI32="QB"</formula>
    </cfRule>
  </conditionalFormatting>
  <conditionalFormatting sqref="BH35">
    <cfRule type="expression" dxfId="3808" priority="5262">
      <formula>BI35="K"</formula>
    </cfRule>
    <cfRule type="expression" dxfId="3807" priority="5263">
      <formula>BI35="DEF"</formula>
    </cfRule>
    <cfRule type="expression" dxfId="3804" priority="5264">
      <formula>BI35="TE"</formula>
    </cfRule>
    <cfRule type="expression" dxfId="3805" priority="5265">
      <formula>BI35="WR"</formula>
    </cfRule>
    <cfRule type="expression" dxfId="3809" priority="5266">
      <formula>BI35="RB"</formula>
    </cfRule>
    <cfRule type="expression" dxfId="3806" priority="5267">
      <formula>BI35="QB"</formula>
    </cfRule>
  </conditionalFormatting>
  <conditionalFormatting sqref="BH38">
    <cfRule type="expression" dxfId="3798" priority="5292">
      <formula>BI38="K"</formula>
    </cfRule>
    <cfRule type="expression" dxfId="3799" priority="5293">
      <formula>BI38="DEF"</formula>
    </cfRule>
    <cfRule type="expression" dxfId="3800" priority="5294">
      <formula>BI38="TE"</formula>
    </cfRule>
    <cfRule type="expression" dxfId="3803" priority="5295">
      <formula>BI38="WR"</formula>
    </cfRule>
    <cfRule type="expression" dxfId="3801" priority="5296">
      <formula>BI38="RB"</formula>
    </cfRule>
    <cfRule type="expression" dxfId="3802" priority="5297">
      <formula>BI38="QB"</formula>
    </cfRule>
  </conditionalFormatting>
  <conditionalFormatting sqref="BH41">
    <cfRule type="expression" dxfId="3796" priority="5322">
      <formula>BI41="K"</formula>
    </cfRule>
    <cfRule type="expression" dxfId="3792" priority="5323">
      <formula>BI41="DEF"</formula>
    </cfRule>
    <cfRule type="expression" dxfId="3797" priority="5324">
      <formula>BI41="TE"</formula>
    </cfRule>
    <cfRule type="expression" dxfId="3795" priority="5325">
      <formula>BI41="WR"</formula>
    </cfRule>
    <cfRule type="expression" dxfId="3794" priority="5326">
      <formula>BI41="RB"</formula>
    </cfRule>
    <cfRule type="expression" dxfId="3793" priority="5327">
      <formula>BI41="QB"</formula>
    </cfRule>
  </conditionalFormatting>
  <conditionalFormatting sqref="BH44">
    <cfRule type="expression" dxfId="3788" priority="5352">
      <formula>BI44="K"</formula>
    </cfRule>
    <cfRule type="expression" dxfId="3787" priority="5353">
      <formula>BI44="DEF"</formula>
    </cfRule>
    <cfRule type="expression" dxfId="3786" priority="5354">
      <formula>BI44="TE"</formula>
    </cfRule>
    <cfRule type="expression" dxfId="3791" priority="5355">
      <formula>BI44="WR"</formula>
    </cfRule>
    <cfRule type="expression" dxfId="3790" priority="5356">
      <formula>BI44="RB"</formula>
    </cfRule>
    <cfRule type="expression" dxfId="3789" priority="5357">
      <formula>BI44="QB"</formula>
    </cfRule>
  </conditionalFormatting>
  <conditionalFormatting sqref="BH47">
    <cfRule type="expression" dxfId="3785" priority="5382">
      <formula>BI47="K"</formula>
    </cfRule>
    <cfRule type="expression" dxfId="3784" priority="5383">
      <formula>BI47="DEF"</formula>
    </cfRule>
    <cfRule type="expression" dxfId="3783" priority="5384">
      <formula>BI47="TE"</formula>
    </cfRule>
    <cfRule type="expression" dxfId="3782" priority="5385">
      <formula>BI47="WR"</formula>
    </cfRule>
    <cfRule type="expression" dxfId="3781" priority="5386">
      <formula>BI47="RB"</formula>
    </cfRule>
    <cfRule type="expression" dxfId="3780" priority="5387">
      <formula>BI47="QB"</formula>
    </cfRule>
  </conditionalFormatting>
  <conditionalFormatting sqref="BI5">
    <cfRule type="expression" dxfId="3778" priority="4968">
      <formula>BI5="K"</formula>
    </cfRule>
    <cfRule type="expression" dxfId="3779" priority="4969">
      <formula>BI5="DEF"</formula>
    </cfRule>
    <cfRule type="expression" dxfId="3774" priority="4970">
      <formula>BI5="TE"</formula>
    </cfRule>
    <cfRule type="expression" dxfId="3775" priority="4971">
      <formula>BI5="WR"</formula>
    </cfRule>
    <cfRule type="expression" dxfId="3776" priority="4972">
      <formula>BI5="RB"</formula>
    </cfRule>
    <cfRule type="expression" dxfId="3777" priority="4973">
      <formula>BI5="QB"</formula>
    </cfRule>
  </conditionalFormatting>
  <conditionalFormatting sqref="BI8">
    <cfRule type="expression" dxfId="3770" priority="4998">
      <formula>BI8="K"</formula>
    </cfRule>
    <cfRule type="expression" dxfId="3771" priority="4999">
      <formula>BI8="DEF"</formula>
    </cfRule>
    <cfRule type="expression" dxfId="3772" priority="5000">
      <formula>BI8="TE"</formula>
    </cfRule>
    <cfRule type="expression" dxfId="3769" priority="5001">
      <formula>BI8="WR"</formula>
    </cfRule>
    <cfRule type="expression" dxfId="3768" priority="5002">
      <formula>BI8="RB"</formula>
    </cfRule>
    <cfRule type="expression" dxfId="3773" priority="5003">
      <formula>BI8="QB"</formula>
    </cfRule>
  </conditionalFormatting>
  <conditionalFormatting sqref="BI11">
    <cfRule type="expression" dxfId="3766" priority="5028">
      <formula>BI11="K"</formula>
    </cfRule>
    <cfRule type="expression" dxfId="3765" priority="5029">
      <formula>BI11="DEF"</formula>
    </cfRule>
    <cfRule type="expression" dxfId="3767" priority="5030">
      <formula>BI11="TE"</formula>
    </cfRule>
    <cfRule type="expression" dxfId="3764" priority="5031">
      <formula>BI11="WR"</formula>
    </cfRule>
    <cfRule type="expression" dxfId="3763" priority="5032">
      <formula>BI11="RB"</formula>
    </cfRule>
    <cfRule type="expression" dxfId="3762" priority="5033">
      <formula>BI11="QB"</formula>
    </cfRule>
  </conditionalFormatting>
  <conditionalFormatting sqref="BI14">
    <cfRule type="expression" dxfId="3756" priority="5058">
      <formula>BI14="K"</formula>
    </cfRule>
    <cfRule type="expression" dxfId="3757" priority="5059">
      <formula>BI14="DEF"</formula>
    </cfRule>
    <cfRule type="expression" dxfId="3758" priority="5060">
      <formula>BI14="TE"</formula>
    </cfRule>
    <cfRule type="expression" dxfId="3759" priority="5061">
      <formula>BI14="WR"</formula>
    </cfRule>
    <cfRule type="expression" dxfId="3761" priority="5062">
      <formula>BI14="RB"</formula>
    </cfRule>
    <cfRule type="expression" dxfId="3760" priority="5063">
      <formula>BI14="QB"</formula>
    </cfRule>
  </conditionalFormatting>
  <conditionalFormatting sqref="BI17">
    <cfRule type="expression" dxfId="3755" priority="5088">
      <formula>BI17="K"</formula>
    </cfRule>
    <cfRule type="expression" dxfId="3753" priority="5089">
      <formula>BI17="DEF"</formula>
    </cfRule>
    <cfRule type="expression" dxfId="3752" priority="5090">
      <formula>BI17="TE"</formula>
    </cfRule>
    <cfRule type="expression" dxfId="3751" priority="5091">
      <formula>BI17="WR"</formula>
    </cfRule>
    <cfRule type="expression" dxfId="3750" priority="5092">
      <formula>BI17="RB"</formula>
    </cfRule>
    <cfRule type="expression" dxfId="3754" priority="5093">
      <formula>BI17="QB"</formula>
    </cfRule>
  </conditionalFormatting>
  <conditionalFormatting sqref="BI20">
    <cfRule type="expression" dxfId="3744" priority="5118">
      <formula>BI20="K"</formula>
    </cfRule>
    <cfRule type="expression" dxfId="3745" priority="5119">
      <formula>BI20="DEF"</formula>
    </cfRule>
    <cfRule type="expression" dxfId="3746" priority="5120">
      <formula>BI20="TE"</formula>
    </cfRule>
    <cfRule type="expression" dxfId="3747" priority="5121">
      <formula>BI20="WR"</formula>
    </cfRule>
    <cfRule type="expression" dxfId="3748" priority="5122">
      <formula>BI20="RB"</formula>
    </cfRule>
    <cfRule type="expression" dxfId="3749" priority="5123">
      <formula>BI20="QB"</formula>
    </cfRule>
  </conditionalFormatting>
  <conditionalFormatting sqref="BI23">
    <cfRule type="expression" dxfId="3739" priority="5148">
      <formula>BI23="K"</formula>
    </cfRule>
    <cfRule type="expression" dxfId="3743" priority="5149">
      <formula>BI23="DEF"</formula>
    </cfRule>
    <cfRule type="expression" dxfId="3740" priority="5150">
      <formula>BI23="TE"</formula>
    </cfRule>
    <cfRule type="expression" dxfId="3738" priority="5151">
      <formula>BI23="WR"</formula>
    </cfRule>
    <cfRule type="expression" dxfId="3742" priority="5152">
      <formula>BI23="RB"</formula>
    </cfRule>
    <cfRule type="expression" dxfId="3741" priority="5153">
      <formula>BI23="QB"</formula>
    </cfRule>
  </conditionalFormatting>
  <conditionalFormatting sqref="BI26">
    <cfRule type="expression" dxfId="3735" priority="5178">
      <formula>BI26="K"</formula>
    </cfRule>
    <cfRule type="expression" dxfId="3734" priority="5179">
      <formula>BI26="DEF"</formula>
    </cfRule>
    <cfRule type="expression" dxfId="3737" priority="5180">
      <formula>BI26="TE"</formula>
    </cfRule>
    <cfRule type="expression" dxfId="3733" priority="5181">
      <formula>BI26="WR"</formula>
    </cfRule>
    <cfRule type="expression" dxfId="3732" priority="5182">
      <formula>BI26="RB"</formula>
    </cfRule>
    <cfRule type="expression" dxfId="3736" priority="5183">
      <formula>BI26="QB"</formula>
    </cfRule>
  </conditionalFormatting>
  <conditionalFormatting sqref="BI29">
    <cfRule type="expression" dxfId="3728" priority="5208">
      <formula>BI29="K"</formula>
    </cfRule>
    <cfRule type="expression" dxfId="3729" priority="5209">
      <formula>BI29="DEF"</formula>
    </cfRule>
    <cfRule type="expression" dxfId="3730" priority="5210">
      <formula>BI29="TE"</formula>
    </cfRule>
    <cfRule type="expression" dxfId="3731" priority="5211">
      <formula>BI29="WR"</formula>
    </cfRule>
    <cfRule type="expression" dxfId="3727" priority="5212">
      <formula>BI29="RB"</formula>
    </cfRule>
    <cfRule type="expression" dxfId="3726" priority="5213">
      <formula>BI29="QB"</formula>
    </cfRule>
  </conditionalFormatting>
  <conditionalFormatting sqref="BI32">
    <cfRule type="expression" dxfId="3720" priority="5238">
      <formula>BI32="K"</formula>
    </cfRule>
    <cfRule type="expression" dxfId="3721" priority="5239">
      <formula>BI32="DEF"</formula>
    </cfRule>
    <cfRule type="expression" dxfId="3725" priority="5240">
      <formula>BI32="TE"</formula>
    </cfRule>
    <cfRule type="expression" dxfId="3724" priority="5241">
      <formula>BI32="WR"</formula>
    </cfRule>
    <cfRule type="expression" dxfId="3723" priority="5242">
      <formula>BI32="RB"</formula>
    </cfRule>
    <cfRule type="expression" dxfId="3722" priority="5243">
      <formula>BI32="QB"</formula>
    </cfRule>
  </conditionalFormatting>
  <conditionalFormatting sqref="BI35">
    <cfRule type="expression" dxfId="3715" priority="5268">
      <formula>BI35="K"</formula>
    </cfRule>
    <cfRule type="expression" dxfId="3714" priority="5269">
      <formula>BI35="DEF"</formula>
    </cfRule>
    <cfRule type="expression" dxfId="3719" priority="5270">
      <formula>BI35="TE"</formula>
    </cfRule>
    <cfRule type="expression" dxfId="3718" priority="5271">
      <formula>BI35="WR"</formula>
    </cfRule>
    <cfRule type="expression" dxfId="3717" priority="5272">
      <formula>BI35="RB"</formula>
    </cfRule>
    <cfRule type="expression" dxfId="3716" priority="5273">
      <formula>BI35="QB"</formula>
    </cfRule>
  </conditionalFormatting>
  <conditionalFormatting sqref="BI38">
    <cfRule type="expression" dxfId="3713" priority="5298">
      <formula>BI38="K"</formula>
    </cfRule>
    <cfRule type="expression" dxfId="3712" priority="5299">
      <formula>BI38="DEF"</formula>
    </cfRule>
    <cfRule type="expression" dxfId="3708" priority="5300">
      <formula>BI38="TE"</formula>
    </cfRule>
    <cfRule type="expression" dxfId="3709" priority="5301">
      <formula>BI38="WR"</formula>
    </cfRule>
    <cfRule type="expression" dxfId="3710" priority="5302">
      <formula>BI38="RB"</formula>
    </cfRule>
    <cfRule type="expression" dxfId="3711" priority="5303">
      <formula>BI38="QB"</formula>
    </cfRule>
  </conditionalFormatting>
  <conditionalFormatting sqref="BI41">
    <cfRule type="expression" dxfId="3703" priority="5328">
      <formula>BI41="K"</formula>
    </cfRule>
    <cfRule type="expression" dxfId="3702" priority="5329">
      <formula>BI41="DEF"</formula>
    </cfRule>
    <cfRule type="expression" dxfId="3707" priority="5330">
      <formula>BI41="TE"</formula>
    </cfRule>
    <cfRule type="expression" dxfId="3706" priority="5331">
      <formula>BI41="WR"</formula>
    </cfRule>
    <cfRule type="expression" dxfId="3704" priority="5332">
      <formula>BI41="RB"</formula>
    </cfRule>
    <cfRule type="expression" dxfId="3705" priority="5333">
      <formula>BI41="QB"</formula>
    </cfRule>
  </conditionalFormatting>
  <conditionalFormatting sqref="BI44">
    <cfRule type="expression" dxfId="3698" priority="5358">
      <formula>BI44="K"</formula>
    </cfRule>
    <cfRule type="expression" dxfId="3697" priority="5359">
      <formula>BI44="DEF"</formula>
    </cfRule>
    <cfRule type="expression" dxfId="3696" priority="5360">
      <formula>BI44="TE"</formula>
    </cfRule>
    <cfRule type="expression" dxfId="3701" priority="5361">
      <formula>BI44="WR"</formula>
    </cfRule>
    <cfRule type="expression" dxfId="3699" priority="5362">
      <formula>BI44="RB"</formula>
    </cfRule>
    <cfRule type="expression" dxfId="3700" priority="5363">
      <formula>BI44="QB"</formula>
    </cfRule>
  </conditionalFormatting>
  <conditionalFormatting sqref="BI47">
    <cfRule type="expression" dxfId="3691" priority="5388">
      <formula>BI47="K"</formula>
    </cfRule>
    <cfRule type="expression" dxfId="3692" priority="5389">
      <formula>BI47="DEF"</formula>
    </cfRule>
    <cfRule type="expression" dxfId="3693" priority="5390">
      <formula>BI47="TE"</formula>
    </cfRule>
    <cfRule type="expression" dxfId="3694" priority="5391">
      <formula>BI47="WR"</formula>
    </cfRule>
    <cfRule type="expression" dxfId="3695" priority="5392">
      <formula>BI47="RB"</formula>
    </cfRule>
    <cfRule type="expression" dxfId="3690" priority="5393">
      <formula>BI47="QB"</formula>
    </cfRule>
  </conditionalFormatting>
  <conditionalFormatting sqref="BJ5">
    <cfRule type="expression" dxfId="3686" priority="4974">
      <formula>BI5="K"</formula>
    </cfRule>
    <cfRule type="expression" dxfId="3689" priority="4975">
      <formula>BI5="DEF"</formula>
    </cfRule>
    <cfRule type="expression" dxfId="3688" priority="4976">
      <formula>BI5="TE"</formula>
    </cfRule>
    <cfRule type="expression" dxfId="3687" priority="4977">
      <formula>BI5="WR"</formula>
    </cfRule>
    <cfRule type="expression" dxfId="3684" priority="4978">
      <formula>BI5="RB"</formula>
    </cfRule>
    <cfRule type="expression" dxfId="3685" priority="4979">
      <formula>BI5="QB"</formula>
    </cfRule>
  </conditionalFormatting>
  <conditionalFormatting sqref="BJ8">
    <cfRule type="expression" dxfId="3680" priority="5004">
      <formula>BI8="K"</formula>
    </cfRule>
    <cfRule type="expression" dxfId="3683" priority="5005">
      <formula>BI8="DEF"</formula>
    </cfRule>
    <cfRule type="expression" dxfId="3679" priority="5006">
      <formula>BI8="TE"</formula>
    </cfRule>
    <cfRule type="expression" dxfId="3681" priority="5007">
      <formula>BI8="WR"</formula>
    </cfRule>
    <cfRule type="expression" dxfId="3682" priority="5008">
      <formula>BI8="RB"</formula>
    </cfRule>
    <cfRule type="expression" dxfId="3678" priority="5009">
      <formula>BI8="QB"</formula>
    </cfRule>
  </conditionalFormatting>
  <conditionalFormatting sqref="BJ11">
    <cfRule type="expression" dxfId="3675" priority="5034">
      <formula>BI11="K"</formula>
    </cfRule>
    <cfRule type="expression" dxfId="3677" priority="5035">
      <formula>BI11="DEF"</formula>
    </cfRule>
    <cfRule type="expression" dxfId="3676" priority="5036">
      <formula>BI11="TE"</formula>
    </cfRule>
    <cfRule type="expression" dxfId="3672" priority="5037">
      <formula>BI11="WR"</formula>
    </cfRule>
    <cfRule type="expression" dxfId="3673" priority="5038">
      <formula>BI11="RB"</formula>
    </cfRule>
    <cfRule type="expression" dxfId="3674" priority="5039">
      <formula>BI11="QB"</formula>
    </cfRule>
  </conditionalFormatting>
  <conditionalFormatting sqref="BJ14">
    <cfRule type="expression" dxfId="3670" priority="5064">
      <formula>BI14="K"</formula>
    </cfRule>
    <cfRule type="expression" dxfId="3669" priority="5065">
      <formula>BI14="DEF"</formula>
    </cfRule>
    <cfRule type="expression" dxfId="3668" priority="5066">
      <formula>BI14="TE"</formula>
    </cfRule>
    <cfRule type="expression" dxfId="3671" priority="5067">
      <formula>BI14="WR"</formula>
    </cfRule>
    <cfRule type="expression" dxfId="3667" priority="5068">
      <formula>BI14="RB"</formula>
    </cfRule>
    <cfRule type="expression" dxfId="3666" priority="5069">
      <formula>BI14="QB"</formula>
    </cfRule>
  </conditionalFormatting>
  <conditionalFormatting sqref="BJ17">
    <cfRule type="expression" dxfId="3664" priority="5094">
      <formula>BI17="K"</formula>
    </cfRule>
    <cfRule type="expression" dxfId="3660" priority="5095">
      <formula>BI17="DEF"</formula>
    </cfRule>
    <cfRule type="expression" dxfId="3665" priority="5096">
      <formula>BI17="TE"</formula>
    </cfRule>
    <cfRule type="expression" dxfId="3662" priority="5097">
      <formula>BI17="WR"</formula>
    </cfRule>
    <cfRule type="expression" dxfId="3663" priority="5098">
      <formula>BI17="RB"</formula>
    </cfRule>
    <cfRule type="expression" dxfId="3661" priority="5099">
      <formula>BI17="QB"</formula>
    </cfRule>
  </conditionalFormatting>
  <conditionalFormatting sqref="BJ20">
    <cfRule type="expression" dxfId="3657" priority="5124">
      <formula>BI20="K"</formula>
    </cfRule>
    <cfRule type="expression" dxfId="3655" priority="5125">
      <formula>BI20="DEF"</formula>
    </cfRule>
    <cfRule type="expression" dxfId="3654" priority="5126">
      <formula>BI20="TE"</formula>
    </cfRule>
    <cfRule type="expression" dxfId="3658" priority="5127">
      <formula>BI20="WR"</formula>
    </cfRule>
    <cfRule type="expression" dxfId="3659" priority="5128">
      <formula>BI20="RB"</formula>
    </cfRule>
    <cfRule type="expression" dxfId="3656" priority="5129">
      <formula>BI20="QB"</formula>
    </cfRule>
  </conditionalFormatting>
  <conditionalFormatting sqref="BJ23">
    <cfRule type="expression" dxfId="3649" priority="5154">
      <formula>BI23="K"</formula>
    </cfRule>
    <cfRule type="expression" dxfId="3653" priority="5155">
      <formula>BI23="DEF"</formula>
    </cfRule>
    <cfRule type="expression" dxfId="3652" priority="5156">
      <formula>BI23="TE"</formula>
    </cfRule>
    <cfRule type="expression" dxfId="3648" priority="5157">
      <formula>BI23="WR"</formula>
    </cfRule>
    <cfRule type="expression" dxfId="3651" priority="5158">
      <formula>BI23="RB"</formula>
    </cfRule>
    <cfRule type="expression" dxfId="3650" priority="5159">
      <formula>BI23="QB"</formula>
    </cfRule>
  </conditionalFormatting>
  <conditionalFormatting sqref="BJ26">
    <cfRule type="expression" dxfId="3646" priority="5184">
      <formula>BI26="K"</formula>
    </cfRule>
    <cfRule type="expression" dxfId="3647" priority="5185">
      <formula>BI26="DEF"</formula>
    </cfRule>
    <cfRule type="expression" dxfId="3642" priority="5186">
      <formula>BI26="TE"</formula>
    </cfRule>
    <cfRule type="expression" dxfId="3643" priority="5187">
      <formula>BI26="WR"</formula>
    </cfRule>
    <cfRule type="expression" dxfId="3644" priority="5188">
      <formula>BI26="RB"</formula>
    </cfRule>
    <cfRule type="expression" dxfId="3645" priority="5189">
      <formula>BI26="QB"</formula>
    </cfRule>
  </conditionalFormatting>
  <conditionalFormatting sqref="BJ29">
    <cfRule type="expression" dxfId="3636" priority="5214">
      <formula>BI29="K"</formula>
    </cfRule>
    <cfRule type="expression" dxfId="3641" priority="5215">
      <formula>BI29="DEF"</formula>
    </cfRule>
    <cfRule type="expression" dxfId="3640" priority="5216">
      <formula>BI29="TE"</formula>
    </cfRule>
    <cfRule type="expression" dxfId="3639" priority="5217">
      <formula>BI29="WR"</formula>
    </cfRule>
    <cfRule type="expression" dxfId="3638" priority="5218">
      <formula>BI29="RB"</formula>
    </cfRule>
    <cfRule type="expression" dxfId="3637" priority="5219">
      <formula>BI29="QB"</formula>
    </cfRule>
  </conditionalFormatting>
  <conditionalFormatting sqref="BJ32">
    <cfRule type="expression" dxfId="3635" priority="5244">
      <formula>BI32="K"</formula>
    </cfRule>
    <cfRule type="expression" dxfId="3630" priority="5245">
      <formula>BI32="DEF"</formula>
    </cfRule>
    <cfRule type="expression" dxfId="3631" priority="5246">
      <formula>BI32="TE"</formula>
    </cfRule>
    <cfRule type="expression" dxfId="3632" priority="5247">
      <formula>BI32="WR"</formula>
    </cfRule>
    <cfRule type="expression" dxfId="3633" priority="5248">
      <formula>BI32="RB"</formula>
    </cfRule>
    <cfRule type="expression" dxfId="3634" priority="5249">
      <formula>BI32="QB"</formula>
    </cfRule>
  </conditionalFormatting>
  <conditionalFormatting sqref="BJ35">
    <cfRule type="expression" dxfId="3624" priority="5274">
      <formula>BI35="K"</formula>
    </cfRule>
    <cfRule type="expression" dxfId="3625" priority="5275">
      <formula>BI35="DEF"</formula>
    </cfRule>
    <cfRule type="expression" dxfId="3626" priority="5276">
      <formula>BI35="TE"</formula>
    </cfRule>
    <cfRule type="expression" dxfId="3627" priority="5277">
      <formula>BI35="WR"</formula>
    </cfRule>
    <cfRule type="expression" dxfId="3628" priority="5278">
      <formula>BI35="RB"</formula>
    </cfRule>
    <cfRule type="expression" dxfId="3629" priority="5279">
      <formula>BI35="QB"</formula>
    </cfRule>
  </conditionalFormatting>
  <conditionalFormatting sqref="BJ38">
    <cfRule type="expression" dxfId="3623" priority="5304">
      <formula>BI38="K"</formula>
    </cfRule>
    <cfRule type="expression" dxfId="3618" priority="5305">
      <formula>BI38="DEF"</formula>
    </cfRule>
    <cfRule type="expression" dxfId="3619" priority="5306">
      <formula>BI38="TE"</formula>
    </cfRule>
    <cfRule type="expression" dxfId="3620" priority="5307">
      <formula>BI38="WR"</formula>
    </cfRule>
    <cfRule type="expression" dxfId="3621" priority="5308">
      <formula>BI38="RB"</formula>
    </cfRule>
    <cfRule type="expression" dxfId="3622" priority="5309">
      <formula>BI38="QB"</formula>
    </cfRule>
  </conditionalFormatting>
  <conditionalFormatting sqref="BJ41">
    <cfRule type="expression" dxfId="3615" priority="5334">
      <formula>BI41="K"</formula>
    </cfRule>
    <cfRule type="expression" dxfId="3616" priority="5335">
      <formula>BI41="DEF"</formula>
    </cfRule>
    <cfRule type="expression" dxfId="3617" priority="5336">
      <formula>BI41="TE"</formula>
    </cfRule>
    <cfRule type="expression" dxfId="3612" priority="5337">
      <formula>BI41="WR"</formula>
    </cfRule>
    <cfRule type="expression" dxfId="3613" priority="5338">
      <formula>BI41="RB"</formula>
    </cfRule>
    <cfRule type="expression" dxfId="3614" priority="5339">
      <formula>BI41="QB"</formula>
    </cfRule>
  </conditionalFormatting>
  <conditionalFormatting sqref="BJ44">
    <cfRule type="expression" dxfId="3606" priority="5364">
      <formula>BI44="K"</formula>
    </cfRule>
    <cfRule type="expression" dxfId="3611" priority="5365">
      <formula>BI44="DEF"</formula>
    </cfRule>
    <cfRule type="expression" dxfId="3610" priority="5366">
      <formula>BI44="TE"</formula>
    </cfRule>
    <cfRule type="expression" dxfId="3609" priority="5367">
      <formula>BI44="WR"</formula>
    </cfRule>
    <cfRule type="expression" dxfId="3608" priority="5368">
      <formula>BI44="RB"</formula>
    </cfRule>
    <cfRule type="expression" dxfId="3607" priority="5369">
      <formula>BI44="QB"</formula>
    </cfRule>
  </conditionalFormatting>
  <conditionalFormatting sqref="BJ47">
    <cfRule type="expression" dxfId="3600" priority="5394">
      <formula>BI47="K"</formula>
    </cfRule>
    <cfRule type="expression" dxfId="3605" priority="5395">
      <formula>BI47="DEF"</formula>
    </cfRule>
    <cfRule type="expression" dxfId="3604" priority="5396">
      <formula>BI47="TE"</formula>
    </cfRule>
    <cfRule type="expression" dxfId="3603" priority="5397">
      <formula>BI47="WR"</formula>
    </cfRule>
    <cfRule type="expression" dxfId="3602" priority="5398">
      <formula>BI47="RB"</formula>
    </cfRule>
    <cfRule type="expression" dxfId="3601" priority="5399">
      <formula>BI47="QB"</formula>
    </cfRule>
  </conditionalFormatting>
  <conditionalFormatting sqref="BL4">
    <cfRule type="expression" dxfId="3599" priority="5401">
      <formula>BN5="DEF"</formula>
    </cfRule>
    <cfRule type="expression" dxfId="3598" priority="5402">
      <formula>BN5="TE"</formula>
    </cfRule>
    <cfRule type="expression" dxfId="3597" priority="5403">
      <formula>BN5="WR"</formula>
    </cfRule>
    <cfRule type="expression" dxfId="3596" priority="5404">
      <formula>BN5="RB"</formula>
    </cfRule>
    <cfRule type="expression" dxfId="3595" priority="5405">
      <formula>BN5="QB"</formula>
    </cfRule>
  </conditionalFormatting>
  <conditionalFormatting sqref="BL5">
    <cfRule type="expression" dxfId="3594" priority="5406">
      <formula>BN5="K"</formula>
    </cfRule>
    <cfRule type="expression" dxfId="3593" priority="5407">
      <formula>BN5="DEF"</formula>
    </cfRule>
    <cfRule type="expression" dxfId="3592" priority="5408">
      <formula>BN5="TE"</formula>
    </cfRule>
    <cfRule type="expression" dxfId="3591" priority="5409">
      <formula>BN5="WR"</formula>
    </cfRule>
    <cfRule type="expression" dxfId="3590" priority="5410">
      <formula>BN5="RB"</formula>
    </cfRule>
    <cfRule type="expression" dxfId="3589" priority="5411">
      <formula>BN5="QB"</formula>
    </cfRule>
  </conditionalFormatting>
  <conditionalFormatting sqref="BL7">
    <cfRule type="expression" dxfId="3586" priority="5431">
      <formula>BN8="DEF"</formula>
    </cfRule>
    <cfRule type="expression" dxfId="3587" priority="5432">
      <formula>BN8="TE"</formula>
    </cfRule>
    <cfRule type="expression" dxfId="3588" priority="5433">
      <formula>BN8="WR"</formula>
    </cfRule>
    <cfRule type="expression" dxfId="3584" priority="5434">
      <formula>BN8="RB"</formula>
    </cfRule>
    <cfRule type="expression" dxfId="3585" priority="5435">
      <formula>BN8="QB"</formula>
    </cfRule>
  </conditionalFormatting>
  <conditionalFormatting sqref="BL8">
    <cfRule type="expression" dxfId="3579" priority="5436">
      <formula>BN8="K"</formula>
    </cfRule>
    <cfRule type="expression" dxfId="3578" priority="5437">
      <formula>BN8="DEF"</formula>
    </cfRule>
    <cfRule type="expression" dxfId="3580" priority="5438">
      <formula>BN8="TE"</formula>
    </cfRule>
    <cfRule type="expression" dxfId="3583" priority="5439">
      <formula>BN8="WR"</formula>
    </cfRule>
    <cfRule type="expression" dxfId="3582" priority="5440">
      <formula>BN8="RB"</formula>
    </cfRule>
    <cfRule type="expression" dxfId="3581" priority="5441">
      <formula>BN8="QB"</formula>
    </cfRule>
  </conditionalFormatting>
  <conditionalFormatting sqref="BL10">
    <cfRule type="expression" dxfId="3573" priority="5461">
      <formula>BN11="DEF"</formula>
    </cfRule>
    <cfRule type="expression" dxfId="3574" priority="5462">
      <formula>BN11="TE"</formula>
    </cfRule>
    <cfRule type="expression" dxfId="3575" priority="5463">
      <formula>BN11="WR"</formula>
    </cfRule>
    <cfRule type="expression" dxfId="3576" priority="5464">
      <formula>BN11="RB"</formula>
    </cfRule>
    <cfRule type="expression" dxfId="3577" priority="5465">
      <formula>BN11="QB"</formula>
    </cfRule>
  </conditionalFormatting>
  <conditionalFormatting sqref="BL11">
    <cfRule type="expression" dxfId="3571" priority="5466">
      <formula>BN11="K"</formula>
    </cfRule>
    <cfRule type="expression" dxfId="3572" priority="5467">
      <formula>BN11="DEF"</formula>
    </cfRule>
    <cfRule type="expression" dxfId="3567" priority="5468">
      <formula>BN11="TE"</formula>
    </cfRule>
    <cfRule type="expression" dxfId="3568" priority="5469">
      <formula>BN11="WR"</formula>
    </cfRule>
    <cfRule type="expression" dxfId="3569" priority="5470">
      <formula>BN11="RB"</formula>
    </cfRule>
    <cfRule type="expression" dxfId="3570" priority="5471">
      <formula>BN11="QB"</formula>
    </cfRule>
  </conditionalFormatting>
  <conditionalFormatting sqref="BL13">
    <cfRule type="expression" dxfId="3562" priority="5491">
      <formula>BN14="DEF"</formula>
    </cfRule>
    <cfRule type="expression" dxfId="3566" priority="5492">
      <formula>BN14="TE"</formula>
    </cfRule>
    <cfRule type="expression" dxfId="3565" priority="5493">
      <formula>BN14="WR"</formula>
    </cfRule>
    <cfRule type="expression" dxfId="3564" priority="5494">
      <formula>BN14="RB"</formula>
    </cfRule>
    <cfRule type="expression" dxfId="3563" priority="5495">
      <formula>BN14="QB"</formula>
    </cfRule>
  </conditionalFormatting>
  <conditionalFormatting sqref="BL14">
    <cfRule type="expression" dxfId="3558" priority="5496">
      <formula>BN14="K"</formula>
    </cfRule>
    <cfRule type="expression" dxfId="3559" priority="5497">
      <formula>BN14="DEF"</formula>
    </cfRule>
    <cfRule type="expression" dxfId="3556" priority="5498">
      <formula>BN14="TE"</formula>
    </cfRule>
    <cfRule type="expression" dxfId="3557" priority="5499">
      <formula>BN14="WR"</formula>
    </cfRule>
    <cfRule type="expression" dxfId="3561" priority="5500">
      <formula>BN14="RB"</formula>
    </cfRule>
    <cfRule type="expression" dxfId="3560" priority="5501">
      <formula>BN14="QB"</formula>
    </cfRule>
  </conditionalFormatting>
  <conditionalFormatting sqref="BL16">
    <cfRule type="expression" dxfId="3551" priority="5521">
      <formula>BN17="DEF"</formula>
    </cfRule>
    <cfRule type="expression" dxfId="3555" priority="5522">
      <formula>BN17="TE"</formula>
    </cfRule>
    <cfRule type="expression" dxfId="3554" priority="5523">
      <formula>BN17="WR"</formula>
    </cfRule>
    <cfRule type="expression" dxfId="3553" priority="5524">
      <formula>BN17="RB"</formula>
    </cfRule>
    <cfRule type="expression" dxfId="3552" priority="5525">
      <formula>BN17="QB"</formula>
    </cfRule>
  </conditionalFormatting>
  <conditionalFormatting sqref="BL17">
    <cfRule type="expression" dxfId="3545" priority="5526">
      <formula>BN17="K"</formula>
    </cfRule>
    <cfRule type="expression" dxfId="3550" priority="5527">
      <formula>BN17="DEF"</formula>
    </cfRule>
    <cfRule type="expression" dxfId="3549" priority="5528">
      <formula>BN17="TE"</formula>
    </cfRule>
    <cfRule type="expression" dxfId="3548" priority="5529">
      <formula>BN17="WR"</formula>
    </cfRule>
    <cfRule type="expression" dxfId="3547" priority="5530">
      <formula>BN17="RB"</formula>
    </cfRule>
    <cfRule type="expression" dxfId="3546" priority="5531">
      <formula>BN17="QB"</formula>
    </cfRule>
  </conditionalFormatting>
  <conditionalFormatting sqref="BL19">
    <cfRule type="expression" dxfId="3542" priority="5551">
      <formula>BN20="DEF"</formula>
    </cfRule>
    <cfRule type="expression" dxfId="3543" priority="5552">
      <formula>BN20="TE"</formula>
    </cfRule>
    <cfRule type="expression" dxfId="3544" priority="5553">
      <formula>BN20="WR"</formula>
    </cfRule>
    <cfRule type="expression" dxfId="3541" priority="5554">
      <formula>BN20="RB"</formula>
    </cfRule>
    <cfRule type="expression" dxfId="3540" priority="5555">
      <formula>BN20="QB"</formula>
    </cfRule>
  </conditionalFormatting>
  <conditionalFormatting sqref="BL20">
    <cfRule type="expression" dxfId="3534" priority="5556">
      <formula>BN20="K"</formula>
    </cfRule>
    <cfRule type="expression" dxfId="3538" priority="5557">
      <formula>BN20="DEF"</formula>
    </cfRule>
    <cfRule type="expression" dxfId="3535" priority="5558">
      <formula>BN20="TE"</formula>
    </cfRule>
    <cfRule type="expression" dxfId="3537" priority="5559">
      <formula>BN20="WR"</formula>
    </cfRule>
    <cfRule type="expression" dxfId="3536" priority="5560">
      <formula>BN20="RB"</formula>
    </cfRule>
    <cfRule type="expression" dxfId="3539" priority="5561">
      <formula>BN20="QB"</formula>
    </cfRule>
  </conditionalFormatting>
  <conditionalFormatting sqref="BL22">
    <cfRule type="expression" dxfId="3529" priority="5581">
      <formula>BN23="DEF"</formula>
    </cfRule>
    <cfRule type="expression" dxfId="3530" priority="5582">
      <formula>BN23="TE"</formula>
    </cfRule>
    <cfRule type="expression" dxfId="3531" priority="5583">
      <formula>BN23="WR"</formula>
    </cfRule>
    <cfRule type="expression" dxfId="3532" priority="5584">
      <formula>BN23="RB"</formula>
    </cfRule>
    <cfRule type="expression" dxfId="3533" priority="5585">
      <formula>BN23="QB"</formula>
    </cfRule>
  </conditionalFormatting>
  <conditionalFormatting sqref="BL23">
    <cfRule type="expression" dxfId="3524" priority="5586">
      <formula>BN23="K"</formula>
    </cfRule>
    <cfRule type="expression" dxfId="3523" priority="5587">
      <formula>BN23="DEF"</formula>
    </cfRule>
    <cfRule type="expression" dxfId="3528" priority="5588">
      <formula>BN23="TE"</formula>
    </cfRule>
    <cfRule type="expression" dxfId="3527" priority="5589">
      <formula>BN23="WR"</formula>
    </cfRule>
    <cfRule type="expression" dxfId="3525" priority="5590">
      <formula>BN23="RB"</formula>
    </cfRule>
    <cfRule type="expression" dxfId="3526" priority="5591">
      <formula>BN23="QB"</formula>
    </cfRule>
  </conditionalFormatting>
  <conditionalFormatting sqref="BL25">
    <cfRule type="expression" dxfId="3521" priority="5611">
      <formula>BN26="DEF"</formula>
    </cfRule>
    <cfRule type="expression" dxfId="3520" priority="5612">
      <formula>BN26="TE"</formula>
    </cfRule>
    <cfRule type="expression" dxfId="3519" priority="5613">
      <formula>BN26="WR"</formula>
    </cfRule>
    <cfRule type="expression" dxfId="3518" priority="5614">
      <formula>BN26="RB"</formula>
    </cfRule>
    <cfRule type="expression" dxfId="3522" priority="5615">
      <formula>BN26="QB"</formula>
    </cfRule>
  </conditionalFormatting>
  <conditionalFormatting sqref="BL26">
    <cfRule type="expression" dxfId="3512" priority="5616">
      <formula>BN26="K"</formula>
    </cfRule>
    <cfRule type="expression" dxfId="3513" priority="5617">
      <formula>BN26="DEF"</formula>
    </cfRule>
    <cfRule type="expression" dxfId="3514" priority="5618">
      <formula>BN26="TE"</formula>
    </cfRule>
    <cfRule type="expression" dxfId="3515" priority="5619">
      <formula>BN26="WR"</formula>
    </cfRule>
    <cfRule type="expression" dxfId="3516" priority="5620">
      <formula>BN26="RB"</formula>
    </cfRule>
    <cfRule type="expression" dxfId="3517" priority="5621">
      <formula>BN26="QB"</formula>
    </cfRule>
  </conditionalFormatting>
  <conditionalFormatting sqref="BL28">
    <cfRule type="expression" dxfId="3507" priority="5641">
      <formula>BN29="DEF"</formula>
    </cfRule>
    <cfRule type="expression" dxfId="3508" priority="5642">
      <formula>BN29="TE"</formula>
    </cfRule>
    <cfRule type="expression" dxfId="3509" priority="5643">
      <formula>BN29="WR"</formula>
    </cfRule>
    <cfRule type="expression" dxfId="3511" priority="5644">
      <formula>BN29="RB"</formula>
    </cfRule>
    <cfRule type="expression" dxfId="3510" priority="5645">
      <formula>BN29="QB"</formula>
    </cfRule>
  </conditionalFormatting>
  <conditionalFormatting sqref="BL29">
    <cfRule type="expression" dxfId="3505" priority="5646">
      <formula>BN29="K"</formula>
    </cfRule>
    <cfRule type="expression" dxfId="3501" priority="5647">
      <formula>BN29="DEF"</formula>
    </cfRule>
    <cfRule type="expression" dxfId="3506" priority="5648">
      <formula>BN29="TE"</formula>
    </cfRule>
    <cfRule type="expression" dxfId="3504" priority="5649">
      <formula>BN29="WR"</formula>
    </cfRule>
    <cfRule type="expression" dxfId="3503" priority="5650">
      <formula>BN29="RB"</formula>
    </cfRule>
    <cfRule type="expression" dxfId="3502" priority="5651">
      <formula>BN29="QB"</formula>
    </cfRule>
  </conditionalFormatting>
  <conditionalFormatting sqref="BL31">
    <cfRule type="expression" dxfId="3497" priority="5671">
      <formula>BN32="DEF"</formula>
    </cfRule>
    <cfRule type="expression" dxfId="3498" priority="5672">
      <formula>BN32="TE"</formula>
    </cfRule>
    <cfRule type="expression" dxfId="3499" priority="5673">
      <formula>BN32="WR"</formula>
    </cfRule>
    <cfRule type="expression" dxfId="3496" priority="5674">
      <formula>BN32="RB"</formula>
    </cfRule>
    <cfRule type="expression" dxfId="3500" priority="5675">
      <formula>BN32="QB"</formula>
    </cfRule>
  </conditionalFormatting>
  <conditionalFormatting sqref="BL32">
    <cfRule type="expression" dxfId="3490" priority="5676">
      <formula>BN32="K"</formula>
    </cfRule>
    <cfRule type="expression" dxfId="3494" priority="5677">
      <formula>BN32="DEF"</formula>
    </cfRule>
    <cfRule type="expression" dxfId="3493" priority="5678">
      <formula>BN32="TE"</formula>
    </cfRule>
    <cfRule type="expression" dxfId="3492" priority="5679">
      <formula>BN32="WR"</formula>
    </cfRule>
    <cfRule type="expression" dxfId="3491" priority="5680">
      <formula>BN32="RB"</formula>
    </cfRule>
    <cfRule type="expression" dxfId="3495" priority="5681">
      <formula>BN32="QB"</formula>
    </cfRule>
  </conditionalFormatting>
  <conditionalFormatting sqref="BL34">
    <cfRule type="expression" dxfId="3487" priority="5701">
      <formula>BN35="DEF"</formula>
    </cfRule>
    <cfRule type="expression" dxfId="3488" priority="5702">
      <formula>BN35="TE"</formula>
    </cfRule>
    <cfRule type="expression" dxfId="3485" priority="5703">
      <formula>BN35="WR"</formula>
    </cfRule>
    <cfRule type="expression" dxfId="3486" priority="5704">
      <formula>BN35="RB"</formula>
    </cfRule>
    <cfRule type="expression" dxfId="3489" priority="5705">
      <formula>BN35="QB"</formula>
    </cfRule>
  </conditionalFormatting>
  <conditionalFormatting sqref="BL35">
    <cfRule type="expression" dxfId="3484" priority="5706">
      <formula>BN35="K"</formula>
    </cfRule>
    <cfRule type="expression" dxfId="3482" priority="5707">
      <formula>BN35="DEF"</formula>
    </cfRule>
    <cfRule type="expression" dxfId="3481" priority="5708">
      <formula>BN35="TE"</formula>
    </cfRule>
    <cfRule type="expression" dxfId="3483" priority="5709">
      <formula>BN35="WR"</formula>
    </cfRule>
    <cfRule type="expression" dxfId="3479" priority="5710">
      <formula>BN35="RB"</formula>
    </cfRule>
    <cfRule type="expression" dxfId="3480" priority="5711">
      <formula>BN35="QB"</formula>
    </cfRule>
  </conditionalFormatting>
  <conditionalFormatting sqref="BL37">
    <cfRule type="expression" dxfId="3474" priority="5731">
      <formula>BN38="DEF"</formula>
    </cfRule>
    <cfRule type="expression" dxfId="3475" priority="5732">
      <formula>BN38="TE"</formula>
    </cfRule>
    <cfRule type="expression" dxfId="3476" priority="5733">
      <formula>BN38="WR"</formula>
    </cfRule>
    <cfRule type="expression" dxfId="3478" priority="5734">
      <formula>BN38="RB"</formula>
    </cfRule>
    <cfRule type="expression" dxfId="3477" priority="5735">
      <formula>BN38="QB"</formula>
    </cfRule>
  </conditionalFormatting>
  <conditionalFormatting sqref="BL38">
    <cfRule type="expression" dxfId="3473" priority="5736">
      <formula>BN38="K"</formula>
    </cfRule>
    <cfRule type="expression" dxfId="3472" priority="5737">
      <formula>BN38="DEF"</formula>
    </cfRule>
    <cfRule type="expression" dxfId="3471" priority="5738">
      <formula>BN38="TE"</formula>
    </cfRule>
    <cfRule type="expression" dxfId="3470" priority="5739">
      <formula>BN38="WR"</formula>
    </cfRule>
    <cfRule type="expression" dxfId="3469" priority="5740">
      <formula>BN38="RB"</formula>
    </cfRule>
    <cfRule type="expression" dxfId="3468" priority="5741">
      <formula>BN38="QB"</formula>
    </cfRule>
  </conditionalFormatting>
  <conditionalFormatting sqref="BL40">
    <cfRule type="expression" dxfId="3465" priority="5761">
      <formula>BN41="DEF"</formula>
    </cfRule>
    <cfRule type="expression" dxfId="3464" priority="5762">
      <formula>BN41="TE"</formula>
    </cfRule>
    <cfRule type="expression" dxfId="3463" priority="5763">
      <formula>BN41="WR"</formula>
    </cfRule>
    <cfRule type="expression" dxfId="3467" priority="5764">
      <formula>BN41="RB"</formula>
    </cfRule>
    <cfRule type="expression" dxfId="3466" priority="5765">
      <formula>BN41="QB"</formula>
    </cfRule>
  </conditionalFormatting>
  <conditionalFormatting sqref="BL41">
    <cfRule type="expression" dxfId="3457" priority="5766">
      <formula>BN41="K"</formula>
    </cfRule>
    <cfRule type="expression" dxfId="3461" priority="5767">
      <formula>BN41="DEF"</formula>
    </cfRule>
    <cfRule type="expression" dxfId="3460" priority="5768">
      <formula>BN41="TE"</formula>
    </cfRule>
    <cfRule type="expression" dxfId="3462" priority="5769">
      <formula>BN41="WR"</formula>
    </cfRule>
    <cfRule type="expression" dxfId="3459" priority="5770">
      <formula>BN41="RB"</formula>
    </cfRule>
    <cfRule type="expression" dxfId="3458" priority="5771">
      <formula>BN41="QB"</formula>
    </cfRule>
  </conditionalFormatting>
  <conditionalFormatting sqref="BL43">
    <cfRule type="expression" dxfId="3452" priority="5791">
      <formula>BN44="DEF"</formula>
    </cfRule>
    <cfRule type="expression" dxfId="3453" priority="5792">
      <formula>BN44="TE"</formula>
    </cfRule>
    <cfRule type="expression" dxfId="3456" priority="5793">
      <formula>BN44="WR"</formula>
    </cfRule>
    <cfRule type="expression" dxfId="3454" priority="5794">
      <formula>BN44="RB"</formula>
    </cfRule>
    <cfRule type="expression" dxfId="3455" priority="5795">
      <formula>BN44="QB"</formula>
    </cfRule>
  </conditionalFormatting>
  <conditionalFormatting sqref="BL44">
    <cfRule type="expression" dxfId="3451" priority="5796">
      <formula>BN44="K"</formula>
    </cfRule>
    <cfRule type="expression" dxfId="3450" priority="5797">
      <formula>BN44="DEF"</formula>
    </cfRule>
    <cfRule type="expression" dxfId="3449" priority="5798">
      <formula>BN44="TE"</formula>
    </cfRule>
    <cfRule type="expression" dxfId="3448" priority="5799">
      <formula>BN44="WR"</formula>
    </cfRule>
    <cfRule type="expression" dxfId="3446" priority="5800">
      <formula>BN44="RB"</formula>
    </cfRule>
    <cfRule type="expression" dxfId="3447" priority="5801">
      <formula>BN44="QB"</formula>
    </cfRule>
  </conditionalFormatting>
  <conditionalFormatting sqref="BL46">
    <cfRule type="expression" dxfId="3442" priority="5821">
      <formula>BN47="DEF"</formula>
    </cfRule>
    <cfRule type="expression" dxfId="3445" priority="5822">
      <formula>BN47="TE"</formula>
    </cfRule>
    <cfRule type="expression" dxfId="3441" priority="5823">
      <formula>BN47="WR"</formula>
    </cfRule>
    <cfRule type="expression" dxfId="3444" priority="5824">
      <formula>BN47="RB"</formula>
    </cfRule>
    <cfRule type="expression" dxfId="3443" priority="5825">
      <formula>BN47="QB"</formula>
    </cfRule>
  </conditionalFormatting>
  <conditionalFormatting sqref="BL47">
    <cfRule type="expression" dxfId="3437" priority="5826">
      <formula>BN47="K"</formula>
    </cfRule>
    <cfRule type="expression" dxfId="3435" priority="5827">
      <formula>BN47="DEF"</formula>
    </cfRule>
    <cfRule type="expression" dxfId="3438" priority="5828">
      <formula>BN47="TE"</formula>
    </cfRule>
    <cfRule type="expression" dxfId="3439" priority="5829">
      <formula>BN47="WR"</formula>
    </cfRule>
    <cfRule type="expression" dxfId="3440" priority="5830">
      <formula>BN47="RB"</formula>
    </cfRule>
    <cfRule type="expression" dxfId="3436" priority="5831">
      <formula>BN47="QB"</formula>
    </cfRule>
  </conditionalFormatting>
  <conditionalFormatting sqref="BL4:BO4">
    <cfRule type="expression" dxfId="3434" priority="5430">
      <formula>BN5="K"</formula>
    </cfRule>
  </conditionalFormatting>
  <conditionalFormatting sqref="BL7:BO7">
    <cfRule type="expression" dxfId="3433" priority="5460">
      <formula>BN8="K"</formula>
    </cfRule>
  </conditionalFormatting>
  <conditionalFormatting sqref="BL10:BO10">
    <cfRule type="expression" dxfId="3432" priority="5490">
      <formula>BN11="K"</formula>
    </cfRule>
  </conditionalFormatting>
  <conditionalFormatting sqref="BL13:BO13">
    <cfRule type="expression" dxfId="3431" priority="5520">
      <formula>BN14="K"</formula>
    </cfRule>
  </conditionalFormatting>
  <conditionalFormatting sqref="BL16:BO16">
    <cfRule type="expression" dxfId="3430" priority="5550">
      <formula>BN17="K"</formula>
    </cfRule>
  </conditionalFormatting>
  <conditionalFormatting sqref="BL19:BO19">
    <cfRule type="expression" dxfId="3429" priority="5580">
      <formula>BN20="K"</formula>
    </cfRule>
  </conditionalFormatting>
  <conditionalFormatting sqref="BL22:BO22">
    <cfRule type="expression" dxfId="3428" priority="5610">
      <formula>BN23="K"</formula>
    </cfRule>
  </conditionalFormatting>
  <conditionalFormatting sqref="BL25:BO25">
    <cfRule type="expression" dxfId="3427" priority="5640">
      <formula>BN26="K"</formula>
    </cfRule>
  </conditionalFormatting>
  <conditionalFormatting sqref="BL28:BO28">
    <cfRule type="expression" dxfId="3426" priority="5670">
      <formula>BN29="K"</formula>
    </cfRule>
  </conditionalFormatting>
  <conditionalFormatting sqref="BL31:BO31">
    <cfRule type="expression" dxfId="3425" priority="5700">
      <formula>BN32="K"</formula>
    </cfRule>
  </conditionalFormatting>
  <conditionalFormatting sqref="BL34:BO34">
    <cfRule type="expression" dxfId="3424" priority="5730">
      <formula>BN35="K"</formula>
    </cfRule>
  </conditionalFormatting>
  <conditionalFormatting sqref="BL37:BO37">
    <cfRule type="expression" dxfId="3423" priority="5760">
      <formula>BN38="K"</formula>
    </cfRule>
  </conditionalFormatting>
  <conditionalFormatting sqref="BL40:BO40">
    <cfRule type="expression" dxfId="3422" priority="5790">
      <formula>BN41="K"</formula>
    </cfRule>
  </conditionalFormatting>
  <conditionalFormatting sqref="BL43:BO43">
    <cfRule type="expression" dxfId="3421" priority="5820">
      <formula>BN44="K"</formula>
    </cfRule>
  </conditionalFormatting>
  <conditionalFormatting sqref="BL46:BO46">
    <cfRule type="expression" dxfId="3420" priority="5850">
      <formula>BN47="K"</formula>
    </cfRule>
  </conditionalFormatting>
  <conditionalFormatting sqref="BM5">
    <cfRule type="expression" dxfId="3419" priority="5412">
      <formula>BN5="K"</formula>
    </cfRule>
    <cfRule type="expression" dxfId="3414" priority="5413">
      <formula>BN5="DEF"</formula>
    </cfRule>
    <cfRule type="expression" dxfId="3415" priority="5414">
      <formula>BN5="TE"</formula>
    </cfRule>
    <cfRule type="expression" dxfId="3416" priority="5415">
      <formula>BN5="WR"</formula>
    </cfRule>
    <cfRule type="expression" dxfId="3417" priority="5416">
      <formula>BN5="RB"</formula>
    </cfRule>
    <cfRule type="expression" dxfId="3418" priority="5417">
      <formula>BN5="QB"</formula>
    </cfRule>
  </conditionalFormatting>
  <conditionalFormatting sqref="BM8">
    <cfRule type="expression" dxfId="3408" priority="5442">
      <formula>BN8="K"</formula>
    </cfRule>
    <cfRule type="expression" dxfId="3409" priority="5443">
      <formula>BN8="DEF"</formula>
    </cfRule>
    <cfRule type="expression" dxfId="3410" priority="5444">
      <formula>BN8="TE"</formula>
    </cfRule>
    <cfRule type="expression" dxfId="3411" priority="5445">
      <formula>BN8="WR"</formula>
    </cfRule>
    <cfRule type="expression" dxfId="3412" priority="5446">
      <formula>BN8="RB"</formula>
    </cfRule>
    <cfRule type="expression" dxfId="3413" priority="5447">
      <formula>BN8="QB"</formula>
    </cfRule>
  </conditionalFormatting>
  <conditionalFormatting sqref="BM11">
    <cfRule type="expression" dxfId="3403" priority="5472">
      <formula>BN11="K"</formula>
    </cfRule>
    <cfRule type="expression" dxfId="3404" priority="5473">
      <formula>BN11="DEF"</formula>
    </cfRule>
    <cfRule type="expression" dxfId="3405" priority="5474">
      <formula>BN11="TE"</formula>
    </cfRule>
    <cfRule type="expression" dxfId="3406" priority="5475">
      <formula>BN11="WR"</formula>
    </cfRule>
    <cfRule type="expression" dxfId="3407" priority="5476">
      <formula>BN11="RB"</formula>
    </cfRule>
    <cfRule type="expression" dxfId="3402" priority="5477">
      <formula>BN11="QB"</formula>
    </cfRule>
  </conditionalFormatting>
  <conditionalFormatting sqref="BM14">
    <cfRule type="expression" dxfId="3397" priority="5502">
      <formula>BN14="K"</formula>
    </cfRule>
    <cfRule type="expression" dxfId="3396" priority="5503">
      <formula>BN14="DEF"</formula>
    </cfRule>
    <cfRule type="expression" dxfId="3401" priority="5504">
      <formula>BN14="TE"</formula>
    </cfRule>
    <cfRule type="expression" dxfId="3400" priority="5505">
      <formula>BN14="WR"</formula>
    </cfRule>
    <cfRule type="expression" dxfId="3398" priority="5506">
      <formula>BN14="RB"</formula>
    </cfRule>
    <cfRule type="expression" dxfId="3399" priority="5507">
      <formula>BN14="QB"</formula>
    </cfRule>
  </conditionalFormatting>
  <conditionalFormatting sqref="BM17">
    <cfRule type="expression" dxfId="3392" priority="5532">
      <formula>BN17="K"</formula>
    </cfRule>
    <cfRule type="expression" dxfId="3393" priority="5533">
      <formula>BN17="DEF"</formula>
    </cfRule>
    <cfRule type="expression" dxfId="3394" priority="5534">
      <formula>BN17="TE"</formula>
    </cfRule>
    <cfRule type="expression" dxfId="3391" priority="5535">
      <formula>BN17="WR"</formula>
    </cfRule>
    <cfRule type="expression" dxfId="3395" priority="5536">
      <formula>BN17="RB"</formula>
    </cfRule>
    <cfRule type="expression" dxfId="3390" priority="5537">
      <formula>BN17="QB"</formula>
    </cfRule>
  </conditionalFormatting>
  <conditionalFormatting sqref="BM20">
    <cfRule type="expression" dxfId="3389" priority="5562">
      <formula>BN20="K"</formula>
    </cfRule>
    <cfRule type="expression" dxfId="3384" priority="5563">
      <formula>BN20="DEF"</formula>
    </cfRule>
    <cfRule type="expression" dxfId="3387" priority="5564">
      <formula>BN20="TE"</formula>
    </cfRule>
    <cfRule type="expression" dxfId="3388" priority="5565">
      <formula>BN20="WR"</formula>
    </cfRule>
    <cfRule type="expression" dxfId="3385" priority="5566">
      <formula>BN20="RB"</formula>
    </cfRule>
    <cfRule type="expression" dxfId="3386" priority="5567">
      <formula>BN20="QB"</formula>
    </cfRule>
  </conditionalFormatting>
  <conditionalFormatting sqref="BM23">
    <cfRule type="expression" dxfId="3381" priority="5592">
      <formula>BN23="K"</formula>
    </cfRule>
    <cfRule type="expression" dxfId="3382" priority="5593">
      <formula>BN23="DEF"</formula>
    </cfRule>
    <cfRule type="expression" dxfId="3378" priority="5594">
      <formula>BN23="TE"</formula>
    </cfRule>
    <cfRule type="expression" dxfId="3383" priority="5595">
      <formula>BN23="WR"</formula>
    </cfRule>
    <cfRule type="expression" dxfId="3379" priority="5596">
      <formula>BN23="RB"</formula>
    </cfRule>
    <cfRule type="expression" dxfId="3380" priority="5597">
      <formula>BN23="QB"</formula>
    </cfRule>
  </conditionalFormatting>
  <conditionalFormatting sqref="BM26">
    <cfRule type="expression" dxfId="3372" priority="5622">
      <formula>BN26="K"</formula>
    </cfRule>
    <cfRule type="expression" dxfId="3373" priority="5623">
      <formula>BN26="DEF"</formula>
    </cfRule>
    <cfRule type="expression" dxfId="3377" priority="5624">
      <formula>BN26="TE"</formula>
    </cfRule>
    <cfRule type="expression" dxfId="3376" priority="5625">
      <formula>BN26="WR"</formula>
    </cfRule>
    <cfRule type="expression" dxfId="3375" priority="5626">
      <formula>BN26="RB"</formula>
    </cfRule>
    <cfRule type="expression" dxfId="3374" priority="5627">
      <formula>BN26="QB"</formula>
    </cfRule>
  </conditionalFormatting>
  <conditionalFormatting sqref="BM29">
    <cfRule type="expression" dxfId="3369" priority="5652">
      <formula>BN29="K"</formula>
    </cfRule>
    <cfRule type="expression" dxfId="3371" priority="5653">
      <formula>BN29="DEF"</formula>
    </cfRule>
    <cfRule type="expression" dxfId="3370" priority="5654">
      <formula>BN29="TE"</formula>
    </cfRule>
    <cfRule type="expression" dxfId="3368" priority="5655">
      <formula>BN29="WR"</formula>
    </cfRule>
    <cfRule type="expression" dxfId="3367" priority="5656">
      <formula>BN29="RB"</formula>
    </cfRule>
    <cfRule type="expression" dxfId="3366" priority="5657">
      <formula>BN29="QB"</formula>
    </cfRule>
  </conditionalFormatting>
  <conditionalFormatting sqref="BM32">
    <cfRule type="expression" dxfId="3361" priority="5682">
      <formula>BN32="K"</formula>
    </cfRule>
    <cfRule type="expression" dxfId="3362" priority="5683">
      <formula>BN32="DEF"</formula>
    </cfRule>
    <cfRule type="expression" dxfId="3363" priority="5684">
      <formula>BN32="TE"</formula>
    </cfRule>
    <cfRule type="expression" dxfId="3360" priority="5685">
      <formula>BN32="WR"</formula>
    </cfRule>
    <cfRule type="expression" dxfId="3364" priority="5686">
      <formula>BN32="RB"</formula>
    </cfRule>
    <cfRule type="expression" dxfId="3365" priority="5687">
      <formula>BN32="QB"</formula>
    </cfRule>
  </conditionalFormatting>
  <conditionalFormatting sqref="BM35">
    <cfRule type="expression" dxfId="3359" priority="5712">
      <formula>BN35="K"</formula>
    </cfRule>
    <cfRule type="expression" dxfId="3354" priority="5713">
      <formula>BN35="DEF"</formula>
    </cfRule>
    <cfRule type="expression" dxfId="3358" priority="5714">
      <formula>BN35="TE"</formula>
    </cfRule>
    <cfRule type="expression" dxfId="3357" priority="5715">
      <formula>BN35="WR"</formula>
    </cfRule>
    <cfRule type="expression" dxfId="3356" priority="5716">
      <formula>BN35="RB"</formula>
    </cfRule>
    <cfRule type="expression" dxfId="3355" priority="5717">
      <formula>BN35="QB"</formula>
    </cfRule>
  </conditionalFormatting>
  <conditionalFormatting sqref="BM38">
    <cfRule type="expression" dxfId="3348" priority="5742">
      <formula>BN38="K"</formula>
    </cfRule>
    <cfRule type="expression" dxfId="3353" priority="5743">
      <formula>BN38="DEF"</formula>
    </cfRule>
    <cfRule type="expression" dxfId="3352" priority="5744">
      <formula>BN38="TE"</formula>
    </cfRule>
    <cfRule type="expression" dxfId="3351" priority="5745">
      <formula>BN38="WR"</formula>
    </cfRule>
    <cfRule type="expression" dxfId="3350" priority="5746">
      <formula>BN38="RB"</formula>
    </cfRule>
    <cfRule type="expression" dxfId="3349" priority="5747">
      <formula>BN38="QB"</formula>
    </cfRule>
  </conditionalFormatting>
  <conditionalFormatting sqref="BM41">
    <cfRule type="expression" dxfId="3343" priority="5772">
      <formula>BN41="K"</formula>
    </cfRule>
    <cfRule type="expression" dxfId="3342" priority="5773">
      <formula>BN41="DEF"</formula>
    </cfRule>
    <cfRule type="expression" dxfId="3347" priority="5774">
      <formula>BN41="TE"</formula>
    </cfRule>
    <cfRule type="expression" dxfId="3346" priority="5775">
      <formula>BN41="WR"</formula>
    </cfRule>
    <cfRule type="expression" dxfId="3344" priority="5776">
      <formula>BN41="RB"</formula>
    </cfRule>
    <cfRule type="expression" dxfId="3345" priority="5777">
      <formula>BN41="QB"</formula>
    </cfRule>
  </conditionalFormatting>
  <conditionalFormatting sqref="BM44">
    <cfRule type="expression" dxfId="3337" priority="5802">
      <formula>BN44="K"</formula>
    </cfRule>
    <cfRule type="expression" dxfId="3338" priority="5803">
      <formula>BN44="DEF"</formula>
    </cfRule>
    <cfRule type="expression" dxfId="3339" priority="5804">
      <formula>BN44="TE"</formula>
    </cfRule>
    <cfRule type="expression" dxfId="3340" priority="5805">
      <formula>BN44="WR"</formula>
    </cfRule>
    <cfRule type="expression" dxfId="3336" priority="5806">
      <formula>BN44="RB"</formula>
    </cfRule>
    <cfRule type="expression" dxfId="3341" priority="5807">
      <formula>BN44="QB"</formula>
    </cfRule>
  </conditionalFormatting>
  <conditionalFormatting sqref="BM47">
    <cfRule type="expression" dxfId="3332" priority="5832">
      <formula>BN47="K"</formula>
    </cfRule>
    <cfRule type="expression" dxfId="3333" priority="5833">
      <formula>BN47="DEF"</formula>
    </cfRule>
    <cfRule type="expression" dxfId="3334" priority="5834">
      <formula>BN47="TE"</formula>
    </cfRule>
    <cfRule type="expression" dxfId="3335" priority="5835">
      <formula>BN47="WR"</formula>
    </cfRule>
    <cfRule type="expression" dxfId="3331" priority="5836">
      <formula>BN47="RB"</formula>
    </cfRule>
    <cfRule type="expression" dxfId="3330" priority="5837">
      <formula>BN47="QB"</formula>
    </cfRule>
  </conditionalFormatting>
  <conditionalFormatting sqref="BN5">
    <cfRule type="expression" dxfId="3329" priority="5418">
      <formula>BN5="K"</formula>
    </cfRule>
    <cfRule type="expression" dxfId="3328" priority="5419">
      <formula>BN5="DEF"</formula>
    </cfRule>
    <cfRule type="expression" dxfId="3327" priority="5420">
      <formula>BN5="TE"</formula>
    </cfRule>
    <cfRule type="expression" dxfId="3325" priority="5421">
      <formula>BN5="WR"</formula>
    </cfRule>
    <cfRule type="expression" dxfId="3326" priority="5422">
      <formula>BN5="RB"</formula>
    </cfRule>
    <cfRule type="expression" dxfId="3324" priority="5423">
      <formula>BN5="QB"</formula>
    </cfRule>
  </conditionalFormatting>
  <conditionalFormatting sqref="BN8">
    <cfRule type="expression" dxfId="3323" priority="5448">
      <formula>BN8="K"</formula>
    </cfRule>
    <cfRule type="expression" dxfId="3318" priority="5449">
      <formula>BN8="DEF"</formula>
    </cfRule>
    <cfRule type="expression" dxfId="3322" priority="5450">
      <formula>BN8="TE"</formula>
    </cfRule>
    <cfRule type="expression" dxfId="3321" priority="5451">
      <formula>BN8="WR"</formula>
    </cfRule>
    <cfRule type="expression" dxfId="3320" priority="5452">
      <formula>BN8="RB"</formula>
    </cfRule>
    <cfRule type="expression" dxfId="3319" priority="5453">
      <formula>BN8="QB"</formula>
    </cfRule>
  </conditionalFormatting>
  <conditionalFormatting sqref="BN11">
    <cfRule type="expression" dxfId="3314" priority="5478">
      <formula>BN11="K"</formula>
    </cfRule>
    <cfRule type="expression" dxfId="3315" priority="5479">
      <formula>BN11="DEF"</formula>
    </cfRule>
    <cfRule type="expression" dxfId="3316" priority="5480">
      <formula>BN11="TE"</formula>
    </cfRule>
    <cfRule type="expression" dxfId="3317" priority="5481">
      <formula>BN11="WR"</formula>
    </cfRule>
    <cfRule type="expression" dxfId="3312" priority="5482">
      <formula>BN11="RB"</formula>
    </cfRule>
    <cfRule type="expression" dxfId="3313" priority="5483">
      <formula>BN11="QB"</formula>
    </cfRule>
  </conditionalFormatting>
  <conditionalFormatting sqref="BN14">
    <cfRule type="expression" dxfId="3308" priority="5508">
      <formula>BN14="K"</formula>
    </cfRule>
    <cfRule type="expression" dxfId="3311" priority="5509">
      <formula>BN14="DEF"</formula>
    </cfRule>
    <cfRule type="expression" dxfId="3307" priority="5510">
      <formula>BN14="TE"</formula>
    </cfRule>
    <cfRule type="expression" dxfId="3309" priority="5511">
      <formula>BN14="WR"</formula>
    </cfRule>
    <cfRule type="expression" dxfId="3310" priority="5512">
      <formula>BN14="RB"</formula>
    </cfRule>
    <cfRule type="expression" dxfId="3306" priority="5513">
      <formula>BN14="QB"</formula>
    </cfRule>
  </conditionalFormatting>
  <conditionalFormatting sqref="BN17">
    <cfRule type="expression" dxfId="3300" priority="5538">
      <formula>BN17="K"</formula>
    </cfRule>
    <cfRule type="expression" dxfId="3301" priority="5539">
      <formula>BN17="DEF"</formula>
    </cfRule>
    <cfRule type="expression" dxfId="3305" priority="5540">
      <formula>BN17="TE"</formula>
    </cfRule>
    <cfRule type="expression" dxfId="3304" priority="5541">
      <formula>BN17="WR"</formula>
    </cfRule>
    <cfRule type="expression" dxfId="3303" priority="5542">
      <formula>BN17="RB"</formula>
    </cfRule>
    <cfRule type="expression" dxfId="3302" priority="5543">
      <formula>BN17="QB"</formula>
    </cfRule>
  </conditionalFormatting>
  <conditionalFormatting sqref="BN20">
    <cfRule type="expression" dxfId="3296" priority="5568">
      <formula>BN20="K"</formula>
    </cfRule>
    <cfRule type="expression" dxfId="3299" priority="5569">
      <formula>BN20="DEF"</formula>
    </cfRule>
    <cfRule type="expression" dxfId="3294" priority="5570">
      <formula>BN20="TE"</formula>
    </cfRule>
    <cfRule type="expression" dxfId="3297" priority="5571">
      <formula>BN20="WR"</formula>
    </cfRule>
    <cfRule type="expression" dxfId="3298" priority="5572">
      <formula>BN20="RB"</formula>
    </cfRule>
    <cfRule type="expression" dxfId="3295" priority="5573">
      <formula>BN20="QB"</formula>
    </cfRule>
  </conditionalFormatting>
  <conditionalFormatting sqref="BN23">
    <cfRule type="expression" dxfId="3293" priority="5598">
      <formula>BN23="K"</formula>
    </cfRule>
    <cfRule type="expression" dxfId="3292" priority="5599">
      <formula>BN23="DEF"</formula>
    </cfRule>
    <cfRule type="expression" dxfId="3291" priority="5600">
      <formula>BN23="TE"</formula>
    </cfRule>
    <cfRule type="expression" dxfId="3290" priority="5601">
      <formula>BN23="WR"</formula>
    </cfRule>
    <cfRule type="expression" dxfId="3289" priority="5602">
      <formula>BN23="RB"</formula>
    </cfRule>
    <cfRule type="expression" dxfId="3288" priority="5603">
      <formula>BN23="QB"</formula>
    </cfRule>
  </conditionalFormatting>
  <conditionalFormatting sqref="BN26">
    <cfRule type="expression" dxfId="3282" priority="5628">
      <formula>BN26="K"</formula>
    </cfRule>
    <cfRule type="expression" dxfId="3287" priority="5629">
      <formula>BN26="DEF"</formula>
    </cfRule>
    <cfRule type="expression" dxfId="3286" priority="5630">
      <formula>BN26="TE"</formula>
    </cfRule>
    <cfRule type="expression" dxfId="3285" priority="5631">
      <formula>BN26="WR"</formula>
    </cfRule>
    <cfRule type="expression" dxfId="3284" priority="5632">
      <formula>BN26="RB"</formula>
    </cfRule>
    <cfRule type="expression" dxfId="3283" priority="5633">
      <formula>BN26="QB"</formula>
    </cfRule>
  </conditionalFormatting>
  <conditionalFormatting sqref="BN29">
    <cfRule type="expression" dxfId="3276" priority="5658">
      <formula>BN29="K"</formula>
    </cfRule>
    <cfRule type="expression" dxfId="3277" priority="5659">
      <formula>BN29="DEF"</formula>
    </cfRule>
    <cfRule type="expression" dxfId="3278" priority="5660">
      <formula>BN29="TE"</formula>
    </cfRule>
    <cfRule type="expression" dxfId="3281" priority="5661">
      <formula>BN29="WR"</formula>
    </cfRule>
    <cfRule type="expression" dxfId="3279" priority="5662">
      <formula>BN29="RB"</formula>
    </cfRule>
    <cfRule type="expression" dxfId="3280" priority="5663">
      <formula>BN29="QB"</formula>
    </cfRule>
  </conditionalFormatting>
  <conditionalFormatting sqref="BN32">
    <cfRule type="expression" dxfId="3270" priority="5688">
      <formula>BN32="K"</formula>
    </cfRule>
    <cfRule type="expression" dxfId="3271" priority="5689">
      <formula>BN32="DEF"</formula>
    </cfRule>
    <cfRule type="expression" dxfId="3272" priority="5690">
      <formula>BN32="TE"</formula>
    </cfRule>
    <cfRule type="expression" dxfId="3273" priority="5691">
      <formula>BN32="WR"</formula>
    </cfRule>
    <cfRule type="expression" dxfId="3274" priority="5692">
      <formula>BN32="RB"</formula>
    </cfRule>
    <cfRule type="expression" dxfId="3275" priority="5693">
      <formula>BN32="QB"</formula>
    </cfRule>
  </conditionalFormatting>
  <conditionalFormatting sqref="BN35">
    <cfRule type="expression" dxfId="3265" priority="5718">
      <formula>BN35="K"</formula>
    </cfRule>
    <cfRule type="expression" dxfId="3264" priority="5719">
      <formula>BN35="DEF"</formula>
    </cfRule>
    <cfRule type="expression" dxfId="3269" priority="5720">
      <formula>BN35="TE"</formula>
    </cfRule>
    <cfRule type="expression" dxfId="3268" priority="5721">
      <formula>BN35="WR"</formula>
    </cfRule>
    <cfRule type="expression" dxfId="3267" priority="5722">
      <formula>BN35="RB"</formula>
    </cfRule>
    <cfRule type="expression" dxfId="3266" priority="5723">
      <formula>BN35="QB"</formula>
    </cfRule>
  </conditionalFormatting>
  <conditionalFormatting sqref="BN38">
    <cfRule type="expression" dxfId="3263" priority="5748">
      <formula>BN38="K"</formula>
    </cfRule>
    <cfRule type="expression" dxfId="3262" priority="5749">
      <formula>BN38="DEF"</formula>
    </cfRule>
    <cfRule type="expression" dxfId="3261" priority="5750">
      <formula>BN38="TE"</formula>
    </cfRule>
    <cfRule type="expression" dxfId="3260" priority="5751">
      <formula>BN38="WR"</formula>
    </cfRule>
    <cfRule type="expression" dxfId="3259" priority="5752">
      <formula>BN38="RB"</formula>
    </cfRule>
    <cfRule type="expression" dxfId="3258" priority="5753">
      <formula>BN38="QB"</formula>
    </cfRule>
  </conditionalFormatting>
  <conditionalFormatting sqref="BN41">
    <cfRule type="expression" dxfId="3254" priority="5778">
      <formula>BN41="K"</formula>
    </cfRule>
    <cfRule type="expression" dxfId="3253" priority="5779">
      <formula>BN41="DEF"</formula>
    </cfRule>
    <cfRule type="expression" dxfId="3255" priority="5780">
      <formula>BN41="TE"</formula>
    </cfRule>
    <cfRule type="expression" dxfId="3256" priority="5781">
      <formula>BN41="WR"</formula>
    </cfRule>
    <cfRule type="expression" dxfId="3257" priority="5782">
      <formula>BN41="RB"</formula>
    </cfRule>
    <cfRule type="expression" dxfId="3252" priority="5783">
      <formula>BN41="QB"</formula>
    </cfRule>
  </conditionalFormatting>
  <conditionalFormatting sqref="BN44">
    <cfRule type="expression" dxfId="3249" priority="5808">
      <formula>BN44="K"</formula>
    </cfRule>
    <cfRule type="expression" dxfId="3246" priority="5809">
      <formula>BN44="DEF"</formula>
    </cfRule>
    <cfRule type="expression" dxfId="3251" priority="5810">
      <formula>BN44="TE"</formula>
    </cfRule>
    <cfRule type="expression" dxfId="3250" priority="5811">
      <formula>BN44="WR"</formula>
    </cfRule>
    <cfRule type="expression" dxfId="3247" priority="5812">
      <formula>BN44="RB"</formula>
    </cfRule>
    <cfRule type="expression" dxfId="3248" priority="5813">
      <formula>BN44="QB"</formula>
    </cfRule>
  </conditionalFormatting>
  <conditionalFormatting sqref="BN47">
    <cfRule type="expression" dxfId="3241" priority="5838">
      <formula>BN47="K"</formula>
    </cfRule>
    <cfRule type="expression" dxfId="3242" priority="5839">
      <formula>BN47="DEF"</formula>
    </cfRule>
    <cfRule type="expression" dxfId="3243" priority="5840">
      <formula>BN47="TE"</formula>
    </cfRule>
    <cfRule type="expression" dxfId="3244" priority="5841">
      <formula>BN47="WR"</formula>
    </cfRule>
    <cfRule type="expression" dxfId="3245" priority="5842">
      <formula>BN47="RB"</formula>
    </cfRule>
    <cfRule type="expression" dxfId="3240" priority="5843">
      <formula>BN47="QB"</formula>
    </cfRule>
  </conditionalFormatting>
  <conditionalFormatting sqref="BO5">
    <cfRule type="expression" dxfId="3237" priority="5424">
      <formula>BN5="K"</formula>
    </cfRule>
    <cfRule type="expression" dxfId="3239" priority="5425">
      <formula>BN5="DEF"</formula>
    </cfRule>
    <cfRule type="expression" dxfId="3236" priority="5426">
      <formula>BN5="TE"</formula>
    </cfRule>
    <cfRule type="expression" dxfId="3235" priority="5427">
      <formula>BN5="WR"</formula>
    </cfRule>
    <cfRule type="expression" dxfId="3234" priority="5428">
      <formula>BN5="RB"</formula>
    </cfRule>
    <cfRule type="expression" dxfId="3238" priority="5429">
      <formula>BN5="QB"</formula>
    </cfRule>
  </conditionalFormatting>
  <conditionalFormatting sqref="BO8">
    <cfRule type="expression" dxfId="3228" priority="5454">
      <formula>BN8="K"</formula>
    </cfRule>
    <cfRule type="expression" dxfId="3229" priority="5455">
      <formula>BN8="DEF"</formula>
    </cfRule>
    <cfRule type="expression" dxfId="3233" priority="5456">
      <formula>BN8="TE"</formula>
    </cfRule>
    <cfRule type="expression" dxfId="3232" priority="5457">
      <formula>BN8="WR"</formula>
    </cfRule>
    <cfRule type="expression" dxfId="3231" priority="5458">
      <formula>BN8="RB"</formula>
    </cfRule>
    <cfRule type="expression" dxfId="3230" priority="5459">
      <formula>BN8="QB"</formula>
    </cfRule>
  </conditionalFormatting>
  <conditionalFormatting sqref="BO11">
    <cfRule type="expression" dxfId="3227" priority="5484">
      <formula>BN11="K"</formula>
    </cfRule>
    <cfRule type="expression" dxfId="3222" priority="5485">
      <formula>BN11="DEF"</formula>
    </cfRule>
    <cfRule type="expression" dxfId="3223" priority="5486">
      <formula>BN11="TE"</formula>
    </cfRule>
    <cfRule type="expression" dxfId="3224" priority="5487">
      <formula>BN11="WR"</formula>
    </cfRule>
    <cfRule type="expression" dxfId="3225" priority="5488">
      <formula>BN11="RB"</formula>
    </cfRule>
    <cfRule type="expression" dxfId="3226" priority="5489">
      <formula>BN11="QB"</formula>
    </cfRule>
  </conditionalFormatting>
  <conditionalFormatting sqref="BO14">
    <cfRule type="expression" dxfId="3218" priority="5514">
      <formula>BN14="K"</formula>
    </cfRule>
    <cfRule type="expression" dxfId="3219" priority="5515">
      <formula>BN14="DEF"</formula>
    </cfRule>
    <cfRule type="expression" dxfId="3220" priority="5516">
      <formula>BN14="TE"</formula>
    </cfRule>
    <cfRule type="expression" dxfId="3221" priority="5517">
      <formula>BN14="WR"</formula>
    </cfRule>
    <cfRule type="expression" dxfId="3216" priority="5518">
      <formula>BN14="RB"</formula>
    </cfRule>
    <cfRule type="expression" dxfId="3217" priority="5519">
      <formula>BN14="QB"</formula>
    </cfRule>
  </conditionalFormatting>
  <conditionalFormatting sqref="BO17">
    <cfRule type="expression" dxfId="3215" priority="5544">
      <formula>BN17="K"</formula>
    </cfRule>
    <cfRule type="expression" dxfId="3211" priority="5545">
      <formula>BN17="DEF"</formula>
    </cfRule>
    <cfRule type="expression" dxfId="3214" priority="5546">
      <formula>BN17="TE"</formula>
    </cfRule>
    <cfRule type="expression" dxfId="3212" priority="5547">
      <formula>BN17="WR"</formula>
    </cfRule>
    <cfRule type="expression" dxfId="3213" priority="5548">
      <formula>BN17="RB"</formula>
    </cfRule>
    <cfRule type="expression" dxfId="3210" priority="5549">
      <formula>BN17="QB"</formula>
    </cfRule>
  </conditionalFormatting>
  <conditionalFormatting sqref="BO20">
    <cfRule type="expression" dxfId="3204" priority="5574">
      <formula>BN20="K"</formula>
    </cfRule>
    <cfRule type="expression" dxfId="3208" priority="5575">
      <formula>BN20="DEF"</formula>
    </cfRule>
    <cfRule type="expression" dxfId="3207" priority="5576">
      <formula>BN20="TE"</formula>
    </cfRule>
    <cfRule type="expression" dxfId="3206" priority="5577">
      <formula>BN20="WR"</formula>
    </cfRule>
    <cfRule type="expression" dxfId="3205" priority="5578">
      <formula>BN20="RB"</formula>
    </cfRule>
    <cfRule type="expression" dxfId="3209" priority="5579">
      <formula>BN20="QB"</formula>
    </cfRule>
  </conditionalFormatting>
  <conditionalFormatting sqref="BO23">
    <cfRule type="expression" dxfId="3203" priority="5604">
      <formula>BN23="K"</formula>
    </cfRule>
    <cfRule type="expression" dxfId="3202" priority="5605">
      <formula>BN23="DEF"</formula>
    </cfRule>
    <cfRule type="expression" dxfId="3201" priority="5606">
      <formula>BN23="TE"</formula>
    </cfRule>
    <cfRule type="expression" dxfId="3198" priority="5607">
      <formula>BN23="WR"</formula>
    </cfRule>
    <cfRule type="expression" dxfId="3199" priority="5608">
      <formula>BN23="RB"</formula>
    </cfRule>
    <cfRule type="expression" dxfId="3200" priority="5609">
      <formula>BN23="QB"</formula>
    </cfRule>
  </conditionalFormatting>
  <conditionalFormatting sqref="BO26">
    <cfRule type="expression" dxfId="3192" priority="5634">
      <formula>BN26="K"</formula>
    </cfRule>
    <cfRule type="expression" dxfId="3197" priority="5635">
      <formula>BN26="DEF"</formula>
    </cfRule>
    <cfRule type="expression" dxfId="3196" priority="5636">
      <formula>BN26="TE"</formula>
    </cfRule>
    <cfRule type="expression" dxfId="3195" priority="5637">
      <formula>BN26="WR"</formula>
    </cfRule>
    <cfRule type="expression" dxfId="3194" priority="5638">
      <formula>BN26="RB"</formula>
    </cfRule>
    <cfRule type="expression" dxfId="3193" priority="5639">
      <formula>BN26="QB"</formula>
    </cfRule>
  </conditionalFormatting>
  <conditionalFormatting sqref="BO29">
    <cfRule type="expression" dxfId="3189" priority="5664">
      <formula>BN29="K"</formula>
    </cfRule>
    <cfRule type="expression" dxfId="3188" priority="5665">
      <formula>BN29="DEF"</formula>
    </cfRule>
    <cfRule type="expression" dxfId="3190" priority="5666">
      <formula>BN29="TE"</formula>
    </cfRule>
    <cfRule type="expression" dxfId="3191" priority="5667">
      <formula>BN29="WR"</formula>
    </cfRule>
    <cfRule type="expression" dxfId="3187" priority="5668">
      <formula>BN29="RB"</formula>
    </cfRule>
    <cfRule type="expression" dxfId="3186" priority="5669">
      <formula>BN29="QB"</formula>
    </cfRule>
  </conditionalFormatting>
  <conditionalFormatting sqref="BO32">
    <cfRule type="expression" dxfId="3184" priority="5694">
      <formula>BN32="K"</formula>
    </cfRule>
    <cfRule type="expression" dxfId="3183" priority="5695">
      <formula>BN32="DEF"</formula>
    </cfRule>
    <cfRule type="expression" dxfId="3182" priority="5696">
      <formula>BN32="TE"</formula>
    </cfRule>
    <cfRule type="expression" dxfId="3181" priority="5697">
      <formula>BN32="WR"</formula>
    </cfRule>
    <cfRule type="expression" dxfId="3185" priority="5698">
      <formula>BN32="RB"</formula>
    </cfRule>
    <cfRule type="expression" dxfId="3180" priority="5699">
      <formula>BN32="QB"</formula>
    </cfRule>
  </conditionalFormatting>
  <conditionalFormatting sqref="BO35">
    <cfRule type="expression" dxfId="3174" priority="5724">
      <formula>BN35="K"</formula>
    </cfRule>
    <cfRule type="expression" dxfId="3179" priority="5725">
      <formula>BN35="DEF"</formula>
    </cfRule>
    <cfRule type="expression" dxfId="3178" priority="5726">
      <formula>BN35="TE"</formula>
    </cfRule>
    <cfRule type="expression" dxfId="3177" priority="5727">
      <formula>BN35="WR"</formula>
    </cfRule>
    <cfRule type="expression" dxfId="3176" priority="5728">
      <formula>BN35="RB"</formula>
    </cfRule>
    <cfRule type="expression" dxfId="3175" priority="5729">
      <formula>BN35="QB"</formula>
    </cfRule>
  </conditionalFormatting>
  <conditionalFormatting sqref="BO38">
    <cfRule type="expression" dxfId="3173" priority="5754">
      <formula>BN38="K"</formula>
    </cfRule>
    <cfRule type="expression" dxfId="3168" priority="5755">
      <formula>BN38="DEF"</formula>
    </cfRule>
    <cfRule type="expression" dxfId="3172" priority="5756">
      <formula>BN38="TE"</formula>
    </cfRule>
    <cfRule type="expression" dxfId="3171" priority="5757">
      <formula>BN38="WR"</formula>
    </cfRule>
    <cfRule type="expression" dxfId="3170" priority="5758">
      <formula>BN38="RB"</formula>
    </cfRule>
    <cfRule type="expression" dxfId="3169" priority="5759">
      <formula>BN38="QB"</formula>
    </cfRule>
  </conditionalFormatting>
  <conditionalFormatting sqref="BO41">
    <cfRule type="expression" dxfId="3167" priority="5784">
      <formula>BN41="K"</formula>
    </cfRule>
    <cfRule type="expression" dxfId="3166" priority="5785">
      <formula>BN41="DEF"</formula>
    </cfRule>
    <cfRule type="expression" dxfId="3165" priority="5786">
      <formula>BN41="TE"</formula>
    </cfRule>
    <cfRule type="expression" dxfId="3164" priority="5787">
      <formula>BN41="WR"</formula>
    </cfRule>
    <cfRule type="expression" dxfId="3162" priority="5788">
      <formula>BN41="RB"</formula>
    </cfRule>
    <cfRule type="expression" dxfId="3163" priority="5789">
      <formula>BN41="QB"</formula>
    </cfRule>
  </conditionalFormatting>
  <conditionalFormatting sqref="BO44">
    <cfRule type="expression" dxfId="3156" priority="5814">
      <formula>BN44="K"</formula>
    </cfRule>
    <cfRule type="expression" dxfId="3160" priority="5815">
      <formula>BN44="DEF"</formula>
    </cfRule>
    <cfRule type="expression" dxfId="3159" priority="5816">
      <formula>BN44="TE"</formula>
    </cfRule>
    <cfRule type="expression" dxfId="3158" priority="5817">
      <formula>BN44="WR"</formula>
    </cfRule>
    <cfRule type="expression" dxfId="3157" priority="5818">
      <formula>BN44="RB"</formula>
    </cfRule>
    <cfRule type="expression" dxfId="3161" priority="5819">
      <formula>BN44="QB"</formula>
    </cfRule>
  </conditionalFormatting>
  <conditionalFormatting sqref="BO47">
    <cfRule type="expression" dxfId="3155" priority="5844">
      <formula>BN47="K"</formula>
    </cfRule>
    <cfRule type="expression" dxfId="3154" priority="5845">
      <formula>BN47="DEF"</formula>
    </cfRule>
    <cfRule type="expression" dxfId="3153" priority="5846">
      <formula>BN47="TE"</formula>
    </cfRule>
    <cfRule type="expression" dxfId="3152" priority="5847">
      <formula>BN47="WR"</formula>
    </cfRule>
    <cfRule type="expression" dxfId="3151" priority="5848">
      <formula>BN47="RB"</formula>
    </cfRule>
    <cfRule type="expression" dxfId="3150" priority="5849">
      <formula>BN47="QB"</formula>
    </cfRule>
  </conditionalFormatting>
  <conditionalFormatting sqref="BQ4">
    <cfRule type="expression" dxfId="3149" priority="5851">
      <formula>BS5="DEF"</formula>
    </cfRule>
    <cfRule type="expression" dxfId="3148" priority="5852">
      <formula>BS5="TE"</formula>
    </cfRule>
    <cfRule type="expression" dxfId="3147" priority="5853">
      <formula>BS5="WR"</formula>
    </cfRule>
    <cfRule type="expression" dxfId="3146" priority="5854">
      <formula>BS5="RB"</formula>
    </cfRule>
    <cfRule type="expression" dxfId="3145" priority="5855">
      <formula>BS5="QB"</formula>
    </cfRule>
  </conditionalFormatting>
  <conditionalFormatting sqref="BQ5">
    <cfRule type="expression" dxfId="3144" priority="5856">
      <formula>BS5="K"</formula>
    </cfRule>
    <cfRule type="expression" dxfId="3143" priority="5857">
      <formula>BS5="DEF"</formula>
    </cfRule>
    <cfRule type="expression" dxfId="3142" priority="5858">
      <formula>BS5="TE"</formula>
    </cfRule>
    <cfRule type="expression" dxfId="3141" priority="5859">
      <formula>BS5="WR"</formula>
    </cfRule>
    <cfRule type="expression" dxfId="3140" priority="5860">
      <formula>BS5="RB"</formula>
    </cfRule>
    <cfRule type="expression" dxfId="3139" priority="5861">
      <formula>BS5="QB"</formula>
    </cfRule>
  </conditionalFormatting>
  <conditionalFormatting sqref="BQ7">
    <cfRule type="expression" dxfId="3135" priority="5881">
      <formula>BS8="DEF"</formula>
    </cfRule>
    <cfRule type="expression" dxfId="3136" priority="5882">
      <formula>BS8="TE"</formula>
    </cfRule>
    <cfRule type="expression" dxfId="3137" priority="5883">
      <formula>BS8="WR"</formula>
    </cfRule>
    <cfRule type="expression" dxfId="3138" priority="5884">
      <formula>BS8="RB"</formula>
    </cfRule>
    <cfRule type="expression" dxfId="3134" priority="5885">
      <formula>BS8="QB"</formula>
    </cfRule>
  </conditionalFormatting>
  <conditionalFormatting sqref="BQ8">
    <cfRule type="expression" dxfId="3129" priority="5886">
      <formula>BS8="K"</formula>
    </cfRule>
    <cfRule type="expression" dxfId="3128" priority="5887">
      <formula>BS8="DEF"</formula>
    </cfRule>
    <cfRule type="expression" dxfId="3133" priority="5888">
      <formula>BS8="TE"</formula>
    </cfRule>
    <cfRule type="expression" dxfId="3132" priority="5889">
      <formula>BS8="WR"</formula>
    </cfRule>
    <cfRule type="expression" dxfId="3131" priority="5890">
      <formula>BS8="RB"</formula>
    </cfRule>
    <cfRule type="expression" dxfId="3130" priority="5891">
      <formula>BS8="QB"</formula>
    </cfRule>
  </conditionalFormatting>
  <conditionalFormatting sqref="BQ10">
    <cfRule type="expression" dxfId="3123" priority="5911">
      <formula>BS11="DEF"</formula>
    </cfRule>
    <cfRule type="expression" dxfId="3124" priority="5912">
      <formula>BS11="TE"</formula>
    </cfRule>
    <cfRule type="expression" dxfId="3125" priority="5913">
      <formula>BS11="WR"</formula>
    </cfRule>
    <cfRule type="expression" dxfId="3126" priority="5914">
      <formula>BS11="RB"</formula>
    </cfRule>
    <cfRule type="expression" dxfId="3127" priority="5915">
      <formula>BS11="QB"</formula>
    </cfRule>
  </conditionalFormatting>
  <conditionalFormatting sqref="BQ11">
    <cfRule type="expression" dxfId="3121" priority="5916">
      <formula>BS11="K"</formula>
    </cfRule>
    <cfRule type="expression" dxfId="3120" priority="5917">
      <formula>BS11="DEF"</formula>
    </cfRule>
    <cfRule type="expression" dxfId="3122" priority="5918">
      <formula>BS11="TE"</formula>
    </cfRule>
    <cfRule type="expression" dxfId="3117" priority="5919">
      <formula>BS11="WR"</formula>
    </cfRule>
    <cfRule type="expression" dxfId="3118" priority="5920">
      <formula>BS11="RB"</formula>
    </cfRule>
    <cfRule type="expression" dxfId="3119" priority="5921">
      <formula>BS11="QB"</formula>
    </cfRule>
  </conditionalFormatting>
  <conditionalFormatting sqref="BQ13">
    <cfRule type="expression" dxfId="3115" priority="5941">
      <formula>BS14="DEF"</formula>
    </cfRule>
    <cfRule type="expression" dxfId="3114" priority="5942">
      <formula>BS14="TE"</formula>
    </cfRule>
    <cfRule type="expression" dxfId="3116" priority="5943">
      <formula>BS14="WR"</formula>
    </cfRule>
    <cfRule type="expression" dxfId="3113" priority="5944">
      <formula>BS14="RB"</formula>
    </cfRule>
    <cfRule type="expression" dxfId="3112" priority="5945">
      <formula>BS14="QB"</formula>
    </cfRule>
  </conditionalFormatting>
  <conditionalFormatting sqref="BQ14">
    <cfRule type="expression" dxfId="3107" priority="5946">
      <formula>BS14="K"</formula>
    </cfRule>
    <cfRule type="expression" dxfId="3106" priority="5947">
      <formula>BS14="DEF"</formula>
    </cfRule>
    <cfRule type="expression" dxfId="3111" priority="5948">
      <formula>BS14="TE"</formula>
    </cfRule>
    <cfRule type="expression" dxfId="3110" priority="5949">
      <formula>BS14="WR"</formula>
    </cfRule>
    <cfRule type="expression" dxfId="3109" priority="5950">
      <formula>BS14="RB"</formula>
    </cfRule>
    <cfRule type="expression" dxfId="3108" priority="5951">
      <formula>BS14="QB"</formula>
    </cfRule>
  </conditionalFormatting>
  <conditionalFormatting sqref="BQ16">
    <cfRule type="expression" dxfId="3101" priority="5971">
      <formula>BS17="DEF"</formula>
    </cfRule>
    <cfRule type="expression" dxfId="3105" priority="5972">
      <formula>BS17="TE"</formula>
    </cfRule>
    <cfRule type="expression" dxfId="3104" priority="5973">
      <formula>BS17="WR"</formula>
    </cfRule>
    <cfRule type="expression" dxfId="3102" priority="5974">
      <formula>BS17="RB"</formula>
    </cfRule>
    <cfRule type="expression" dxfId="3103" priority="5975">
      <formula>BS17="QB"</formula>
    </cfRule>
  </conditionalFormatting>
  <conditionalFormatting sqref="BQ17">
    <cfRule type="expression" dxfId="3098" priority="5976">
      <formula>BS17="K"</formula>
    </cfRule>
    <cfRule type="expression" dxfId="3097" priority="5977">
      <formula>BS17="DEF"</formula>
    </cfRule>
    <cfRule type="expression" dxfId="3096" priority="5978">
      <formula>BS17="TE"</formula>
    </cfRule>
    <cfRule type="expression" dxfId="3095" priority="5979">
      <formula>BS17="WR"</formula>
    </cfRule>
    <cfRule type="expression" dxfId="3099" priority="5980">
      <formula>BS17="RB"</formula>
    </cfRule>
    <cfRule type="expression" dxfId="3100" priority="5981">
      <formula>BS17="QB"</formula>
    </cfRule>
  </conditionalFormatting>
  <conditionalFormatting sqref="BQ19">
    <cfRule type="expression" dxfId="3090" priority="6001">
      <formula>BS20="DEF"</formula>
    </cfRule>
    <cfRule type="expression" dxfId="3094" priority="6002">
      <formula>BS20="TE"</formula>
    </cfRule>
    <cfRule type="expression" dxfId="3091" priority="6003">
      <formula>BS20="WR"</formula>
    </cfRule>
    <cfRule type="expression" dxfId="3093" priority="6004">
      <formula>BS20="RB"</formula>
    </cfRule>
    <cfRule type="expression" dxfId="3092" priority="6005">
      <formula>BS20="QB"</formula>
    </cfRule>
  </conditionalFormatting>
  <conditionalFormatting sqref="BQ20">
    <cfRule type="expression" dxfId="3089" priority="6006">
      <formula>BS20="K"</formula>
    </cfRule>
    <cfRule type="expression" dxfId="3088" priority="6007">
      <formula>BS20="DEF"</formula>
    </cfRule>
    <cfRule type="expression" dxfId="3087" priority="6008">
      <formula>BS20="TE"</formula>
    </cfRule>
    <cfRule type="expression" dxfId="3084" priority="6009">
      <formula>BS20="WR"</formula>
    </cfRule>
    <cfRule type="expression" dxfId="3086" priority="6010">
      <formula>BS20="RB"</formula>
    </cfRule>
    <cfRule type="expression" dxfId="3085" priority="6011">
      <formula>BS20="QB"</formula>
    </cfRule>
  </conditionalFormatting>
  <conditionalFormatting sqref="BQ22">
    <cfRule type="expression" dxfId="3080" priority="6031">
      <formula>BS23="DEF"</formula>
    </cfRule>
    <cfRule type="expression" dxfId="3079" priority="6032">
      <formula>BS23="TE"</formula>
    </cfRule>
    <cfRule type="expression" dxfId="3083" priority="6033">
      <formula>BS23="WR"</formula>
    </cfRule>
    <cfRule type="expression" dxfId="3082" priority="6034">
      <formula>BS23="RB"</formula>
    </cfRule>
    <cfRule type="expression" dxfId="3081" priority="6035">
      <formula>BS23="QB"</formula>
    </cfRule>
  </conditionalFormatting>
  <conditionalFormatting sqref="BQ23">
    <cfRule type="expression" dxfId="3075" priority="6036">
      <formula>BS23="K"</formula>
    </cfRule>
    <cfRule type="expression" dxfId="3076" priority="6037">
      <formula>BS23="DEF"</formula>
    </cfRule>
    <cfRule type="expression" dxfId="3077" priority="6038">
      <formula>BS23="TE"</formula>
    </cfRule>
    <cfRule type="expression" dxfId="3078" priority="6039">
      <formula>BS23="WR"</formula>
    </cfRule>
    <cfRule type="expression" dxfId="3073" priority="6040">
      <formula>BS23="RB"</formula>
    </cfRule>
    <cfRule type="expression" dxfId="3074" priority="6041">
      <formula>BS23="QB"</formula>
    </cfRule>
  </conditionalFormatting>
  <conditionalFormatting sqref="BQ25">
    <cfRule type="expression" dxfId="3072" priority="6061">
      <formula>BS26="DEF"</formula>
    </cfRule>
    <cfRule type="expression" dxfId="3070" priority="6062">
      <formula>BS26="TE"</formula>
    </cfRule>
    <cfRule type="expression" dxfId="3068" priority="6063">
      <formula>BS26="WR"</formula>
    </cfRule>
    <cfRule type="expression" dxfId="3069" priority="6064">
      <formula>BS26="RB"</formula>
    </cfRule>
    <cfRule type="expression" dxfId="3071" priority="6065">
      <formula>BS26="QB"</formula>
    </cfRule>
  </conditionalFormatting>
  <conditionalFormatting sqref="BQ26">
    <cfRule type="expression" dxfId="3064" priority="6066">
      <formula>BS26="K"</formula>
    </cfRule>
    <cfRule type="expression" dxfId="3063" priority="6067">
      <formula>BS26="DEF"</formula>
    </cfRule>
    <cfRule type="expression" dxfId="3062" priority="6068">
      <formula>BS26="TE"</formula>
    </cfRule>
    <cfRule type="expression" dxfId="3067" priority="6069">
      <formula>BS26="WR"</formula>
    </cfRule>
    <cfRule type="expression" dxfId="3066" priority="6070">
      <formula>BS26="RB"</formula>
    </cfRule>
    <cfRule type="expression" dxfId="3065" priority="6071">
      <formula>BS26="QB"</formula>
    </cfRule>
  </conditionalFormatting>
  <conditionalFormatting sqref="BQ28">
    <cfRule type="expression" dxfId="3060" priority="6091">
      <formula>BS29="DEF"</formula>
    </cfRule>
    <cfRule type="expression" dxfId="3059" priority="6092">
      <formula>BS29="TE"</formula>
    </cfRule>
    <cfRule type="expression" dxfId="3057" priority="6093">
      <formula>BS29="WR"</formula>
    </cfRule>
    <cfRule type="expression" dxfId="3058" priority="6094">
      <formula>BS29="RB"</formula>
    </cfRule>
    <cfRule type="expression" dxfId="3061" priority="6095">
      <formula>BS29="QB"</formula>
    </cfRule>
  </conditionalFormatting>
  <conditionalFormatting sqref="BQ29">
    <cfRule type="expression" dxfId="3056" priority="6096">
      <formula>BS29="K"</formula>
    </cfRule>
    <cfRule type="expression" dxfId="3054" priority="6097">
      <formula>BS29="DEF"</formula>
    </cfRule>
    <cfRule type="expression" dxfId="3053" priority="6098">
      <formula>BS29="TE"</formula>
    </cfRule>
    <cfRule type="expression" dxfId="3052" priority="6099">
      <formula>BS29="WR"</formula>
    </cfRule>
    <cfRule type="expression" dxfId="3051" priority="6100">
      <formula>BS29="RB"</formula>
    </cfRule>
    <cfRule type="expression" dxfId="3055" priority="6101">
      <formula>BS29="QB"</formula>
    </cfRule>
  </conditionalFormatting>
  <conditionalFormatting sqref="BQ31">
    <cfRule type="expression" dxfId="3048" priority="6121">
      <formula>BS32="DEF"</formula>
    </cfRule>
    <cfRule type="expression" dxfId="3049" priority="6122">
      <formula>BS32="TE"</formula>
    </cfRule>
    <cfRule type="expression" dxfId="3047" priority="6123">
      <formula>BS32="WR"</formula>
    </cfRule>
    <cfRule type="expression" dxfId="3046" priority="6124">
      <formula>BS32="RB"</formula>
    </cfRule>
    <cfRule type="expression" dxfId="3050" priority="6125">
      <formula>BS32="QB"</formula>
    </cfRule>
  </conditionalFormatting>
  <conditionalFormatting sqref="BQ32">
    <cfRule type="expression" dxfId="3044" priority="6126">
      <formula>BS32="K"</formula>
    </cfRule>
    <cfRule type="expression" dxfId="3043" priority="6127">
      <formula>BS32="DEF"</formula>
    </cfRule>
    <cfRule type="expression" dxfId="3042" priority="6128">
      <formula>BS32="TE"</formula>
    </cfRule>
    <cfRule type="expression" dxfId="3045" priority="6129">
      <formula>BS32="WR"</formula>
    </cfRule>
    <cfRule type="expression" dxfId="3041" priority="6130">
      <formula>BS32="RB"</formula>
    </cfRule>
    <cfRule type="expression" dxfId="3040" priority="6131">
      <formula>BS32="QB"</formula>
    </cfRule>
  </conditionalFormatting>
  <conditionalFormatting sqref="BQ34">
    <cfRule type="expression" dxfId="3038" priority="6151">
      <formula>BS35="DEF"</formula>
    </cfRule>
    <cfRule type="expression" dxfId="3037" priority="6152">
      <formula>BS35="TE"</formula>
    </cfRule>
    <cfRule type="expression" dxfId="3036" priority="6153">
      <formula>BS35="WR"</formula>
    </cfRule>
    <cfRule type="expression" dxfId="3039" priority="6154">
      <formula>BS35="RB"</formula>
    </cfRule>
    <cfRule type="expression" dxfId="3035" priority="6155">
      <formula>BS35="QB"</formula>
    </cfRule>
  </conditionalFormatting>
  <conditionalFormatting sqref="BQ35">
    <cfRule type="expression" dxfId="3034" priority="6156">
      <formula>BS35="K"</formula>
    </cfRule>
    <cfRule type="expression" dxfId="3029" priority="6157">
      <formula>BS35="DEF"</formula>
    </cfRule>
    <cfRule type="expression" dxfId="3033" priority="6158">
      <formula>BS35="TE"</formula>
    </cfRule>
    <cfRule type="expression" dxfId="3032" priority="6159">
      <formula>BS35="WR"</formula>
    </cfRule>
    <cfRule type="expression" dxfId="3031" priority="6160">
      <formula>BS35="RB"</formula>
    </cfRule>
    <cfRule type="expression" dxfId="3030" priority="6161">
      <formula>BS35="QB"</formula>
    </cfRule>
  </conditionalFormatting>
  <conditionalFormatting sqref="BQ37">
    <cfRule type="expression" dxfId="3026" priority="6181">
      <formula>BS38="DEF"</formula>
    </cfRule>
    <cfRule type="expression" dxfId="3025" priority="6182">
      <formula>BS38="TE"</formula>
    </cfRule>
    <cfRule type="expression" dxfId="3024" priority="6183">
      <formula>BS38="WR"</formula>
    </cfRule>
    <cfRule type="expression" dxfId="3027" priority="6184">
      <formula>BS38="RB"</formula>
    </cfRule>
    <cfRule type="expression" dxfId="3028" priority="6185">
      <formula>BS38="QB"</formula>
    </cfRule>
  </conditionalFormatting>
  <conditionalFormatting sqref="BQ38">
    <cfRule type="expression" dxfId="3022" priority="6186">
      <formula>BS38="K"</formula>
    </cfRule>
    <cfRule type="expression" dxfId="3023" priority="6187">
      <formula>BS38="DEF"</formula>
    </cfRule>
    <cfRule type="expression" dxfId="3018" priority="6188">
      <formula>BS38="TE"</formula>
    </cfRule>
    <cfRule type="expression" dxfId="3021" priority="6189">
      <formula>BS38="WR"</formula>
    </cfRule>
    <cfRule type="expression" dxfId="3020" priority="6190">
      <formula>BS38="RB"</formula>
    </cfRule>
    <cfRule type="expression" dxfId="3019" priority="6191">
      <formula>BS38="QB"</formula>
    </cfRule>
  </conditionalFormatting>
  <conditionalFormatting sqref="BQ40">
    <cfRule type="expression" dxfId="3017" priority="6211">
      <formula>BS41="DEF"</formula>
    </cfRule>
    <cfRule type="expression" dxfId="3013" priority="6212">
      <formula>BS41="TE"</formula>
    </cfRule>
    <cfRule type="expression" dxfId="3014" priority="6213">
      <formula>BS41="WR"</formula>
    </cfRule>
    <cfRule type="expression" dxfId="3015" priority="6214">
      <formula>BS41="RB"</formula>
    </cfRule>
    <cfRule type="expression" dxfId="3016" priority="6215">
      <formula>BS41="QB"</formula>
    </cfRule>
  </conditionalFormatting>
  <conditionalFormatting sqref="BQ41">
    <cfRule type="expression" dxfId="3007" priority="6216">
      <formula>BS41="K"</formula>
    </cfRule>
    <cfRule type="expression" dxfId="3008" priority="6217">
      <formula>BS41="DEF"</formula>
    </cfRule>
    <cfRule type="expression" dxfId="3009" priority="6218">
      <formula>BS41="TE"</formula>
    </cfRule>
    <cfRule type="expression" dxfId="3010" priority="6219">
      <formula>BS41="WR"</formula>
    </cfRule>
    <cfRule type="expression" dxfId="3011" priority="6220">
      <formula>BS41="RB"</formula>
    </cfRule>
    <cfRule type="expression" dxfId="3012" priority="6221">
      <formula>BS41="QB"</formula>
    </cfRule>
  </conditionalFormatting>
  <conditionalFormatting sqref="BQ43">
    <cfRule type="expression" dxfId="3002" priority="6241">
      <formula>BS44="DEF"</formula>
    </cfRule>
    <cfRule type="expression" dxfId="3004" priority="6242">
      <formula>BS44="TE"</formula>
    </cfRule>
    <cfRule type="expression" dxfId="3003" priority="6243">
      <formula>BS44="WR"</formula>
    </cfRule>
    <cfRule type="expression" dxfId="3006" priority="6244">
      <formula>BS44="RB"</formula>
    </cfRule>
    <cfRule type="expression" dxfId="3005" priority="6245">
      <formula>BS44="QB"</formula>
    </cfRule>
  </conditionalFormatting>
  <conditionalFormatting sqref="BQ44">
    <cfRule type="expression" dxfId="3001" priority="6246">
      <formula>BS44="K"</formula>
    </cfRule>
    <cfRule type="expression" dxfId="2996" priority="6247">
      <formula>BS44="DEF"</formula>
    </cfRule>
    <cfRule type="expression" dxfId="3000" priority="6248">
      <formula>BS44="TE"</formula>
    </cfRule>
    <cfRule type="expression" dxfId="2999" priority="6249">
      <formula>BS44="WR"</formula>
    </cfRule>
    <cfRule type="expression" dxfId="2998" priority="6250">
      <formula>BS44="RB"</formula>
    </cfRule>
    <cfRule type="expression" dxfId="2997" priority="6251">
      <formula>BS44="QB"</formula>
    </cfRule>
  </conditionalFormatting>
  <conditionalFormatting sqref="BQ46">
    <cfRule type="expression" dxfId="2994" priority="6271">
      <formula>BS47="DEF"</formula>
    </cfRule>
    <cfRule type="expression" dxfId="2991" priority="6272">
      <formula>BS47="TE"</formula>
    </cfRule>
    <cfRule type="expression" dxfId="2992" priority="6273">
      <formula>BS47="WR"</formula>
    </cfRule>
    <cfRule type="expression" dxfId="2993" priority="6274">
      <formula>BS47="RB"</formula>
    </cfRule>
    <cfRule type="expression" dxfId="2995" priority="6275">
      <formula>BS47="QB"</formula>
    </cfRule>
  </conditionalFormatting>
  <conditionalFormatting sqref="BQ47">
    <cfRule type="expression" dxfId="2987" priority="6276">
      <formula>BS47="K"</formula>
    </cfRule>
    <cfRule type="expression" dxfId="2986" priority="6277">
      <formula>BS47="DEF"</formula>
    </cfRule>
    <cfRule type="expression" dxfId="2985" priority="6278">
      <formula>BS47="TE"</formula>
    </cfRule>
    <cfRule type="expression" dxfId="2990" priority="6279">
      <formula>BS47="WR"</formula>
    </cfRule>
    <cfRule type="expression" dxfId="2989" priority="6280">
      <formula>BS47="RB"</formula>
    </cfRule>
    <cfRule type="expression" dxfId="2988" priority="6281">
      <formula>BS47="QB"</formula>
    </cfRule>
  </conditionalFormatting>
  <conditionalFormatting sqref="BQ4:BT4">
    <cfRule type="expression" dxfId="2984" priority="5880">
      <formula>BS5="K"</formula>
    </cfRule>
  </conditionalFormatting>
  <conditionalFormatting sqref="BQ7:BT7">
    <cfRule type="expression" dxfId="2983" priority="5910">
      <formula>BS8="K"</formula>
    </cfRule>
  </conditionalFormatting>
  <conditionalFormatting sqref="BQ10:BT10">
    <cfRule type="expression" dxfId="2982" priority="5940">
      <formula>BS11="K"</formula>
    </cfRule>
  </conditionalFormatting>
  <conditionalFormatting sqref="BQ13:BT13">
    <cfRule type="expression" dxfId="2981" priority="5970">
      <formula>BS14="K"</formula>
    </cfRule>
  </conditionalFormatting>
  <conditionalFormatting sqref="BQ16:BT16">
    <cfRule type="expression" dxfId="2980" priority="6000">
      <formula>BS17="K"</formula>
    </cfRule>
  </conditionalFormatting>
  <conditionalFormatting sqref="BQ19:BT19">
    <cfRule type="expression" dxfId="2979" priority="6030">
      <formula>BS20="K"</formula>
    </cfRule>
  </conditionalFormatting>
  <conditionalFormatting sqref="BQ22:BT22">
    <cfRule type="expression" dxfId="2978" priority="6060">
      <formula>BS23="K"</formula>
    </cfRule>
  </conditionalFormatting>
  <conditionalFormatting sqref="BQ25:BT25">
    <cfRule type="expression" dxfId="2977" priority="6090">
      <formula>BS26="K"</formula>
    </cfRule>
  </conditionalFormatting>
  <conditionalFormatting sqref="BQ28:BT28">
    <cfRule type="expression" dxfId="2976" priority="6120">
      <formula>BS29="K"</formula>
    </cfRule>
  </conditionalFormatting>
  <conditionalFormatting sqref="BQ31:BT31">
    <cfRule type="expression" dxfId="2975" priority="6150">
      <formula>BS32="K"</formula>
    </cfRule>
  </conditionalFormatting>
  <conditionalFormatting sqref="BQ34:BT34">
    <cfRule type="expression" dxfId="2974" priority="6180">
      <formula>BS35="K"</formula>
    </cfRule>
  </conditionalFormatting>
  <conditionalFormatting sqref="BQ37:BT37">
    <cfRule type="expression" dxfId="2973" priority="6210">
      <formula>BS38="K"</formula>
    </cfRule>
  </conditionalFormatting>
  <conditionalFormatting sqref="BQ40:BT40">
    <cfRule type="expression" dxfId="2972" priority="6240">
      <formula>BS41="K"</formula>
    </cfRule>
  </conditionalFormatting>
  <conditionalFormatting sqref="BQ43:BT43">
    <cfRule type="expression" dxfId="2971" priority="6270">
      <formula>BS44="K"</formula>
    </cfRule>
  </conditionalFormatting>
  <conditionalFormatting sqref="BQ46:BT46">
    <cfRule type="expression" dxfId="2970" priority="6300">
      <formula>BS47="K"</formula>
    </cfRule>
  </conditionalFormatting>
  <conditionalFormatting sqref="BR5">
    <cfRule type="expression" dxfId="2965" priority="5862">
      <formula>BS5="K"</formula>
    </cfRule>
    <cfRule type="expression" dxfId="2968" priority="5863">
      <formula>BS5="DEF"</formula>
    </cfRule>
    <cfRule type="expression" dxfId="2969" priority="5864">
      <formula>BS5="TE"</formula>
    </cfRule>
    <cfRule type="expression" dxfId="2964" priority="5865">
      <formula>BS5="WR"</formula>
    </cfRule>
    <cfRule type="expression" dxfId="2966" priority="5866">
      <formula>BS5="RB"</formula>
    </cfRule>
    <cfRule type="expression" dxfId="2967" priority="5867">
      <formula>BS5="QB"</formula>
    </cfRule>
  </conditionalFormatting>
  <conditionalFormatting sqref="BR8">
    <cfRule type="expression" dxfId="2958" priority="5892">
      <formula>BS8="K"</formula>
    </cfRule>
    <cfRule type="expression" dxfId="2963" priority="5893">
      <formula>BS8="DEF"</formula>
    </cfRule>
    <cfRule type="expression" dxfId="2962" priority="5894">
      <formula>BS8="TE"</formula>
    </cfRule>
    <cfRule type="expression" dxfId="2961" priority="5895">
      <formula>BS8="WR"</formula>
    </cfRule>
    <cfRule type="expression" dxfId="2960" priority="5896">
      <formula>BS8="RB"</formula>
    </cfRule>
    <cfRule type="expression" dxfId="2959" priority="5897">
      <formula>BS8="QB"</formula>
    </cfRule>
  </conditionalFormatting>
  <conditionalFormatting sqref="BR11">
    <cfRule type="expression" dxfId="2952" priority="5922">
      <formula>BS11="K"</formula>
    </cfRule>
    <cfRule type="expression" dxfId="2953" priority="5923">
      <formula>BS11="DEF"</formula>
    </cfRule>
    <cfRule type="expression" dxfId="2957" priority="5924">
      <formula>BS11="TE"</formula>
    </cfRule>
    <cfRule type="expression" dxfId="2956" priority="5925">
      <formula>BS11="WR"</formula>
    </cfRule>
    <cfRule type="expression" dxfId="2955" priority="5926">
      <formula>BS11="RB"</formula>
    </cfRule>
    <cfRule type="expression" dxfId="2954" priority="5927">
      <formula>BS11="QB"</formula>
    </cfRule>
  </conditionalFormatting>
  <conditionalFormatting sqref="BR14">
    <cfRule type="expression" dxfId="2951" priority="5952">
      <formula>BS14="K"</formula>
    </cfRule>
    <cfRule type="expression" dxfId="2950" priority="5953">
      <formula>BS14="DEF"</formula>
    </cfRule>
    <cfRule type="expression" dxfId="2947" priority="5954">
      <formula>BS14="TE"</formula>
    </cfRule>
    <cfRule type="expression" dxfId="2948" priority="5955">
      <formula>BS14="WR"</formula>
    </cfRule>
    <cfRule type="expression" dxfId="2946" priority="5956">
      <formula>BS14="RB"</formula>
    </cfRule>
    <cfRule type="expression" dxfId="2949" priority="5957">
      <formula>BS14="QB"</formula>
    </cfRule>
  </conditionalFormatting>
  <conditionalFormatting sqref="BR17">
    <cfRule type="expression" dxfId="2945" priority="5982">
      <formula>BS17="K"</formula>
    </cfRule>
    <cfRule type="expression" dxfId="2943" priority="5983">
      <formula>BS17="DEF"</formula>
    </cfRule>
    <cfRule type="expression" dxfId="2944" priority="5984">
      <formula>BS17="TE"</formula>
    </cfRule>
    <cfRule type="expression" dxfId="2942" priority="5985">
      <formula>BS17="WR"</formula>
    </cfRule>
    <cfRule type="expression" dxfId="2941" priority="5986">
      <formula>BS17="RB"</formula>
    </cfRule>
    <cfRule type="expression" dxfId="2940" priority="5987">
      <formula>BS17="QB"</formula>
    </cfRule>
  </conditionalFormatting>
  <conditionalFormatting sqref="BR20">
    <cfRule type="expression" dxfId="2934" priority="6012">
      <formula>BS20="K"</formula>
    </cfRule>
    <cfRule type="expression" dxfId="2935" priority="6013">
      <formula>BS20="DEF"</formula>
    </cfRule>
    <cfRule type="expression" dxfId="2936" priority="6014">
      <formula>BS20="TE"</formula>
    </cfRule>
    <cfRule type="expression" dxfId="2937" priority="6015">
      <formula>BS20="WR"</formula>
    </cfRule>
    <cfRule type="expression" dxfId="2938" priority="6016">
      <formula>BS20="RB"</formula>
    </cfRule>
    <cfRule type="expression" dxfId="2939" priority="6017">
      <formula>BS20="QB"</formula>
    </cfRule>
  </conditionalFormatting>
  <conditionalFormatting sqref="BR23">
    <cfRule type="expression" dxfId="2928" priority="6042">
      <formula>BS23="K"</formula>
    </cfRule>
    <cfRule type="expression" dxfId="2933" priority="6043">
      <formula>BS23="DEF"</formula>
    </cfRule>
    <cfRule type="expression" dxfId="2932" priority="6044">
      <formula>BS23="TE"</formula>
    </cfRule>
    <cfRule type="expression" dxfId="2931" priority="6045">
      <formula>BS23="WR"</formula>
    </cfRule>
    <cfRule type="expression" dxfId="2930" priority="6046">
      <formula>BS23="RB"</formula>
    </cfRule>
    <cfRule type="expression" dxfId="2929" priority="6047">
      <formula>BS23="QB"</formula>
    </cfRule>
  </conditionalFormatting>
  <conditionalFormatting sqref="BR26">
    <cfRule type="expression" dxfId="2924" priority="6072">
      <formula>BS26="K"</formula>
    </cfRule>
    <cfRule type="expression" dxfId="2923" priority="6073">
      <formula>BS26="DEF"</formula>
    </cfRule>
    <cfRule type="expression" dxfId="2927" priority="6074">
      <formula>BS26="TE"</formula>
    </cfRule>
    <cfRule type="expression" dxfId="2926" priority="6075">
      <formula>BS26="WR"</formula>
    </cfRule>
    <cfRule type="expression" dxfId="2925" priority="6076">
      <formula>BS26="RB"</formula>
    </cfRule>
    <cfRule type="expression" dxfId="2922" priority="6077">
      <formula>BS26="QB"</formula>
    </cfRule>
  </conditionalFormatting>
  <conditionalFormatting sqref="BR29">
    <cfRule type="expression" dxfId="2921" priority="6102">
      <formula>BS29="K"</formula>
    </cfRule>
    <cfRule type="expression" dxfId="2920" priority="6103">
      <formula>BS29="DEF"</formula>
    </cfRule>
    <cfRule type="expression" dxfId="2919" priority="6104">
      <formula>BS29="TE"</formula>
    </cfRule>
    <cfRule type="expression" dxfId="2918" priority="6105">
      <formula>BS29="WR"</formula>
    </cfRule>
    <cfRule type="expression" dxfId="2916" priority="6106">
      <formula>BS29="RB"</formula>
    </cfRule>
    <cfRule type="expression" dxfId="2917" priority="6107">
      <formula>BS29="QB"</formula>
    </cfRule>
  </conditionalFormatting>
  <conditionalFormatting sqref="BR32">
    <cfRule type="expression" dxfId="2914" priority="6132">
      <formula>BS32="K"</formula>
    </cfRule>
    <cfRule type="expression" dxfId="2915" priority="6133">
      <formula>BS32="DEF"</formula>
    </cfRule>
    <cfRule type="expression" dxfId="2910" priority="6134">
      <formula>BS32="TE"</formula>
    </cfRule>
    <cfRule type="expression" dxfId="2913" priority="6135">
      <formula>BS32="WR"</formula>
    </cfRule>
    <cfRule type="expression" dxfId="2912" priority="6136">
      <formula>BS32="RB"</formula>
    </cfRule>
    <cfRule type="expression" dxfId="2911" priority="6137">
      <formula>BS32="QB"</formula>
    </cfRule>
  </conditionalFormatting>
  <conditionalFormatting sqref="BR35">
    <cfRule type="expression" dxfId="2908" priority="6162">
      <formula>BS35="K"</formula>
    </cfRule>
    <cfRule type="expression" dxfId="2907" priority="6163">
      <formula>BS35="DEF"</formula>
    </cfRule>
    <cfRule type="expression" dxfId="2906" priority="6164">
      <formula>BS35="TE"</formula>
    </cfRule>
    <cfRule type="expression" dxfId="2905" priority="6165">
      <formula>BS35="WR"</formula>
    </cfRule>
    <cfRule type="expression" dxfId="2909" priority="6166">
      <formula>BS35="RB"</formula>
    </cfRule>
    <cfRule type="expression" dxfId="2904" priority="6167">
      <formula>BS35="QB"</formula>
    </cfRule>
  </conditionalFormatting>
  <conditionalFormatting sqref="BR38">
    <cfRule type="expression" dxfId="2900" priority="6192">
      <formula>BS38="K"</formula>
    </cfRule>
    <cfRule type="expression" dxfId="2899" priority="6193">
      <formula>BS38="DEF"</formula>
    </cfRule>
    <cfRule type="expression" dxfId="2898" priority="6194">
      <formula>BS38="TE"</formula>
    </cfRule>
    <cfRule type="expression" dxfId="2903" priority="6195">
      <formula>BS38="WR"</formula>
    </cfRule>
    <cfRule type="expression" dxfId="2901" priority="6196">
      <formula>BS38="RB"</formula>
    </cfRule>
    <cfRule type="expression" dxfId="2902" priority="6197">
      <formula>BS38="QB"</formula>
    </cfRule>
  </conditionalFormatting>
  <conditionalFormatting sqref="BR41">
    <cfRule type="expression" dxfId="2894" priority="6222">
      <formula>BS41="K"</formula>
    </cfRule>
    <cfRule type="expression" dxfId="2895" priority="6223">
      <formula>BS41="DEF"</formula>
    </cfRule>
    <cfRule type="expression" dxfId="2896" priority="6224">
      <formula>BS41="TE"</formula>
    </cfRule>
    <cfRule type="expression" dxfId="2897" priority="6225">
      <formula>BS41="WR"</formula>
    </cfRule>
    <cfRule type="expression" dxfId="2892" priority="6226">
      <formula>BS41="RB"</formula>
    </cfRule>
    <cfRule type="expression" dxfId="2893" priority="6227">
      <formula>BS41="QB"</formula>
    </cfRule>
  </conditionalFormatting>
  <conditionalFormatting sqref="BR44">
    <cfRule type="expression" dxfId="2887" priority="6252">
      <formula>BS44="K"</formula>
    </cfRule>
    <cfRule type="expression" dxfId="2889" priority="6253">
      <formula>BS44="DEF"</formula>
    </cfRule>
    <cfRule type="expression" dxfId="2886" priority="6254">
      <formula>BS44="TE"</formula>
    </cfRule>
    <cfRule type="expression" dxfId="2888" priority="6255">
      <formula>BS44="WR"</formula>
    </cfRule>
    <cfRule type="expression" dxfId="2890" priority="6256">
      <formula>BS44="RB"</formula>
    </cfRule>
    <cfRule type="expression" dxfId="2891" priority="6257">
      <formula>BS44="QB"</formula>
    </cfRule>
  </conditionalFormatting>
  <conditionalFormatting sqref="BR47">
    <cfRule type="expression" dxfId="2881" priority="6282">
      <formula>BS47="K"</formula>
    </cfRule>
    <cfRule type="expression" dxfId="2880" priority="6283">
      <formula>BS47="DEF"</formula>
    </cfRule>
    <cfRule type="expression" dxfId="2885" priority="6284">
      <formula>BS47="TE"</formula>
    </cfRule>
    <cfRule type="expression" dxfId="2884" priority="6285">
      <formula>BS47="WR"</formula>
    </cfRule>
    <cfRule type="expression" dxfId="2882" priority="6286">
      <formula>BS47="RB"</formula>
    </cfRule>
    <cfRule type="expression" dxfId="2883" priority="6287">
      <formula>BS47="QB"</formula>
    </cfRule>
  </conditionalFormatting>
  <conditionalFormatting sqref="BS5">
    <cfRule type="expression" dxfId="2875" priority="5868">
      <formula>BS5="K"</formula>
    </cfRule>
    <cfRule type="expression" dxfId="2879" priority="5869">
      <formula>BS5="DEF"</formula>
    </cfRule>
    <cfRule type="expression" dxfId="2878" priority="5870">
      <formula>BS5="TE"</formula>
    </cfRule>
    <cfRule type="expression" dxfId="2877" priority="5871">
      <formula>BS5="WR"</formula>
    </cfRule>
    <cfRule type="expression" dxfId="2876" priority="5872">
      <formula>BS5="RB"</formula>
    </cfRule>
    <cfRule type="expression" dxfId="2874" priority="5873">
      <formula>BS5="QB"</formula>
    </cfRule>
  </conditionalFormatting>
  <conditionalFormatting sqref="BS8">
    <cfRule type="expression" dxfId="2871" priority="5898">
      <formula>BS8="K"</formula>
    </cfRule>
    <cfRule type="expression" dxfId="2872" priority="5899">
      <formula>BS8="DEF"</formula>
    </cfRule>
    <cfRule type="expression" dxfId="2873" priority="5900">
      <formula>BS8="TE"</formula>
    </cfRule>
    <cfRule type="expression" dxfId="2869" priority="5901">
      <formula>BS8="WR"</formula>
    </cfRule>
    <cfRule type="expression" dxfId="2868" priority="5902">
      <formula>BS8="RB"</formula>
    </cfRule>
    <cfRule type="expression" dxfId="2870" priority="5903">
      <formula>BS8="QB"</formula>
    </cfRule>
  </conditionalFormatting>
  <conditionalFormatting sqref="BS11">
    <cfRule type="expression" dxfId="2867" priority="5928">
      <formula>BS11="K"</formula>
    </cfRule>
    <cfRule type="expression" dxfId="2866" priority="5929">
      <formula>BS11="DEF"</formula>
    </cfRule>
    <cfRule type="expression" dxfId="2863" priority="5930">
      <formula>BS11="TE"</formula>
    </cfRule>
    <cfRule type="expression" dxfId="2865" priority="5931">
      <formula>BS11="WR"</formula>
    </cfRule>
    <cfRule type="expression" dxfId="2862" priority="5932">
      <formula>BS11="RB"</formula>
    </cfRule>
    <cfRule type="expression" dxfId="2864" priority="5933">
      <formula>BS11="QB"</formula>
    </cfRule>
  </conditionalFormatting>
  <conditionalFormatting sqref="BS14">
    <cfRule type="expression" dxfId="2860" priority="5958">
      <formula>BS14="K"</formula>
    </cfRule>
    <cfRule type="expression" dxfId="2861" priority="5959">
      <formula>BS14="DEF"</formula>
    </cfRule>
    <cfRule type="expression" dxfId="2859" priority="5960">
      <formula>BS14="TE"</formula>
    </cfRule>
    <cfRule type="expression" dxfId="2857" priority="5961">
      <formula>BS14="WR"</formula>
    </cfRule>
    <cfRule type="expression" dxfId="2856" priority="5962">
      <formula>BS14="RB"</formula>
    </cfRule>
    <cfRule type="expression" dxfId="2858" priority="5963">
      <formula>BS14="QB"</formula>
    </cfRule>
  </conditionalFormatting>
  <conditionalFormatting sqref="BS17">
    <cfRule type="expression" dxfId="2850" priority="5988">
      <formula>BS17="K"</formula>
    </cfRule>
    <cfRule type="expression" dxfId="2852" priority="5989">
      <formula>BS17="DEF"</formula>
    </cfRule>
    <cfRule type="expression" dxfId="2851" priority="5990">
      <formula>BS17="TE"</formula>
    </cfRule>
    <cfRule type="expression" dxfId="2855" priority="5991">
      <formula>BS17="WR"</formula>
    </cfRule>
    <cfRule type="expression" dxfId="2854" priority="5992">
      <formula>BS17="RB"</formula>
    </cfRule>
    <cfRule type="expression" dxfId="2853" priority="5993">
      <formula>BS17="QB"</formula>
    </cfRule>
  </conditionalFormatting>
  <conditionalFormatting sqref="BS20">
    <cfRule type="expression" dxfId="2844" priority="6018">
      <formula>BS20="K"</formula>
    </cfRule>
    <cfRule type="expression" dxfId="2849" priority="6019">
      <formula>BS20="DEF"</formula>
    </cfRule>
    <cfRule type="expression" dxfId="2848" priority="6020">
      <formula>BS20="TE"</formula>
    </cfRule>
    <cfRule type="expression" dxfId="2847" priority="6021">
      <formula>BS20="WR"</formula>
    </cfRule>
    <cfRule type="expression" dxfId="2845" priority="6022">
      <formula>BS20="RB"</formula>
    </cfRule>
    <cfRule type="expression" dxfId="2846" priority="6023">
      <formula>BS20="QB"</formula>
    </cfRule>
  </conditionalFormatting>
  <conditionalFormatting sqref="BS23">
    <cfRule type="expression" dxfId="2842" priority="6048">
      <formula>BS23="K"</formula>
    </cfRule>
    <cfRule type="expression" dxfId="2843" priority="6049">
      <formula>BS23="DEF"</formula>
    </cfRule>
    <cfRule type="expression" dxfId="2841" priority="6050">
      <formula>BS23="TE"</formula>
    </cfRule>
    <cfRule type="expression" dxfId="2840" priority="6051">
      <formula>BS23="WR"</formula>
    </cfRule>
    <cfRule type="expression" dxfId="2839" priority="6052">
      <formula>BS23="RB"</formula>
    </cfRule>
    <cfRule type="expression" dxfId="2838" priority="6053">
      <formula>BS23="QB"</formula>
    </cfRule>
  </conditionalFormatting>
  <conditionalFormatting sqref="BS26">
    <cfRule type="expression" dxfId="2837" priority="6078">
      <formula>BS26="K"</formula>
    </cfRule>
    <cfRule type="expression" dxfId="2832" priority="6079">
      <formula>BS26="DEF"</formula>
    </cfRule>
    <cfRule type="expression" dxfId="2836" priority="6080">
      <formula>BS26="TE"</formula>
    </cfRule>
    <cfRule type="expression" dxfId="2835" priority="6081">
      <formula>BS26="WR"</formula>
    </cfRule>
    <cfRule type="expression" dxfId="2834" priority="6082">
      <formula>BS26="RB"</formula>
    </cfRule>
    <cfRule type="expression" dxfId="2833" priority="6083">
      <formula>BS26="QB"</formula>
    </cfRule>
  </conditionalFormatting>
  <conditionalFormatting sqref="BS29">
    <cfRule type="expression" dxfId="2829" priority="6108">
      <formula>BS29="K"</formula>
    </cfRule>
    <cfRule type="expression" dxfId="2828" priority="6109">
      <formula>BS29="DEF"</formula>
    </cfRule>
    <cfRule type="expression" dxfId="2826" priority="6110">
      <formula>BS29="TE"</formula>
    </cfRule>
    <cfRule type="expression" dxfId="2831" priority="6111">
      <formula>BS29="WR"</formula>
    </cfRule>
    <cfRule type="expression" dxfId="2827" priority="6112">
      <formula>BS29="RB"</formula>
    </cfRule>
    <cfRule type="expression" dxfId="2830" priority="6113">
      <formula>BS29="QB"</formula>
    </cfRule>
  </conditionalFormatting>
  <conditionalFormatting sqref="BS32">
    <cfRule type="expression" dxfId="2824" priority="6138">
      <formula>BS32="K"</formula>
    </cfRule>
    <cfRule type="expression" dxfId="2820" priority="6139">
      <formula>BS32="DEF"</formula>
    </cfRule>
    <cfRule type="expression" dxfId="2821" priority="6140">
      <formula>BS32="TE"</formula>
    </cfRule>
    <cfRule type="expression" dxfId="2822" priority="6141">
      <formula>BS32="WR"</formula>
    </cfRule>
    <cfRule type="expression" dxfId="2825" priority="6142">
      <formula>BS32="RB"</formula>
    </cfRule>
    <cfRule type="expression" dxfId="2823" priority="6143">
      <formula>BS32="QB"</formula>
    </cfRule>
  </conditionalFormatting>
  <conditionalFormatting sqref="BS35">
    <cfRule type="expression" dxfId="2815" priority="6168">
      <formula>BS35="K"</formula>
    </cfRule>
    <cfRule type="expression" dxfId="2814" priority="6169">
      <formula>BS35="DEF"</formula>
    </cfRule>
    <cfRule type="expression" dxfId="2819" priority="6170">
      <formula>BS35="TE"</formula>
    </cfRule>
    <cfRule type="expression" dxfId="2816" priority="6171">
      <formula>BS35="WR"</formula>
    </cfRule>
    <cfRule type="expression" dxfId="2818" priority="6172">
      <formula>BS35="RB"</formula>
    </cfRule>
    <cfRule type="expression" dxfId="2817" priority="6173">
      <formula>BS35="QB"</formula>
    </cfRule>
  </conditionalFormatting>
  <conditionalFormatting sqref="BS38">
    <cfRule type="expression" dxfId="2812" priority="6198">
      <formula>BS38="K"</formula>
    </cfRule>
    <cfRule type="expression" dxfId="2813" priority="6199">
      <formula>BS38="DEF"</formula>
    </cfRule>
    <cfRule type="expression" dxfId="2808" priority="6200">
      <formula>BS38="TE"</formula>
    </cfRule>
    <cfRule type="expression" dxfId="2809" priority="6201">
      <formula>BS38="WR"</formula>
    </cfRule>
    <cfRule type="expression" dxfId="2810" priority="6202">
      <formula>BS38="RB"</formula>
    </cfRule>
    <cfRule type="expression" dxfId="2811" priority="6203">
      <formula>BS38="QB"</formula>
    </cfRule>
  </conditionalFormatting>
  <conditionalFormatting sqref="BS41">
    <cfRule type="expression" dxfId="2804" priority="6228">
      <formula>BS41="K"</formula>
    </cfRule>
    <cfRule type="expression" dxfId="2803" priority="6229">
      <formula>BS41="DEF"</formula>
    </cfRule>
    <cfRule type="expression" dxfId="2802" priority="6230">
      <formula>BS41="TE"</formula>
    </cfRule>
    <cfRule type="expression" dxfId="2807" priority="6231">
      <formula>BS41="WR"</formula>
    </cfRule>
    <cfRule type="expression" dxfId="2806" priority="6232">
      <formula>BS41="RB"</formula>
    </cfRule>
    <cfRule type="expression" dxfId="2805" priority="6233">
      <formula>BS41="QB"</formula>
    </cfRule>
  </conditionalFormatting>
  <conditionalFormatting sqref="BS44">
    <cfRule type="expression" dxfId="2801" priority="6258">
      <formula>BS44="K"</formula>
    </cfRule>
    <cfRule type="expression" dxfId="2800" priority="6259">
      <formula>BS44="DEF"</formula>
    </cfRule>
    <cfRule type="expression" dxfId="2799" priority="6260">
      <formula>BS44="TE"</formula>
    </cfRule>
    <cfRule type="expression" dxfId="2798" priority="6261">
      <formula>BS44="WR"</formula>
    </cfRule>
    <cfRule type="expression" dxfId="2797" priority="6262">
      <formula>BS44="RB"</formula>
    </cfRule>
    <cfRule type="expression" dxfId="2796" priority="6263">
      <formula>BS44="QB"</formula>
    </cfRule>
  </conditionalFormatting>
  <conditionalFormatting sqref="BS47">
    <cfRule type="expression" dxfId="2795" priority="6288">
      <formula>BS47="K"</formula>
    </cfRule>
    <cfRule type="expression" dxfId="2794" priority="6289">
      <formula>BS47="DEF"</formula>
    </cfRule>
    <cfRule type="expression" dxfId="2793" priority="6290">
      <formula>BS47="TE"</formula>
    </cfRule>
    <cfRule type="expression" dxfId="2792" priority="6291">
      <formula>BS47="WR"</formula>
    </cfRule>
    <cfRule type="expression" dxfId="2791" priority="6292">
      <formula>BS47="RB"</formula>
    </cfRule>
    <cfRule type="expression" dxfId="2790" priority="6293">
      <formula>BS47="QB"</formula>
    </cfRule>
  </conditionalFormatting>
  <conditionalFormatting sqref="BT5">
    <cfRule type="expression" dxfId="2786" priority="5874">
      <formula>BS5="K"</formula>
    </cfRule>
    <cfRule type="expression" dxfId="2787" priority="5875">
      <formula>BS5="DEF"</formula>
    </cfRule>
    <cfRule type="expression" dxfId="2788" priority="5876">
      <formula>BS5="TE"</formula>
    </cfRule>
    <cfRule type="expression" dxfId="2789" priority="5877">
      <formula>BS5="WR"</formula>
    </cfRule>
    <cfRule type="expression" dxfId="2784" priority="5878">
      <formula>BS5="RB"</formula>
    </cfRule>
    <cfRule type="expression" dxfId="2785" priority="5879">
      <formula>BS5="QB"</formula>
    </cfRule>
  </conditionalFormatting>
  <conditionalFormatting sqref="BT8">
    <cfRule type="expression" dxfId="2782" priority="5904">
      <formula>BS8="K"</formula>
    </cfRule>
    <cfRule type="expression" dxfId="2783" priority="5905">
      <formula>BS8="DEF"</formula>
    </cfRule>
    <cfRule type="expression" dxfId="2778" priority="5906">
      <formula>BS8="TE"</formula>
    </cfRule>
    <cfRule type="expression" dxfId="2779" priority="5907">
      <formula>BS8="WR"</formula>
    </cfRule>
    <cfRule type="expression" dxfId="2780" priority="5908">
      <formula>BS8="RB"</formula>
    </cfRule>
    <cfRule type="expression" dxfId="2781" priority="5909">
      <formula>BS8="QB"</formula>
    </cfRule>
  </conditionalFormatting>
  <conditionalFormatting sqref="BT11">
    <cfRule type="expression" dxfId="2773" priority="5934">
      <formula>BS11="K"</formula>
    </cfRule>
    <cfRule type="expression" dxfId="2774" priority="5935">
      <formula>BS11="DEF"</formula>
    </cfRule>
    <cfRule type="expression" dxfId="2775" priority="5936">
      <formula>BS11="TE"</formula>
    </cfRule>
    <cfRule type="expression" dxfId="2772" priority="5937">
      <formula>BS11="WR"</formula>
    </cfRule>
    <cfRule type="expression" dxfId="2777" priority="5938">
      <formula>BS11="RB"</formula>
    </cfRule>
    <cfRule type="expression" dxfId="2776" priority="5939">
      <formula>BS11="QB"</formula>
    </cfRule>
  </conditionalFormatting>
  <conditionalFormatting sqref="BT14">
    <cfRule type="expression" dxfId="2767" priority="5964">
      <formula>BS14="K"</formula>
    </cfRule>
    <cfRule type="expression" dxfId="2768" priority="5965">
      <formula>BS14="DEF"</formula>
    </cfRule>
    <cfRule type="expression" dxfId="2769" priority="5966">
      <formula>BS14="TE"</formula>
    </cfRule>
    <cfRule type="expression" dxfId="2770" priority="5967">
      <formula>BS14="WR"</formula>
    </cfRule>
    <cfRule type="expression" dxfId="2771" priority="5968">
      <formula>BS14="RB"</formula>
    </cfRule>
    <cfRule type="expression" dxfId="2766" priority="5969">
      <formula>BS14="QB"</formula>
    </cfRule>
  </conditionalFormatting>
  <conditionalFormatting sqref="BT17">
    <cfRule type="expression" dxfId="2764" priority="5994">
      <formula>BS17="K"</formula>
    </cfRule>
    <cfRule type="expression" dxfId="2760" priority="5995">
      <formula>BS17="DEF"</formula>
    </cfRule>
    <cfRule type="expression" dxfId="2761" priority="5996">
      <formula>BS17="TE"</formula>
    </cfRule>
    <cfRule type="expression" dxfId="2762" priority="5997">
      <formula>BS17="WR"</formula>
    </cfRule>
    <cfRule type="expression" dxfId="2765" priority="5998">
      <formula>BS17="RB"</formula>
    </cfRule>
    <cfRule type="expression" dxfId="2763" priority="5999">
      <formula>BS17="QB"</formula>
    </cfRule>
  </conditionalFormatting>
  <conditionalFormatting sqref="BT20">
    <cfRule type="expression" dxfId="2754" priority="6024">
      <formula>BS20="K"</formula>
    </cfRule>
    <cfRule type="expression" dxfId="2755" priority="6025">
      <formula>BS20="DEF"</formula>
    </cfRule>
    <cfRule type="expression" dxfId="2756" priority="6026">
      <formula>BS20="TE"</formula>
    </cfRule>
    <cfRule type="expression" dxfId="2757" priority="6027">
      <formula>BS20="WR"</formula>
    </cfRule>
    <cfRule type="expression" dxfId="2758" priority="6028">
      <formula>BS20="RB"</formula>
    </cfRule>
    <cfRule type="expression" dxfId="2759" priority="6029">
      <formula>BS20="QB"</formula>
    </cfRule>
  </conditionalFormatting>
  <conditionalFormatting sqref="BT23">
    <cfRule type="expression" dxfId="2752" priority="6054">
      <formula>BS23="K"</formula>
    </cfRule>
    <cfRule type="expression" dxfId="2751" priority="6055">
      <formula>BS23="DEF"</formula>
    </cfRule>
    <cfRule type="expression" dxfId="2750" priority="6056">
      <formula>BS23="TE"</formula>
    </cfRule>
    <cfRule type="expression" dxfId="2749" priority="6057">
      <formula>BS23="WR"</formula>
    </cfRule>
    <cfRule type="expression" dxfId="2748" priority="6058">
      <formula>BS23="RB"</formula>
    </cfRule>
    <cfRule type="expression" dxfId="2753" priority="6059">
      <formula>BS23="QB"</formula>
    </cfRule>
  </conditionalFormatting>
  <conditionalFormatting sqref="BT26">
    <cfRule type="expression" dxfId="2742" priority="6084">
      <formula>BS26="K"</formula>
    </cfRule>
    <cfRule type="expression" dxfId="2744" priority="6085">
      <formula>BS26="DEF"</formula>
    </cfRule>
    <cfRule type="expression" dxfId="2745" priority="6086">
      <formula>BS26="TE"</formula>
    </cfRule>
    <cfRule type="expression" dxfId="2743" priority="6087">
      <formula>BS26="WR"</formula>
    </cfRule>
    <cfRule type="expression" dxfId="2746" priority="6088">
      <formula>BS26="RB"</formula>
    </cfRule>
    <cfRule type="expression" dxfId="2747" priority="6089">
      <formula>BS26="QB"</formula>
    </cfRule>
  </conditionalFormatting>
  <conditionalFormatting sqref="BT29">
    <cfRule type="expression" dxfId="2740" priority="6114">
      <formula>BS29="K"</formula>
    </cfRule>
    <cfRule type="expression" dxfId="2741" priority="6115">
      <formula>BS29="DEF"</formula>
    </cfRule>
    <cfRule type="expression" dxfId="2739" priority="6116">
      <formula>BS29="TE"</formula>
    </cfRule>
    <cfRule type="expression" dxfId="2738" priority="6117">
      <formula>BS29="WR"</formula>
    </cfRule>
    <cfRule type="expression" dxfId="2737" priority="6118">
      <formula>BS29="RB"</formula>
    </cfRule>
    <cfRule type="expression" dxfId="2736" priority="6119">
      <formula>BS29="QB"</formula>
    </cfRule>
  </conditionalFormatting>
  <conditionalFormatting sqref="BT32">
    <cfRule type="expression" dxfId="2731" priority="6144">
      <formula>BS32="K"</formula>
    </cfRule>
    <cfRule type="expression" dxfId="2732" priority="6145">
      <formula>BS32="DEF"</formula>
    </cfRule>
    <cfRule type="expression" dxfId="2733" priority="6146">
      <formula>BS32="TE"</formula>
    </cfRule>
    <cfRule type="expression" dxfId="2734" priority="6147">
      <formula>BS32="WR"</formula>
    </cfRule>
    <cfRule type="expression" dxfId="2735" priority="6148">
      <formula>BS32="RB"</formula>
    </cfRule>
    <cfRule type="expression" dxfId="2730" priority="6149">
      <formula>BS32="QB"</formula>
    </cfRule>
  </conditionalFormatting>
  <conditionalFormatting sqref="BT35">
    <cfRule type="expression" dxfId="2724" priority="6174">
      <formula>BS35="K"</formula>
    </cfRule>
    <cfRule type="expression" dxfId="2725" priority="6175">
      <formula>BS35="DEF"</formula>
    </cfRule>
    <cfRule type="expression" dxfId="2726" priority="6176">
      <formula>BS35="TE"</formula>
    </cfRule>
    <cfRule type="expression" dxfId="2727" priority="6177">
      <formula>BS35="WR"</formula>
    </cfRule>
    <cfRule type="expression" dxfId="2728" priority="6178">
      <formula>BS35="RB"</formula>
    </cfRule>
    <cfRule type="expression" dxfId="2729" priority="6179">
      <formula>BS35="QB"</formula>
    </cfRule>
  </conditionalFormatting>
  <conditionalFormatting sqref="BT38">
    <cfRule type="expression" dxfId="2723" priority="6204">
      <formula>BS38="K"</formula>
    </cfRule>
    <cfRule type="expression" dxfId="2722" priority="6205">
      <formula>BS38="DEF"</formula>
    </cfRule>
    <cfRule type="expression" dxfId="2721" priority="6206">
      <formula>BS38="TE"</formula>
    </cfRule>
    <cfRule type="expression" dxfId="2720" priority="6207">
      <formula>BS38="WR"</formula>
    </cfRule>
    <cfRule type="expression" dxfId="2719" priority="6208">
      <formula>BS38="RB"</formula>
    </cfRule>
    <cfRule type="expression" dxfId="2718" priority="6209">
      <formula>BS38="QB"</formula>
    </cfRule>
  </conditionalFormatting>
  <conditionalFormatting sqref="BT41">
    <cfRule type="expression" dxfId="2712" priority="6234">
      <formula>BS41="K"</formula>
    </cfRule>
    <cfRule type="expression" dxfId="2717" priority="6235">
      <formula>BS41="DEF"</formula>
    </cfRule>
    <cfRule type="expression" dxfId="2716" priority="6236">
      <formula>BS41="TE"</formula>
    </cfRule>
    <cfRule type="expression" dxfId="2715" priority="6237">
      <formula>BS41="WR"</formula>
    </cfRule>
    <cfRule type="expression" dxfId="2714" priority="6238">
      <formula>BS41="RB"</formula>
    </cfRule>
    <cfRule type="expression" dxfId="2713" priority="6239">
      <formula>BS41="QB"</formula>
    </cfRule>
  </conditionalFormatting>
  <conditionalFormatting sqref="BT44">
    <cfRule type="expression" dxfId="2706" priority="6264">
      <formula>BS44="K"</formula>
    </cfRule>
    <cfRule type="expression" dxfId="2711" priority="6265">
      <formula>BS44="DEF"</formula>
    </cfRule>
    <cfRule type="expression" dxfId="2710" priority="6266">
      <formula>BS44="TE"</formula>
    </cfRule>
    <cfRule type="expression" dxfId="2709" priority="6267">
      <formula>BS44="WR"</formula>
    </cfRule>
    <cfRule type="expression" dxfId="2708" priority="6268">
      <formula>BS44="RB"</formula>
    </cfRule>
    <cfRule type="expression" dxfId="2707" priority="6269">
      <formula>BS44="QB"</formula>
    </cfRule>
  </conditionalFormatting>
  <conditionalFormatting sqref="BT47">
    <cfRule type="expression" dxfId="2705" priority="6294">
      <formula>BS47="K"</formula>
    </cfRule>
    <cfRule type="expression" dxfId="2704" priority="6295">
      <formula>BS47="DEF"</formula>
    </cfRule>
    <cfRule type="expression" dxfId="2703" priority="6296">
      <formula>BS47="TE"</formula>
    </cfRule>
    <cfRule type="expression" dxfId="2702" priority="6297">
      <formula>BS47="WR"</formula>
    </cfRule>
    <cfRule type="expression" dxfId="2701" priority="6298">
      <formula>BS47="RB"</formula>
    </cfRule>
    <cfRule type="expression" dxfId="2700" priority="6299">
      <formula>BS47="QB"</formula>
    </cfRule>
  </conditionalFormatting>
  <conditionalFormatting sqref="BV4">
    <cfRule type="expression" dxfId="2699" priority="6301">
      <formula>BX5="DEF"</formula>
    </cfRule>
    <cfRule type="expression" dxfId="2698" priority="6302">
      <formula>BX5="TE"</formula>
    </cfRule>
    <cfRule type="expression" dxfId="2697" priority="6303">
      <formula>BX5="WR"</formula>
    </cfRule>
    <cfRule type="expression" dxfId="2696" priority="6304">
      <formula>BX5="RB"</formula>
    </cfRule>
    <cfRule type="expression" dxfId="2695" priority="6305">
      <formula>BX5="QB"</formula>
    </cfRule>
  </conditionalFormatting>
  <conditionalFormatting sqref="BV5">
    <cfRule type="expression" dxfId="2694" priority="6306">
      <formula>BX5="K"</formula>
    </cfRule>
    <cfRule type="expression" dxfId="2693" priority="6307">
      <formula>BX5="DEF"</formula>
    </cfRule>
    <cfRule type="expression" dxfId="2692" priority="6308">
      <formula>BX5="TE"</formula>
    </cfRule>
    <cfRule type="expression" dxfId="2691" priority="6309">
      <formula>BX5="WR"</formula>
    </cfRule>
    <cfRule type="expression" dxfId="2690" priority="6310">
      <formula>BX5="RB"</formula>
    </cfRule>
    <cfRule type="expression" dxfId="2689" priority="6311">
      <formula>BX5="QB"</formula>
    </cfRule>
  </conditionalFormatting>
  <conditionalFormatting sqref="BV7">
    <cfRule type="expression" dxfId="2686" priority="6331">
      <formula>BX8="DEF"</formula>
    </cfRule>
    <cfRule type="expression" dxfId="2687" priority="6332">
      <formula>BX8="TE"</formula>
    </cfRule>
    <cfRule type="expression" dxfId="2688" priority="6333">
      <formula>BX8="WR"</formula>
    </cfRule>
    <cfRule type="expression" dxfId="2684" priority="6334">
      <formula>BX8="RB"</formula>
    </cfRule>
    <cfRule type="expression" dxfId="2685" priority="6335">
      <formula>BX8="QB"</formula>
    </cfRule>
  </conditionalFormatting>
  <conditionalFormatting sqref="BV8">
    <cfRule type="expression" dxfId="2682" priority="6336">
      <formula>BX8="K"</formula>
    </cfRule>
    <cfRule type="expression" dxfId="2681" priority="6337">
      <formula>BX8="DEF"</formula>
    </cfRule>
    <cfRule type="expression" dxfId="2680" priority="6338">
      <formula>BX8="TE"</formula>
    </cfRule>
    <cfRule type="expression" dxfId="2679" priority="6339">
      <formula>BX8="WR"</formula>
    </cfRule>
    <cfRule type="expression" dxfId="2683" priority="6340">
      <formula>BX8="RB"</formula>
    </cfRule>
    <cfRule type="expression" dxfId="2678" priority="6341">
      <formula>BX8="QB"</formula>
    </cfRule>
  </conditionalFormatting>
  <conditionalFormatting sqref="BV10">
    <cfRule type="expression" dxfId="2673" priority="6361">
      <formula>BX11="DEF"</formula>
    </cfRule>
    <cfRule type="expression" dxfId="2674" priority="6362">
      <formula>BX11="TE"</formula>
    </cfRule>
    <cfRule type="expression" dxfId="2675" priority="6363">
      <formula>BX11="WR"</formula>
    </cfRule>
    <cfRule type="expression" dxfId="2676" priority="6364">
      <formula>BX11="RB"</formula>
    </cfRule>
    <cfRule type="expression" dxfId="2677" priority="6365">
      <formula>BX11="QB"</formula>
    </cfRule>
  </conditionalFormatting>
  <conditionalFormatting sqref="BV11">
    <cfRule type="expression" dxfId="2668" priority="6366">
      <formula>BX11="K"</formula>
    </cfRule>
    <cfRule type="expression" dxfId="2672" priority="6367">
      <formula>BX11="DEF"</formula>
    </cfRule>
    <cfRule type="expression" dxfId="2669" priority="6368">
      <formula>BX11="TE"</formula>
    </cfRule>
    <cfRule type="expression" dxfId="2670" priority="6369">
      <formula>BX11="WR"</formula>
    </cfRule>
    <cfRule type="expression" dxfId="2671" priority="6370">
      <formula>BX11="RB"</formula>
    </cfRule>
    <cfRule type="expression" dxfId="2667" priority="6371">
      <formula>BX11="QB"</formula>
    </cfRule>
  </conditionalFormatting>
  <conditionalFormatting sqref="BV13">
    <cfRule type="expression" dxfId="2662" priority="6391">
      <formula>BX14="DEF"</formula>
    </cfRule>
    <cfRule type="expression" dxfId="2664" priority="6392">
      <formula>BX14="TE"</formula>
    </cfRule>
    <cfRule type="expression" dxfId="2665" priority="6393">
      <formula>BX14="WR"</formula>
    </cfRule>
    <cfRule type="expression" dxfId="2666" priority="6394">
      <formula>BX14="RB"</formula>
    </cfRule>
    <cfRule type="expression" dxfId="2663" priority="6395">
      <formula>BX14="QB"</formula>
    </cfRule>
  </conditionalFormatting>
  <conditionalFormatting sqref="BV14">
    <cfRule type="expression" dxfId="2659" priority="6396">
      <formula>BX14="K"</formula>
    </cfRule>
    <cfRule type="expression" dxfId="2660" priority="6397">
      <formula>BX14="DEF"</formula>
    </cfRule>
    <cfRule type="expression" dxfId="2661" priority="6398">
      <formula>BX14="TE"</formula>
    </cfRule>
    <cfRule type="expression" dxfId="2658" priority="6399">
      <formula>BX14="WR"</formula>
    </cfRule>
    <cfRule type="expression" dxfId="2657" priority="6400">
      <formula>BX14="RB"</formula>
    </cfRule>
    <cfRule type="expression" dxfId="2656" priority="6401">
      <formula>BX14="QB"</formula>
    </cfRule>
  </conditionalFormatting>
  <conditionalFormatting sqref="BV16">
    <cfRule type="expression" dxfId="2654" priority="6421">
      <formula>BX17="DEF"</formula>
    </cfRule>
    <cfRule type="expression" dxfId="2653" priority="6422">
      <formula>BX17="TE"</formula>
    </cfRule>
    <cfRule type="expression" dxfId="2652" priority="6423">
      <formula>BX17="WR"</formula>
    </cfRule>
    <cfRule type="expression" dxfId="2655" priority="6424">
      <formula>BX17="RB"</formula>
    </cfRule>
    <cfRule type="expression" dxfId="2651" priority="6425">
      <formula>BX17="QB"</formula>
    </cfRule>
  </conditionalFormatting>
  <conditionalFormatting sqref="BV17">
    <cfRule type="expression" dxfId="2650" priority="6426">
      <formula>BX17="K"</formula>
    </cfRule>
    <cfRule type="expression" dxfId="2649" priority="6427">
      <formula>BX17="DEF"</formula>
    </cfRule>
    <cfRule type="expression" dxfId="2648" priority="6428">
      <formula>BX17="TE"</formula>
    </cfRule>
    <cfRule type="expression" dxfId="2647" priority="6429">
      <formula>BX17="WR"</formula>
    </cfRule>
    <cfRule type="expression" dxfId="2646" priority="6430">
      <formula>BX17="RB"</formula>
    </cfRule>
    <cfRule type="expression" dxfId="2645" priority="6431">
      <formula>BX17="QB"</formula>
    </cfRule>
  </conditionalFormatting>
  <conditionalFormatting sqref="BV19">
    <cfRule type="expression" dxfId="2642" priority="6451">
      <formula>BX20="DEF"</formula>
    </cfRule>
    <cfRule type="expression" dxfId="2641" priority="6452">
      <formula>BX20="TE"</formula>
    </cfRule>
    <cfRule type="expression" dxfId="2640" priority="6453">
      <formula>BX20="WR"</formula>
    </cfRule>
    <cfRule type="expression" dxfId="2644" priority="6454">
      <formula>BX20="RB"</formula>
    </cfRule>
    <cfRule type="expression" dxfId="2643" priority="6455">
      <formula>BX20="QB"</formula>
    </cfRule>
  </conditionalFormatting>
  <conditionalFormatting sqref="BV20">
    <cfRule type="expression" dxfId="2634" priority="6456">
      <formula>BX20="K"</formula>
    </cfRule>
    <cfRule type="expression" dxfId="2639" priority="6457">
      <formula>BX20="DEF"</formula>
    </cfRule>
    <cfRule type="expression" dxfId="2638" priority="6458">
      <formula>BX20="TE"</formula>
    </cfRule>
    <cfRule type="expression" dxfId="2637" priority="6459">
      <formula>BX20="WR"</formula>
    </cfRule>
    <cfRule type="expression" dxfId="2635" priority="6460">
      <formula>BX20="RB"</formula>
    </cfRule>
    <cfRule type="expression" dxfId="2636" priority="6461">
      <formula>BX20="QB"</formula>
    </cfRule>
  </conditionalFormatting>
  <conditionalFormatting sqref="BV22">
    <cfRule type="expression" dxfId="2633" priority="6481">
      <formula>BX23="DEF"</formula>
    </cfRule>
    <cfRule type="expression" dxfId="2629" priority="6482">
      <formula>BX23="TE"</formula>
    </cfRule>
    <cfRule type="expression" dxfId="2630" priority="6483">
      <formula>BX23="WR"</formula>
    </cfRule>
    <cfRule type="expression" dxfId="2631" priority="6484">
      <formula>BX23="RB"</formula>
    </cfRule>
    <cfRule type="expression" dxfId="2632" priority="6485">
      <formula>BX23="QB"</formula>
    </cfRule>
  </conditionalFormatting>
  <conditionalFormatting sqref="BV23">
    <cfRule type="expression" dxfId="2623" priority="6486">
      <formula>BX23="K"</formula>
    </cfRule>
    <cfRule type="expression" dxfId="2624" priority="6487">
      <formula>BX23="DEF"</formula>
    </cfRule>
    <cfRule type="expression" dxfId="2625" priority="6488">
      <formula>BX23="TE"</formula>
    </cfRule>
    <cfRule type="expression" dxfId="2626" priority="6489">
      <formula>BX23="WR"</formula>
    </cfRule>
    <cfRule type="expression" dxfId="2627" priority="6490">
      <formula>BX23="RB"</formula>
    </cfRule>
    <cfRule type="expression" dxfId="2628" priority="6491">
      <formula>BX23="QB"</formula>
    </cfRule>
  </conditionalFormatting>
  <conditionalFormatting sqref="BV25">
    <cfRule type="expression" dxfId="2622" priority="6511">
      <formula>BX26="DEF"</formula>
    </cfRule>
    <cfRule type="expression" dxfId="2621" priority="6512">
      <formula>BX26="TE"</formula>
    </cfRule>
    <cfRule type="expression" dxfId="2620" priority="6513">
      <formula>BX26="WR"</formula>
    </cfRule>
    <cfRule type="expression" dxfId="2619" priority="6514">
      <formula>BX26="RB"</formula>
    </cfRule>
    <cfRule type="expression" dxfId="2618" priority="6515">
      <formula>BX26="QB"</formula>
    </cfRule>
  </conditionalFormatting>
  <conditionalFormatting sqref="BV26">
    <cfRule type="expression" dxfId="2616" priority="6516">
      <formula>BX26="K"</formula>
    </cfRule>
    <cfRule type="expression" dxfId="2615" priority="6517">
      <formula>BX26="DEF"</formula>
    </cfRule>
    <cfRule type="expression" dxfId="2614" priority="6518">
      <formula>BX26="TE"</formula>
    </cfRule>
    <cfRule type="expression" dxfId="2612" priority="6519">
      <formula>BX26="WR"</formula>
    </cfRule>
    <cfRule type="expression" dxfId="2613" priority="6520">
      <formula>BX26="RB"</formula>
    </cfRule>
    <cfRule type="expression" dxfId="2617" priority="6521">
      <formula>BX26="QB"</formula>
    </cfRule>
  </conditionalFormatting>
  <conditionalFormatting sqref="BV28">
    <cfRule type="expression" dxfId="2607" priority="6541">
      <formula>BX29="DEF"</formula>
    </cfRule>
    <cfRule type="expression" dxfId="2608" priority="6542">
      <formula>BX29="TE"</formula>
    </cfRule>
    <cfRule type="expression" dxfId="2609" priority="6543">
      <formula>BX29="WR"</formula>
    </cfRule>
    <cfRule type="expression" dxfId="2610" priority="6544">
      <formula>BX29="RB"</formula>
    </cfRule>
    <cfRule type="expression" dxfId="2611" priority="6545">
      <formula>BX29="QB"</formula>
    </cfRule>
  </conditionalFormatting>
  <conditionalFormatting sqref="BV29">
    <cfRule type="expression" dxfId="2602" priority="6546">
      <formula>BX29="K"</formula>
    </cfRule>
    <cfRule type="expression" dxfId="2603" priority="6547">
      <formula>BX29="DEF"</formula>
    </cfRule>
    <cfRule type="expression" dxfId="2604" priority="6548">
      <formula>BX29="TE"</formula>
    </cfRule>
    <cfRule type="expression" dxfId="2605" priority="6549">
      <formula>BX29="WR"</formula>
    </cfRule>
    <cfRule type="expression" dxfId="2606" priority="6550">
      <formula>BX29="RB"</formula>
    </cfRule>
    <cfRule type="expression" dxfId="2601" priority="6551">
      <formula>BX29="QB"</formula>
    </cfRule>
  </conditionalFormatting>
  <conditionalFormatting sqref="BV31">
    <cfRule type="expression" dxfId="2597" priority="6571">
      <formula>BX32="DEF"</formula>
    </cfRule>
    <cfRule type="expression" dxfId="2598" priority="6572">
      <formula>BX32="TE"</formula>
    </cfRule>
    <cfRule type="expression" dxfId="2599" priority="6573">
      <formula>BX32="WR"</formula>
    </cfRule>
    <cfRule type="expression" dxfId="2600" priority="6574">
      <formula>BX32="RB"</formula>
    </cfRule>
    <cfRule type="expression" dxfId="2596" priority="6575">
      <formula>BX32="QB"</formula>
    </cfRule>
  </conditionalFormatting>
  <conditionalFormatting sqref="BV32">
    <cfRule type="expression" dxfId="2593" priority="6576">
      <formula>BX32="K"</formula>
    </cfRule>
    <cfRule type="expression" dxfId="2591" priority="6577">
      <formula>BX32="DEF"</formula>
    </cfRule>
    <cfRule type="expression" dxfId="2590" priority="6578">
      <formula>BX32="TE"</formula>
    </cfRule>
    <cfRule type="expression" dxfId="2592" priority="6579">
      <formula>BX32="WR"</formula>
    </cfRule>
    <cfRule type="expression" dxfId="2595" priority="6580">
      <formula>BX32="RB"</formula>
    </cfRule>
    <cfRule type="expression" dxfId="2594" priority="6581">
      <formula>BX32="QB"</formula>
    </cfRule>
  </conditionalFormatting>
  <conditionalFormatting sqref="BV34">
    <cfRule type="expression" dxfId="2589" priority="6601">
      <formula>BX35="DEF"</formula>
    </cfRule>
    <cfRule type="expression" dxfId="2588" priority="6602">
      <formula>BX35="TE"</formula>
    </cfRule>
    <cfRule type="expression" dxfId="2587" priority="6603">
      <formula>BX35="WR"</formula>
    </cfRule>
    <cfRule type="expression" dxfId="2586" priority="6604">
      <formula>BX35="RB"</formula>
    </cfRule>
    <cfRule type="expression" dxfId="2585" priority="6605">
      <formula>BX35="QB"</formula>
    </cfRule>
  </conditionalFormatting>
  <conditionalFormatting sqref="BV35">
    <cfRule type="expression" dxfId="2584" priority="6606">
      <formula>BX35="K"</formula>
    </cfRule>
    <cfRule type="expression" dxfId="2583" priority="6607">
      <formula>BX35="DEF"</formula>
    </cfRule>
    <cfRule type="expression" dxfId="2582" priority="6608">
      <formula>BX35="TE"</formula>
    </cfRule>
    <cfRule type="expression" dxfId="2581" priority="6609">
      <formula>BX35="WR"</formula>
    </cfRule>
    <cfRule type="expression" dxfId="2580" priority="6610">
      <formula>BX35="RB"</formula>
    </cfRule>
    <cfRule type="expression" dxfId="2579" priority="6611">
      <formula>BX35="QB"</formula>
    </cfRule>
  </conditionalFormatting>
  <conditionalFormatting sqref="BV37">
    <cfRule type="expression" dxfId="2578" priority="6631">
      <formula>BX38="DEF"</formula>
    </cfRule>
    <cfRule type="expression" dxfId="2576" priority="6632">
      <formula>BX38="TE"</formula>
    </cfRule>
    <cfRule type="expression" dxfId="2577" priority="6633">
      <formula>BX38="WR"</formula>
    </cfRule>
    <cfRule type="expression" dxfId="2575" priority="6634">
      <formula>BX38="RB"</formula>
    </cfRule>
    <cfRule type="expression" dxfId="2574" priority="6635">
      <formula>BX38="QB"</formula>
    </cfRule>
  </conditionalFormatting>
  <conditionalFormatting sqref="BV38">
    <cfRule type="expression" dxfId="2573" priority="6636">
      <formula>BX38="K"</formula>
    </cfRule>
    <cfRule type="expression" dxfId="2572" priority="6637">
      <formula>BX38="DEF"</formula>
    </cfRule>
    <cfRule type="expression" dxfId="2571" priority="6638">
      <formula>BX38="TE"</formula>
    </cfRule>
    <cfRule type="expression" dxfId="2570" priority="6639">
      <formula>BX38="WR"</formula>
    </cfRule>
    <cfRule type="expression" dxfId="2569" priority="6640">
      <formula>BX38="RB"</formula>
    </cfRule>
    <cfRule type="expression" dxfId="2568" priority="6641">
      <formula>BX38="QB"</formula>
    </cfRule>
  </conditionalFormatting>
  <conditionalFormatting sqref="BV40">
    <cfRule type="expression" dxfId="2567" priority="6661">
      <formula>BX41="DEF"</formula>
    </cfRule>
    <cfRule type="expression" dxfId="2563" priority="6662">
      <formula>BX41="TE"</formula>
    </cfRule>
    <cfRule type="expression" dxfId="2564" priority="6663">
      <formula>BX41="WR"</formula>
    </cfRule>
    <cfRule type="expression" dxfId="2565" priority="6664">
      <formula>BX41="RB"</formula>
    </cfRule>
    <cfRule type="expression" dxfId="2566" priority="6665">
      <formula>BX41="QB"</formula>
    </cfRule>
  </conditionalFormatting>
  <conditionalFormatting sqref="BV41">
    <cfRule type="expression" dxfId="2557" priority="6666">
      <formula>BX41="K"</formula>
    </cfRule>
    <cfRule type="expression" dxfId="2559" priority="6667">
      <formula>BX41="DEF"</formula>
    </cfRule>
    <cfRule type="expression" dxfId="2560" priority="6668">
      <formula>BX41="TE"</formula>
    </cfRule>
    <cfRule type="expression" dxfId="2561" priority="6669">
      <formula>BX41="WR"</formula>
    </cfRule>
    <cfRule type="expression" dxfId="2562" priority="6670">
      <formula>BX41="RB"</formula>
    </cfRule>
    <cfRule type="expression" dxfId="2558" priority="6671">
      <formula>BX41="QB"</formula>
    </cfRule>
  </conditionalFormatting>
  <conditionalFormatting sqref="BV43">
    <cfRule type="expression" dxfId="2554" priority="6691">
      <formula>BX44="DEF"</formula>
    </cfRule>
    <cfRule type="expression" dxfId="2553" priority="6692">
      <formula>BX44="TE"</formula>
    </cfRule>
    <cfRule type="expression" dxfId="2555" priority="6693">
      <formula>BX44="WR"</formula>
    </cfRule>
    <cfRule type="expression" dxfId="2552" priority="6694">
      <formula>BX44="RB"</formula>
    </cfRule>
    <cfRule type="expression" dxfId="2556" priority="6695">
      <formula>BX44="QB"</formula>
    </cfRule>
  </conditionalFormatting>
  <conditionalFormatting sqref="BV44">
    <cfRule type="expression" dxfId="2546" priority="6696">
      <formula>BX44="K"</formula>
    </cfRule>
    <cfRule type="expression" dxfId="2547" priority="6697">
      <formula>BX44="DEF"</formula>
    </cfRule>
    <cfRule type="expression" dxfId="2548" priority="6698">
      <formula>BX44="TE"</formula>
    </cfRule>
    <cfRule type="expression" dxfId="2549" priority="6699">
      <formula>BX44="WR"</formula>
    </cfRule>
    <cfRule type="expression" dxfId="2551" priority="6700">
      <formula>BX44="RB"</formula>
    </cfRule>
    <cfRule type="expression" dxfId="2550" priority="6701">
      <formula>BX44="QB"</formula>
    </cfRule>
  </conditionalFormatting>
  <conditionalFormatting sqref="BV46">
    <cfRule type="expression" dxfId="2544" priority="6721">
      <formula>BX47="DEF"</formula>
    </cfRule>
    <cfRule type="expression" dxfId="2545" priority="6722">
      <formula>BX47="TE"</formula>
    </cfRule>
    <cfRule type="expression" dxfId="2541" priority="6723">
      <formula>BX47="WR"</formula>
    </cfRule>
    <cfRule type="expression" dxfId="2542" priority="6724">
      <formula>BX47="RB"</formula>
    </cfRule>
    <cfRule type="expression" dxfId="2543" priority="6725">
      <formula>BX47="QB"</formula>
    </cfRule>
  </conditionalFormatting>
  <conditionalFormatting sqref="BV47">
    <cfRule type="expression" dxfId="2535" priority="6726">
      <formula>BX47="K"</formula>
    </cfRule>
    <cfRule type="expression" dxfId="2536" priority="6727">
      <formula>BX47="DEF"</formula>
    </cfRule>
    <cfRule type="expression" dxfId="2537" priority="6728">
      <formula>BX47="TE"</formula>
    </cfRule>
    <cfRule type="expression" dxfId="2538" priority="6729">
      <formula>BX47="WR"</formula>
    </cfRule>
    <cfRule type="expression" dxfId="2539" priority="6730">
      <formula>BX47="RB"</formula>
    </cfRule>
    <cfRule type="expression" dxfId="2540" priority="6731">
      <formula>BX47="QB"</formula>
    </cfRule>
  </conditionalFormatting>
  <conditionalFormatting sqref="BV4:BY4">
    <cfRule type="expression" dxfId="2534" priority="6330">
      <formula>BX5="K"</formula>
    </cfRule>
  </conditionalFormatting>
  <conditionalFormatting sqref="BV7:BY7">
    <cfRule type="expression" dxfId="2533" priority="6360">
      <formula>BX8="K"</formula>
    </cfRule>
  </conditionalFormatting>
  <conditionalFormatting sqref="BV10:BY10">
    <cfRule type="expression" dxfId="2532" priority="6390">
      <formula>BX11="K"</formula>
    </cfRule>
  </conditionalFormatting>
  <conditionalFormatting sqref="BV13:BY13">
    <cfRule type="expression" dxfId="2531" priority="6420">
      <formula>BX14="K"</formula>
    </cfRule>
  </conditionalFormatting>
  <conditionalFormatting sqref="BV16:BY16">
    <cfRule type="expression" dxfId="2530" priority="6450">
      <formula>BX17="K"</formula>
    </cfRule>
  </conditionalFormatting>
  <conditionalFormatting sqref="BV19:BY19">
    <cfRule type="expression" dxfId="2529" priority="6480">
      <formula>BX20="K"</formula>
    </cfRule>
  </conditionalFormatting>
  <conditionalFormatting sqref="BV22:BY22">
    <cfRule type="expression" dxfId="2528" priority="6510">
      <formula>BX23="K"</formula>
    </cfRule>
  </conditionalFormatting>
  <conditionalFormatting sqref="BV25:BY25">
    <cfRule type="expression" dxfId="2527" priority="6540">
      <formula>BX26="K"</formula>
    </cfRule>
  </conditionalFormatting>
  <conditionalFormatting sqref="BV28:BY28">
    <cfRule type="expression" dxfId="2526" priority="6570">
      <formula>BX29="K"</formula>
    </cfRule>
  </conditionalFormatting>
  <conditionalFormatting sqref="BV31:BY31">
    <cfRule type="expression" dxfId="2525" priority="6600">
      <formula>BX32="K"</formula>
    </cfRule>
  </conditionalFormatting>
  <conditionalFormatting sqref="BV34:BY34">
    <cfRule type="expression" dxfId="2524" priority="6630">
      <formula>BX35="K"</formula>
    </cfRule>
  </conditionalFormatting>
  <conditionalFormatting sqref="BV37:BY37">
    <cfRule type="expression" dxfId="2523" priority="6660">
      <formula>BX38="K"</formula>
    </cfRule>
  </conditionalFormatting>
  <conditionalFormatting sqref="BV40:BY40">
    <cfRule type="expression" dxfId="2522" priority="6690">
      <formula>BX41="K"</formula>
    </cfRule>
  </conditionalFormatting>
  <conditionalFormatting sqref="BV43:BY43">
    <cfRule type="expression" dxfId="2521" priority="6720">
      <formula>BX44="K"</formula>
    </cfRule>
  </conditionalFormatting>
  <conditionalFormatting sqref="BV46:BY46">
    <cfRule type="expression" dxfId="2520" priority="6750">
      <formula>BX47="K"</formula>
    </cfRule>
  </conditionalFormatting>
  <conditionalFormatting sqref="BW5">
    <cfRule type="expression" dxfId="2514" priority="6312">
      <formula>BX5="K"</formula>
    </cfRule>
    <cfRule type="expression" dxfId="2519" priority="6313">
      <formula>BX5="DEF"</formula>
    </cfRule>
    <cfRule type="expression" dxfId="2518" priority="6314">
      <formula>BX5="TE"</formula>
    </cfRule>
    <cfRule type="expression" dxfId="2517" priority="6315">
      <formula>BX5="WR"</formula>
    </cfRule>
    <cfRule type="expression" dxfId="2516" priority="6316">
      <formula>BX5="RB"</formula>
    </cfRule>
    <cfRule type="expression" dxfId="2515" priority="6317">
      <formula>BX5="QB"</formula>
    </cfRule>
  </conditionalFormatting>
  <conditionalFormatting sqref="BW8">
    <cfRule type="expression" dxfId="2512" priority="6342">
      <formula>BX8="K"</formula>
    </cfRule>
    <cfRule type="expression" dxfId="2511" priority="6343">
      <formula>BX8="DEF"</formula>
    </cfRule>
    <cfRule type="expression" dxfId="2513" priority="6344">
      <formula>BX8="TE"</formula>
    </cfRule>
    <cfRule type="expression" dxfId="2509" priority="6345">
      <formula>BX8="WR"</formula>
    </cfRule>
    <cfRule type="expression" dxfId="2510" priority="6346">
      <formula>BX8="RB"</formula>
    </cfRule>
    <cfRule type="expression" dxfId="2508" priority="6347">
      <formula>BX8="QB"</formula>
    </cfRule>
  </conditionalFormatting>
  <conditionalFormatting sqref="BW11">
    <cfRule type="expression" dxfId="2503" priority="6372">
      <formula>BX11="K"</formula>
    </cfRule>
    <cfRule type="expression" dxfId="2507" priority="6373">
      <formula>BX11="DEF"</formula>
    </cfRule>
    <cfRule type="expression" dxfId="2506" priority="6374">
      <formula>BX11="TE"</formula>
    </cfRule>
    <cfRule type="expression" dxfId="2505" priority="6375">
      <formula>BX11="WR"</formula>
    </cfRule>
    <cfRule type="expression" dxfId="2502" priority="6376">
      <formula>BX11="RB"</formula>
    </cfRule>
    <cfRule type="expression" dxfId="2504" priority="6377">
      <formula>BX11="QB"</formula>
    </cfRule>
  </conditionalFormatting>
  <conditionalFormatting sqref="BW14">
    <cfRule type="expression" dxfId="2501" priority="6402">
      <formula>BX14="K"</formula>
    </cfRule>
    <cfRule type="expression" dxfId="2500" priority="6403">
      <formula>BX14="DEF"</formula>
    </cfRule>
    <cfRule type="expression" dxfId="2499" priority="6404">
      <formula>BX14="TE"</formula>
    </cfRule>
    <cfRule type="expression" dxfId="2498" priority="6405">
      <formula>BX14="WR"</formula>
    </cfRule>
    <cfRule type="expression" dxfId="2497" priority="6406">
      <formula>BX14="RB"</formula>
    </cfRule>
    <cfRule type="expression" dxfId="2496" priority="6407">
      <formula>BX14="QB"</formula>
    </cfRule>
  </conditionalFormatting>
  <conditionalFormatting sqref="BW17">
    <cfRule type="expression" dxfId="2490" priority="6432">
      <formula>BX17="K"</formula>
    </cfRule>
    <cfRule type="expression" dxfId="2495" priority="6433">
      <formula>BX17="DEF"</formula>
    </cfRule>
    <cfRule type="expression" dxfId="2491" priority="6434">
      <formula>BX17="TE"</formula>
    </cfRule>
    <cfRule type="expression" dxfId="2494" priority="6435">
      <formula>BX17="WR"</formula>
    </cfRule>
    <cfRule type="expression" dxfId="2492" priority="6436">
      <formula>BX17="RB"</formula>
    </cfRule>
    <cfRule type="expression" dxfId="2493" priority="6437">
      <formula>BX17="QB"</formula>
    </cfRule>
  </conditionalFormatting>
  <conditionalFormatting sqref="BW20">
    <cfRule type="expression" dxfId="2485" priority="6462">
      <formula>BX20="K"</formula>
    </cfRule>
    <cfRule type="expression" dxfId="2489" priority="6463">
      <formula>BX20="DEF"</formula>
    </cfRule>
    <cfRule type="expression" dxfId="2484" priority="6464">
      <formula>BX20="TE"</formula>
    </cfRule>
    <cfRule type="expression" dxfId="2488" priority="6465">
      <formula>BX20="WR"</formula>
    </cfRule>
    <cfRule type="expression" dxfId="2486" priority="6466">
      <formula>BX20="RB"</formula>
    </cfRule>
    <cfRule type="expression" dxfId="2487" priority="6467">
      <formula>BX20="QB"</formula>
    </cfRule>
  </conditionalFormatting>
  <conditionalFormatting sqref="BW23">
    <cfRule type="expression" dxfId="2483" priority="6492">
      <formula>BX23="K"</formula>
    </cfRule>
    <cfRule type="expression" dxfId="2482" priority="6493">
      <formula>BX23="DEF"</formula>
    </cfRule>
    <cfRule type="expression" dxfId="2481" priority="6494">
      <formula>BX23="TE"</formula>
    </cfRule>
    <cfRule type="expression" dxfId="2480" priority="6495">
      <formula>BX23="WR"</formula>
    </cfRule>
    <cfRule type="expression" dxfId="2478" priority="6496">
      <formula>BX23="RB"</formula>
    </cfRule>
    <cfRule type="expression" dxfId="2479" priority="6497">
      <formula>BX23="QB"</formula>
    </cfRule>
  </conditionalFormatting>
  <conditionalFormatting sqref="BW26">
    <cfRule type="expression" dxfId="2473" priority="6522">
      <formula>BX26="K"</formula>
    </cfRule>
    <cfRule type="expression" dxfId="2476" priority="6523">
      <formula>BX26="DEF"</formula>
    </cfRule>
    <cfRule type="expression" dxfId="2477" priority="6524">
      <formula>BX26="TE"</formula>
    </cfRule>
    <cfRule type="expression" dxfId="2475" priority="6525">
      <formula>BX26="WR"</formula>
    </cfRule>
    <cfRule type="expression" dxfId="2472" priority="6526">
      <formula>BX26="RB"</formula>
    </cfRule>
    <cfRule type="expression" dxfId="2474" priority="6527">
      <formula>BX26="QB"</formula>
    </cfRule>
  </conditionalFormatting>
  <conditionalFormatting sqref="BW29">
    <cfRule type="expression" dxfId="2470" priority="6552">
      <formula>BX29="K"</formula>
    </cfRule>
    <cfRule type="expression" dxfId="2469" priority="6553">
      <formula>BX29="DEF"</formula>
    </cfRule>
    <cfRule type="expression" dxfId="2466" priority="6554">
      <formula>BX29="TE"</formula>
    </cfRule>
    <cfRule type="expression" dxfId="2467" priority="6555">
      <formula>BX29="WR"</formula>
    </cfRule>
    <cfRule type="expression" dxfId="2471" priority="6556">
      <formula>BX29="RB"</formula>
    </cfRule>
    <cfRule type="expression" dxfId="2468" priority="6557">
      <formula>BX29="QB"</formula>
    </cfRule>
  </conditionalFormatting>
  <conditionalFormatting sqref="BW32">
    <cfRule type="expression" dxfId="2465" priority="6582">
      <formula>BX32="K"</formula>
    </cfRule>
    <cfRule type="expression" dxfId="2464" priority="6583">
      <formula>BX32="DEF"</formula>
    </cfRule>
    <cfRule type="expression" dxfId="2463" priority="6584">
      <formula>BX32="TE"</formula>
    </cfRule>
    <cfRule type="expression" dxfId="2462" priority="6585">
      <formula>BX32="WR"</formula>
    </cfRule>
    <cfRule type="expression" dxfId="2461" priority="6586">
      <formula>BX32="RB"</formula>
    </cfRule>
    <cfRule type="expression" dxfId="2460" priority="6587">
      <formula>BX32="QB"</formula>
    </cfRule>
  </conditionalFormatting>
  <conditionalFormatting sqref="BW35">
    <cfRule type="expression" dxfId="2454" priority="6612">
      <formula>BX35="K"</formula>
    </cfRule>
    <cfRule type="expression" dxfId="2455" priority="6613">
      <formula>BX35="DEF"</formula>
    </cfRule>
    <cfRule type="expression" dxfId="2456" priority="6614">
      <formula>BX35="TE"</formula>
    </cfRule>
    <cfRule type="expression" dxfId="2457" priority="6615">
      <formula>BX35="WR"</formula>
    </cfRule>
    <cfRule type="expression" dxfId="2458" priority="6616">
      <formula>BX35="RB"</formula>
    </cfRule>
    <cfRule type="expression" dxfId="2459" priority="6617">
      <formula>BX35="QB"</formula>
    </cfRule>
  </conditionalFormatting>
  <conditionalFormatting sqref="BW38">
    <cfRule type="expression" dxfId="2449" priority="6642">
      <formula>BX38="K"</formula>
    </cfRule>
    <cfRule type="expression" dxfId="2450" priority="6643">
      <formula>BX38="DEF"</formula>
    </cfRule>
    <cfRule type="expression" dxfId="2448" priority="6644">
      <formula>BX38="TE"</formula>
    </cfRule>
    <cfRule type="expression" dxfId="2453" priority="6645">
      <formula>BX38="WR"</formula>
    </cfRule>
    <cfRule type="expression" dxfId="2452" priority="6646">
      <formula>BX38="RB"</formula>
    </cfRule>
    <cfRule type="expression" dxfId="2451" priority="6647">
      <formula>BX38="QB"</formula>
    </cfRule>
  </conditionalFormatting>
  <conditionalFormatting sqref="BW41">
    <cfRule type="expression" dxfId="2447" priority="6672">
      <formula>BX41="K"</formula>
    </cfRule>
    <cfRule type="expression" dxfId="2442" priority="6673">
      <formula>BX41="DEF"</formula>
    </cfRule>
    <cfRule type="expression" dxfId="2446" priority="6674">
      <formula>BX41="TE"</formula>
    </cfRule>
    <cfRule type="expression" dxfId="2445" priority="6675">
      <formula>BX41="WR"</formula>
    </cfRule>
    <cfRule type="expression" dxfId="2444" priority="6676">
      <formula>BX41="RB"</formula>
    </cfRule>
    <cfRule type="expression" dxfId="2443" priority="6677">
      <formula>BX41="QB"</formula>
    </cfRule>
  </conditionalFormatting>
  <conditionalFormatting sqref="BW44">
    <cfRule type="expression" dxfId="2440" priority="6702">
      <formula>BX44="K"</formula>
    </cfRule>
    <cfRule type="expression" dxfId="2439" priority="6703">
      <formula>BX44="DEF"</formula>
    </cfRule>
    <cfRule type="expression" dxfId="2441" priority="6704">
      <formula>BX44="TE"</formula>
    </cfRule>
    <cfRule type="expression" dxfId="2438" priority="6705">
      <formula>BX44="WR"</formula>
    </cfRule>
    <cfRule type="expression" dxfId="2437" priority="6706">
      <formula>BX44="RB"</formula>
    </cfRule>
    <cfRule type="expression" dxfId="2436" priority="6707">
      <formula>BX44="QB"</formula>
    </cfRule>
  </conditionalFormatting>
  <conditionalFormatting sqref="BW47">
    <cfRule type="expression" dxfId="2434" priority="6732">
      <formula>BX47="K"</formula>
    </cfRule>
    <cfRule type="expression" dxfId="2435" priority="6733">
      <formula>BX47="DEF"</formula>
    </cfRule>
    <cfRule type="expression" dxfId="2430" priority="6734">
      <formula>BX47="TE"</formula>
    </cfRule>
    <cfRule type="expression" dxfId="2431" priority="6735">
      <formula>BX47="WR"</formula>
    </cfRule>
    <cfRule type="expression" dxfId="2432" priority="6736">
      <formula>BX47="RB"</formula>
    </cfRule>
    <cfRule type="expression" dxfId="2433" priority="6737">
      <formula>BX47="QB"</formula>
    </cfRule>
  </conditionalFormatting>
  <conditionalFormatting sqref="BX5">
    <cfRule type="expression" dxfId="2424" priority="6318">
      <formula>BX5="K"</formula>
    </cfRule>
    <cfRule type="expression" dxfId="2425" priority="6319">
      <formula>BX5="DEF"</formula>
    </cfRule>
    <cfRule type="expression" dxfId="2429" priority="6320">
      <formula>BX5="TE"</formula>
    </cfRule>
    <cfRule type="expression" dxfId="2426" priority="6321">
      <formula>BX5="WR"</formula>
    </cfRule>
    <cfRule type="expression" dxfId="2427" priority="6322">
      <formula>BX5="RB"</formula>
    </cfRule>
    <cfRule type="expression" dxfId="2428" priority="6323">
      <formula>BX5="QB"</formula>
    </cfRule>
  </conditionalFormatting>
  <conditionalFormatting sqref="BX8">
    <cfRule type="expression" dxfId="2418" priority="6348">
      <formula>BX8="K"</formula>
    </cfRule>
    <cfRule type="expression" dxfId="2419" priority="6349">
      <formula>BX8="DEF"</formula>
    </cfRule>
    <cfRule type="expression" dxfId="2420" priority="6350">
      <formula>BX8="TE"</formula>
    </cfRule>
    <cfRule type="expression" dxfId="2421" priority="6351">
      <formula>BX8="WR"</formula>
    </cfRule>
    <cfRule type="expression" dxfId="2422" priority="6352">
      <formula>BX8="RB"</formula>
    </cfRule>
    <cfRule type="expression" dxfId="2423" priority="6353">
      <formula>BX8="QB"</formula>
    </cfRule>
  </conditionalFormatting>
  <conditionalFormatting sqref="BX11">
    <cfRule type="expression" dxfId="2417" priority="6378">
      <formula>BX11="K"</formula>
    </cfRule>
    <cfRule type="expression" dxfId="2416" priority="6379">
      <formula>BX11="DEF"</formula>
    </cfRule>
    <cfRule type="expression" dxfId="2412" priority="6380">
      <formula>BX11="TE"</formula>
    </cfRule>
    <cfRule type="expression" dxfId="2413" priority="6381">
      <formula>BX11="WR"</formula>
    </cfRule>
    <cfRule type="expression" dxfId="2414" priority="6382">
      <formula>BX11="RB"</formula>
    </cfRule>
    <cfRule type="expression" dxfId="2415" priority="6383">
      <formula>BX11="QB"</formula>
    </cfRule>
  </conditionalFormatting>
  <conditionalFormatting sqref="BX14">
    <cfRule type="expression" dxfId="2407" priority="6408">
      <formula>BX14="K"</formula>
    </cfRule>
    <cfRule type="expression" dxfId="2408" priority="6409">
      <formula>BX14="DEF"</formula>
    </cfRule>
    <cfRule type="expression" dxfId="2411" priority="6410">
      <formula>BX14="TE"</formula>
    </cfRule>
    <cfRule type="expression" dxfId="2409" priority="6411">
      <formula>BX14="WR"</formula>
    </cfRule>
    <cfRule type="expression" dxfId="2410" priority="6412">
      <formula>BX14="RB"</formula>
    </cfRule>
    <cfRule type="expression" dxfId="2406" priority="6413">
      <formula>BX14="QB"</formula>
    </cfRule>
  </conditionalFormatting>
  <conditionalFormatting sqref="BX17">
    <cfRule type="expression" dxfId="2400" priority="6438">
      <formula>BX17="K"</formula>
    </cfRule>
    <cfRule type="expression" dxfId="2401" priority="6439">
      <formula>BX17="DEF"</formula>
    </cfRule>
    <cfRule type="expression" dxfId="2405" priority="6440">
      <formula>BX17="TE"</formula>
    </cfRule>
    <cfRule type="expression" dxfId="2404" priority="6441">
      <formula>BX17="WR"</formula>
    </cfRule>
    <cfRule type="expression" dxfId="2403" priority="6442">
      <formula>BX17="RB"</formula>
    </cfRule>
    <cfRule type="expression" dxfId="2402" priority="6443">
      <formula>BX17="QB"</formula>
    </cfRule>
  </conditionalFormatting>
  <conditionalFormatting sqref="BX20">
    <cfRule type="expression" dxfId="2398" priority="6468">
      <formula>BX20="K"</formula>
    </cfRule>
    <cfRule type="expression" dxfId="2394" priority="6469">
      <formula>BX20="DEF"</formula>
    </cfRule>
    <cfRule type="expression" dxfId="2399" priority="6470">
      <formula>BX20="TE"</formula>
    </cfRule>
    <cfRule type="expression" dxfId="2397" priority="6471">
      <formula>BX20="WR"</formula>
    </cfRule>
    <cfRule type="expression" dxfId="2396" priority="6472">
      <formula>BX20="RB"</formula>
    </cfRule>
    <cfRule type="expression" dxfId="2395" priority="6473">
      <formula>BX20="QB"</formula>
    </cfRule>
  </conditionalFormatting>
  <conditionalFormatting sqref="BX23">
    <cfRule type="expression" dxfId="2393" priority="6498">
      <formula>BX23="K"</formula>
    </cfRule>
    <cfRule type="expression" dxfId="2391" priority="6499">
      <formula>BX23="DEF"</formula>
    </cfRule>
    <cfRule type="expression" dxfId="2388" priority="6500">
      <formula>BX23="TE"</formula>
    </cfRule>
    <cfRule type="expression" dxfId="2392" priority="6501">
      <formula>BX23="WR"</formula>
    </cfRule>
    <cfRule type="expression" dxfId="2389" priority="6502">
      <formula>BX23="RB"</formula>
    </cfRule>
    <cfRule type="expression" dxfId="2390" priority="6503">
      <formula>BX23="QB"</formula>
    </cfRule>
  </conditionalFormatting>
  <conditionalFormatting sqref="BX26">
    <cfRule type="expression" dxfId="2385" priority="6528">
      <formula>BX26="K"</formula>
    </cfRule>
    <cfRule type="expression" dxfId="2384" priority="6529">
      <formula>BX26="DEF"</formula>
    </cfRule>
    <cfRule type="expression" dxfId="2383" priority="6530">
      <formula>BX26="TE"</formula>
    </cfRule>
    <cfRule type="expression" dxfId="2382" priority="6531">
      <formula>BX26="WR"</formula>
    </cfRule>
    <cfRule type="expression" dxfId="2386" priority="6532">
      <formula>BX26="RB"</formula>
    </cfRule>
    <cfRule type="expression" dxfId="2387" priority="6533">
      <formula>BX26="QB"</formula>
    </cfRule>
  </conditionalFormatting>
  <conditionalFormatting sqref="BX29">
    <cfRule type="expression" dxfId="2381" priority="6558">
      <formula>BX29="K"</formula>
    </cfRule>
    <cfRule type="expression" dxfId="2380" priority="6559">
      <formula>BX29="DEF"</formula>
    </cfRule>
    <cfRule type="expression" dxfId="2379" priority="6560">
      <formula>BX29="TE"</formula>
    </cfRule>
    <cfRule type="expression" dxfId="2378" priority="6561">
      <formula>BX29="WR"</formula>
    </cfRule>
    <cfRule type="expression" dxfId="2377" priority="6562">
      <formula>BX29="RB"</formula>
    </cfRule>
    <cfRule type="expression" dxfId="2376" priority="6563">
      <formula>BX29="QB"</formula>
    </cfRule>
  </conditionalFormatting>
  <conditionalFormatting sqref="BX32">
    <cfRule type="expression" dxfId="2375" priority="6588">
      <formula>BX32="K"</formula>
    </cfRule>
    <cfRule type="expression" dxfId="2371" priority="6589">
      <formula>BX32="DEF"</formula>
    </cfRule>
    <cfRule type="expression" dxfId="2370" priority="6590">
      <formula>BX32="TE"</formula>
    </cfRule>
    <cfRule type="expression" dxfId="2374" priority="6591">
      <formula>BX32="WR"</formula>
    </cfRule>
    <cfRule type="expression" dxfId="2373" priority="6592">
      <formula>BX32="RB"</formula>
    </cfRule>
    <cfRule type="expression" dxfId="2372" priority="6593">
      <formula>BX32="QB"</formula>
    </cfRule>
  </conditionalFormatting>
  <conditionalFormatting sqref="BX35">
    <cfRule type="expression" dxfId="2366" priority="6618">
      <formula>BX35="K"</formula>
    </cfRule>
    <cfRule type="expression" dxfId="2367" priority="6619">
      <formula>BX35="DEF"</formula>
    </cfRule>
    <cfRule type="expression" dxfId="2368" priority="6620">
      <formula>BX35="TE"</formula>
    </cfRule>
    <cfRule type="expression" dxfId="2364" priority="6621">
      <formula>BX35="WR"</formula>
    </cfRule>
    <cfRule type="expression" dxfId="2365" priority="6622">
      <formula>BX35="RB"</formula>
    </cfRule>
    <cfRule type="expression" dxfId="2369" priority="6623">
      <formula>BX35="QB"</formula>
    </cfRule>
  </conditionalFormatting>
  <conditionalFormatting sqref="BX38">
    <cfRule type="expression" dxfId="2363" priority="6648">
      <formula>BX38="K"</formula>
    </cfRule>
    <cfRule type="expression" dxfId="2362" priority="6649">
      <formula>BX38="DEF"</formula>
    </cfRule>
    <cfRule type="expression" dxfId="2361" priority="6650">
      <formula>BX38="TE"</formula>
    </cfRule>
    <cfRule type="expression" dxfId="2360" priority="6651">
      <formula>BX38="WR"</formula>
    </cfRule>
    <cfRule type="expression" dxfId="2359" priority="6652">
      <formula>BX38="RB"</formula>
    </cfRule>
    <cfRule type="expression" dxfId="2358" priority="6653">
      <formula>BX38="QB"</formula>
    </cfRule>
  </conditionalFormatting>
  <conditionalFormatting sqref="BX41">
    <cfRule type="expression" dxfId="2354" priority="6678">
      <formula>BX41="K"</formula>
    </cfRule>
    <cfRule type="expression" dxfId="2355" priority="6679">
      <formula>BX41="DEF"</formula>
    </cfRule>
    <cfRule type="expression" dxfId="2356" priority="6680">
      <formula>BX41="TE"</formula>
    </cfRule>
    <cfRule type="expression" dxfId="2357" priority="6681">
      <formula>BX41="WR"</formula>
    </cfRule>
    <cfRule type="expression" dxfId="2353" priority="6682">
      <formula>BX41="RB"</formula>
    </cfRule>
    <cfRule type="expression" dxfId="2352" priority="6683">
      <formula>BX41="QB"</formula>
    </cfRule>
  </conditionalFormatting>
  <conditionalFormatting sqref="BX44">
    <cfRule type="expression" dxfId="2346" priority="6708">
      <formula>BX44="K"</formula>
    </cfRule>
    <cfRule type="expression" dxfId="2347" priority="6709">
      <formula>BX44="DEF"</formula>
    </cfRule>
    <cfRule type="expression" dxfId="2348" priority="6710">
      <formula>BX44="TE"</formula>
    </cfRule>
    <cfRule type="expression" dxfId="2349" priority="6711">
      <formula>BX44="WR"</formula>
    </cfRule>
    <cfRule type="expression" dxfId="2350" priority="6712">
      <formula>BX44="RB"</formula>
    </cfRule>
    <cfRule type="expression" dxfId="2351" priority="6713">
      <formula>BX44="QB"</formula>
    </cfRule>
  </conditionalFormatting>
  <conditionalFormatting sqref="BX47">
    <cfRule type="expression" dxfId="2343" priority="6738">
      <formula>BX47="K"</formula>
    </cfRule>
    <cfRule type="expression" dxfId="2344" priority="6739">
      <formula>BX47="DEF"</formula>
    </cfRule>
    <cfRule type="expression" dxfId="2345" priority="6740">
      <formula>BX47="TE"</formula>
    </cfRule>
    <cfRule type="expression" dxfId="2341" priority="6741">
      <formula>BX47="WR"</formula>
    </cfRule>
    <cfRule type="expression" dxfId="2340" priority="6742">
      <formula>BX47="RB"</formula>
    </cfRule>
    <cfRule type="expression" dxfId="2342" priority="6743">
      <formula>BX47="QB"</formula>
    </cfRule>
  </conditionalFormatting>
  <conditionalFormatting sqref="BY5">
    <cfRule type="expression" dxfId="2336" priority="6324">
      <formula>BX5="K"</formula>
    </cfRule>
    <cfRule type="expression" dxfId="2335" priority="6325">
      <formula>BX5="DEF"</formula>
    </cfRule>
    <cfRule type="expression" dxfId="2334" priority="6326">
      <formula>BX5="TE"</formula>
    </cfRule>
    <cfRule type="expression" dxfId="2339" priority="6327">
      <formula>BX5="WR"</formula>
    </cfRule>
    <cfRule type="expression" dxfId="2338" priority="6328">
      <formula>BX5="RB"</formula>
    </cfRule>
    <cfRule type="expression" dxfId="2337" priority="6329">
      <formula>BX5="QB"</formula>
    </cfRule>
  </conditionalFormatting>
  <conditionalFormatting sqref="BY8">
    <cfRule type="expression" dxfId="2333" priority="6354">
      <formula>BX8="K"</formula>
    </cfRule>
    <cfRule type="expression" dxfId="2328" priority="6355">
      <formula>BX8="DEF"</formula>
    </cfRule>
    <cfRule type="expression" dxfId="2332" priority="6356">
      <formula>BX8="TE"</formula>
    </cfRule>
    <cfRule type="expression" dxfId="2331" priority="6357">
      <formula>BX8="WR"</formula>
    </cfRule>
    <cfRule type="expression" dxfId="2330" priority="6358">
      <formula>BX8="RB"</formula>
    </cfRule>
    <cfRule type="expression" dxfId="2329" priority="6359">
      <formula>BX8="QB"</formula>
    </cfRule>
  </conditionalFormatting>
  <conditionalFormatting sqref="BY11">
    <cfRule type="expression" dxfId="2323" priority="6384">
      <formula>BX11="K"</formula>
    </cfRule>
    <cfRule type="expression" dxfId="2324" priority="6385">
      <formula>BX11="DEF"</formula>
    </cfRule>
    <cfRule type="expression" dxfId="2325" priority="6386">
      <formula>BX11="TE"</formula>
    </cfRule>
    <cfRule type="expression" dxfId="2322" priority="6387">
      <formula>BX11="WR"</formula>
    </cfRule>
    <cfRule type="expression" dxfId="2326" priority="6388">
      <formula>BX11="RB"</formula>
    </cfRule>
    <cfRule type="expression" dxfId="2327" priority="6389">
      <formula>BX11="QB"</formula>
    </cfRule>
  </conditionalFormatting>
  <conditionalFormatting sqref="BY14">
    <cfRule type="expression" dxfId="2317" priority="6414">
      <formula>BX14="K"</formula>
    </cfRule>
    <cfRule type="expression" dxfId="2318" priority="6415">
      <formula>BX14="DEF"</formula>
    </cfRule>
    <cfRule type="expression" dxfId="2319" priority="6416">
      <formula>BX14="TE"</formula>
    </cfRule>
    <cfRule type="expression" dxfId="2320" priority="6417">
      <formula>BX14="WR"</formula>
    </cfRule>
    <cfRule type="expression" dxfId="2321" priority="6418">
      <formula>BX14="RB"</formula>
    </cfRule>
    <cfRule type="expression" dxfId="2316" priority="6419">
      <formula>BX14="QB"</formula>
    </cfRule>
  </conditionalFormatting>
  <conditionalFormatting sqref="BY17">
    <cfRule type="expression" dxfId="2315" priority="6444">
      <formula>BX17="K"</formula>
    </cfRule>
    <cfRule type="expression" dxfId="2310" priority="6445">
      <formula>BX17="DEF"</formula>
    </cfRule>
    <cfRule type="expression" dxfId="2314" priority="6446">
      <formula>BX17="TE"</formula>
    </cfRule>
    <cfRule type="expression" dxfId="2313" priority="6447">
      <formula>BX17="WR"</formula>
    </cfRule>
    <cfRule type="expression" dxfId="2312" priority="6448">
      <formula>BX17="RB"</formula>
    </cfRule>
    <cfRule type="expression" dxfId="2311" priority="6449">
      <formula>BX17="QB"</formula>
    </cfRule>
  </conditionalFormatting>
  <conditionalFormatting sqref="BY20">
    <cfRule type="expression" dxfId="2309" priority="6474">
      <formula>BX20="K"</formula>
    </cfRule>
    <cfRule type="expression" dxfId="2304" priority="6475">
      <formula>BX20="DEF"</formula>
    </cfRule>
    <cfRule type="expression" dxfId="2306" priority="6476">
      <formula>BX20="TE"</formula>
    </cfRule>
    <cfRule type="expression" dxfId="2305" priority="6477">
      <formula>BX20="WR"</formula>
    </cfRule>
    <cfRule type="expression" dxfId="2308" priority="6478">
      <formula>BX20="RB"</formula>
    </cfRule>
    <cfRule type="expression" dxfId="2307" priority="6479">
      <formula>BX20="QB"</formula>
    </cfRule>
  </conditionalFormatting>
  <conditionalFormatting sqref="BY23">
    <cfRule type="expression" dxfId="2299" priority="6504">
      <formula>BX23="K"</formula>
    </cfRule>
    <cfRule type="expression" dxfId="2303" priority="6505">
      <formula>BX23="DEF"</formula>
    </cfRule>
    <cfRule type="expression" dxfId="2298" priority="6506">
      <formula>BX23="TE"</formula>
    </cfRule>
    <cfRule type="expression" dxfId="2302" priority="6507">
      <formula>BX23="WR"</formula>
    </cfRule>
    <cfRule type="expression" dxfId="2300" priority="6508">
      <formula>BX23="RB"</formula>
    </cfRule>
    <cfRule type="expression" dxfId="2301" priority="6509">
      <formula>BX23="QB"</formula>
    </cfRule>
  </conditionalFormatting>
  <conditionalFormatting sqref="BY26">
    <cfRule type="expression" dxfId="2294" priority="6534">
      <formula>BX26="K"</formula>
    </cfRule>
    <cfRule type="expression" dxfId="2293" priority="6535">
      <formula>BX26="DEF"</formula>
    </cfRule>
    <cfRule type="expression" dxfId="2292" priority="6536">
      <formula>BX26="TE"</formula>
    </cfRule>
    <cfRule type="expression" dxfId="2297" priority="6537">
      <formula>BX26="WR"</formula>
    </cfRule>
    <cfRule type="expression" dxfId="2296" priority="6538">
      <formula>BX26="RB"</formula>
    </cfRule>
    <cfRule type="expression" dxfId="2295" priority="6539">
      <formula>BX26="QB"</formula>
    </cfRule>
  </conditionalFormatting>
  <conditionalFormatting sqref="BY29">
    <cfRule type="expression" dxfId="2286" priority="6564">
      <formula>BX29="K"</formula>
    </cfRule>
    <cfRule type="expression" dxfId="2287" priority="6565">
      <formula>BX29="DEF"</formula>
    </cfRule>
    <cfRule type="expression" dxfId="2288" priority="6566">
      <formula>BX29="TE"</formula>
    </cfRule>
    <cfRule type="expression" dxfId="2289" priority="6567">
      <formula>BX29="WR"</formula>
    </cfRule>
    <cfRule type="expression" dxfId="2290" priority="6568">
      <formula>BX29="RB"</formula>
    </cfRule>
    <cfRule type="expression" dxfId="2291" priority="6569">
      <formula>BX29="QB"</formula>
    </cfRule>
  </conditionalFormatting>
  <conditionalFormatting sqref="BY32">
    <cfRule type="expression" dxfId="2281" priority="6594">
      <formula>BX32="K"</formula>
    </cfRule>
    <cfRule type="expression" dxfId="2282" priority="6595">
      <formula>BX32="DEF"</formula>
    </cfRule>
    <cfRule type="expression" dxfId="2283" priority="6596">
      <formula>BX32="TE"</formula>
    </cfRule>
    <cfRule type="expression" dxfId="2280" priority="6597">
      <formula>BX32="WR"</formula>
    </cfRule>
    <cfRule type="expression" dxfId="2284" priority="6598">
      <formula>BX32="RB"</formula>
    </cfRule>
    <cfRule type="expression" dxfId="2285" priority="6599">
      <formula>BX32="QB"</formula>
    </cfRule>
  </conditionalFormatting>
  <conditionalFormatting sqref="BY35">
    <cfRule type="expression" dxfId="2276" priority="6624">
      <formula>BX35="K"</formula>
    </cfRule>
    <cfRule type="expression" dxfId="2279" priority="6625">
      <formula>BX35="DEF"</formula>
    </cfRule>
    <cfRule type="expression" dxfId="2274" priority="6626">
      <formula>BX35="TE"</formula>
    </cfRule>
    <cfRule type="expression" dxfId="2275" priority="6627">
      <formula>BX35="WR"</formula>
    </cfRule>
    <cfRule type="expression" dxfId="2278" priority="6628">
      <formula>BX35="RB"</formula>
    </cfRule>
    <cfRule type="expression" dxfId="2277" priority="6629">
      <formula>BX35="QB"</formula>
    </cfRule>
  </conditionalFormatting>
  <conditionalFormatting sqref="BY38">
    <cfRule type="expression" dxfId="2271" priority="6654">
      <formula>BX38="K"</formula>
    </cfRule>
    <cfRule type="expression" dxfId="2272" priority="6655">
      <formula>BX38="DEF"</formula>
    </cfRule>
    <cfRule type="expression" dxfId="2270" priority="6656">
      <formula>BX38="TE"</formula>
    </cfRule>
    <cfRule type="expression" dxfId="2273" priority="6657">
      <formula>BX38="WR"</formula>
    </cfRule>
    <cfRule type="expression" dxfId="2268" priority="6658">
      <formula>BX38="RB"</formula>
    </cfRule>
    <cfRule type="expression" dxfId="2269" priority="6659">
      <formula>BX38="QB"</formula>
    </cfRule>
  </conditionalFormatting>
  <conditionalFormatting sqref="BY41">
    <cfRule type="expression" dxfId="2266" priority="6684">
      <formula>BX41="K"</formula>
    </cfRule>
    <cfRule type="expression" dxfId="2262" priority="6685">
      <formula>BX41="DEF"</formula>
    </cfRule>
    <cfRule type="expression" dxfId="2263" priority="6686">
      <formula>BX41="TE"</formula>
    </cfRule>
    <cfRule type="expression" dxfId="2267" priority="6687">
      <formula>BX41="WR"</formula>
    </cfRule>
    <cfRule type="expression" dxfId="2264" priority="6688">
      <formula>BX41="RB"</formula>
    </cfRule>
    <cfRule type="expression" dxfId="2265" priority="6689">
      <formula>BX41="QB"</formula>
    </cfRule>
  </conditionalFormatting>
  <conditionalFormatting sqref="BY44">
    <cfRule type="expression" dxfId="2257" priority="6714">
      <formula>BX44="K"</formula>
    </cfRule>
    <cfRule type="expression" dxfId="2258" priority="6715">
      <formula>BX44="DEF"</formula>
    </cfRule>
    <cfRule type="expression" dxfId="2259" priority="6716">
      <formula>BX44="TE"</formula>
    </cfRule>
    <cfRule type="expression" dxfId="2260" priority="6717">
      <formula>BX44="WR"</formula>
    </cfRule>
    <cfRule type="expression" dxfId="2256" priority="6718">
      <formula>BX44="RB"</formula>
    </cfRule>
    <cfRule type="expression" dxfId="2261" priority="6719">
      <formula>BX44="QB"</formula>
    </cfRule>
  </conditionalFormatting>
  <conditionalFormatting sqref="BY47">
    <cfRule type="expression" dxfId="2250" priority="6744">
      <formula>BX47="K"</formula>
    </cfRule>
    <cfRule type="expression" dxfId="2255" priority="6745">
      <formula>BX47="DEF"</formula>
    </cfRule>
    <cfRule type="expression" dxfId="2254" priority="6746">
      <formula>BX47="TE"</formula>
    </cfRule>
    <cfRule type="expression" dxfId="2253" priority="6747">
      <formula>BX47="WR"</formula>
    </cfRule>
    <cfRule type="expression" dxfId="2252" priority="6748">
      <formula>BX47="RB"</formula>
    </cfRule>
    <cfRule type="expression" dxfId="2251" priority="6749">
      <formula>BX47="QB"</formula>
    </cfRule>
  </conditionalFormatting>
  <conditionalFormatting sqref="CA4">
    <cfRule type="expression" dxfId="2249" priority="6751">
      <formula>CC5="DEF"</formula>
    </cfRule>
    <cfRule type="expression" dxfId="2248" priority="6752">
      <formula>CC5="TE"</formula>
    </cfRule>
    <cfRule type="expression" dxfId="2247" priority="6753">
      <formula>CC5="WR"</formula>
    </cfRule>
    <cfRule type="expression" dxfId="2246" priority="6754">
      <formula>CC5="RB"</formula>
    </cfRule>
    <cfRule type="expression" dxfId="2245" priority="6755">
      <formula>CC5="QB"</formula>
    </cfRule>
  </conditionalFormatting>
  <conditionalFormatting sqref="CA5">
    <cfRule type="expression" dxfId="2244" priority="6756">
      <formula>CC5="K"</formula>
    </cfRule>
    <cfRule type="expression" dxfId="2243" priority="6757">
      <formula>CC5="DEF"</formula>
    </cfRule>
    <cfRule type="expression" dxfId="2242" priority="6758">
      <formula>CC5="TE"</formula>
    </cfRule>
    <cfRule type="expression" dxfId="2241" priority="6759">
      <formula>CC5="WR"</formula>
    </cfRule>
    <cfRule type="expression" dxfId="2240" priority="6760">
      <formula>CC5="RB"</formula>
    </cfRule>
    <cfRule type="expression" dxfId="2239" priority="6761">
      <formula>CC5="QB"</formula>
    </cfRule>
  </conditionalFormatting>
  <conditionalFormatting sqref="CA7">
    <cfRule type="expression" dxfId="2234" priority="6781">
      <formula>CC8="DEF"</formula>
    </cfRule>
    <cfRule type="expression" dxfId="2235" priority="6782">
      <formula>CC8="TE"</formula>
    </cfRule>
    <cfRule type="expression" dxfId="2236" priority="6783">
      <formula>CC8="WR"</formula>
    </cfRule>
    <cfRule type="expression" dxfId="2237" priority="6784">
      <formula>CC8="RB"</formula>
    </cfRule>
    <cfRule type="expression" dxfId="2238" priority="6785">
      <formula>CC8="QB"</formula>
    </cfRule>
  </conditionalFormatting>
  <conditionalFormatting sqref="CA8">
    <cfRule type="expression" dxfId="2230" priority="6786">
      <formula>CC8="K"</formula>
    </cfRule>
    <cfRule type="expression" dxfId="2229" priority="6787">
      <formula>CC8="DEF"</formula>
    </cfRule>
    <cfRule type="expression" dxfId="2228" priority="6788">
      <formula>CC8="TE"</formula>
    </cfRule>
    <cfRule type="expression" dxfId="2233" priority="6789">
      <formula>CC8="WR"</formula>
    </cfRule>
    <cfRule type="expression" dxfId="2232" priority="6790">
      <formula>CC8="RB"</formula>
    </cfRule>
    <cfRule type="expression" dxfId="2231" priority="6791">
      <formula>CC8="QB"</formula>
    </cfRule>
  </conditionalFormatting>
  <conditionalFormatting sqref="CA10">
    <cfRule type="expression" dxfId="2223" priority="6811">
      <formula>CC11="DEF"</formula>
    </cfRule>
    <cfRule type="expression" dxfId="2224" priority="6812">
      <formula>CC11="TE"</formula>
    </cfRule>
    <cfRule type="expression" dxfId="2226" priority="6813">
      <formula>CC11="WR"</formula>
    </cfRule>
    <cfRule type="expression" dxfId="2227" priority="6814">
      <formula>CC11="RB"</formula>
    </cfRule>
    <cfRule type="expression" dxfId="2225" priority="6815">
      <formula>CC11="QB"</formula>
    </cfRule>
  </conditionalFormatting>
  <conditionalFormatting sqref="CA11">
    <cfRule type="expression" dxfId="2218" priority="6816">
      <formula>CC11="K"</formula>
    </cfRule>
    <cfRule type="expression" dxfId="2219" priority="6817">
      <formula>CC11="DEF"</formula>
    </cfRule>
    <cfRule type="expression" dxfId="2220" priority="6818">
      <formula>CC11="TE"</formula>
    </cfRule>
    <cfRule type="expression" dxfId="2221" priority="6819">
      <formula>CC11="WR"</formula>
    </cfRule>
    <cfRule type="expression" dxfId="2222" priority="6820">
      <formula>CC11="RB"</formula>
    </cfRule>
    <cfRule type="expression" dxfId="2217" priority="6821">
      <formula>CC11="QB"</formula>
    </cfRule>
  </conditionalFormatting>
  <conditionalFormatting sqref="CA13">
    <cfRule type="expression" dxfId="2212" priority="6841">
      <formula>CC14="DEF"</formula>
    </cfRule>
    <cfRule type="expression" dxfId="2213" priority="6842">
      <formula>CC14="TE"</formula>
    </cfRule>
    <cfRule type="expression" dxfId="2216" priority="6843">
      <formula>CC14="WR"</formula>
    </cfRule>
    <cfRule type="expression" dxfId="2215" priority="6844">
      <formula>CC14="RB"</formula>
    </cfRule>
    <cfRule type="expression" dxfId="2214" priority="6845">
      <formula>CC14="QB"</formula>
    </cfRule>
  </conditionalFormatting>
  <conditionalFormatting sqref="CA14">
    <cfRule type="expression" dxfId="2211" priority="6846">
      <formula>CC14="K"</formula>
    </cfRule>
    <cfRule type="expression" dxfId="2207" priority="6847">
      <formula>CC14="DEF"</formula>
    </cfRule>
    <cfRule type="expression" dxfId="2208" priority="6848">
      <formula>CC14="TE"</formula>
    </cfRule>
    <cfRule type="expression" dxfId="2206" priority="6849">
      <formula>CC14="WR"</formula>
    </cfRule>
    <cfRule type="expression" dxfId="2209" priority="6850">
      <formula>CC14="RB"</formula>
    </cfRule>
    <cfRule type="expression" dxfId="2210" priority="6851">
      <formula>CC14="QB"</formula>
    </cfRule>
  </conditionalFormatting>
  <conditionalFormatting sqref="CA16">
    <cfRule type="expression" dxfId="2203" priority="6871">
      <formula>CC17="DEF"</formula>
    </cfRule>
    <cfRule type="expression" dxfId="2205" priority="6872">
      <formula>CC17="TE"</formula>
    </cfRule>
    <cfRule type="expression" dxfId="2204" priority="6873">
      <formula>CC17="WR"</formula>
    </cfRule>
    <cfRule type="expression" dxfId="2202" priority="6874">
      <formula>CC17="RB"</formula>
    </cfRule>
    <cfRule type="expression" dxfId="2201" priority="6875">
      <formula>CC17="QB"</formula>
    </cfRule>
  </conditionalFormatting>
  <conditionalFormatting sqref="CA17">
    <cfRule type="expression" dxfId="2200" priority="6876">
      <formula>CC17="K"</formula>
    </cfRule>
    <cfRule type="expression" dxfId="2199" priority="6877">
      <formula>CC17="DEF"</formula>
    </cfRule>
    <cfRule type="expression" dxfId="2196" priority="6878">
      <formula>CC17="TE"</formula>
    </cfRule>
    <cfRule type="expression" dxfId="2195" priority="6879">
      <formula>CC17="WR"</formula>
    </cfRule>
    <cfRule type="expression" dxfId="2197" priority="6880">
      <formula>CC17="RB"</formula>
    </cfRule>
    <cfRule type="expression" dxfId="2198" priority="6881">
      <formula>CC17="QB"</formula>
    </cfRule>
  </conditionalFormatting>
  <conditionalFormatting sqref="CA19">
    <cfRule type="expression" dxfId="2193" priority="6901">
      <formula>CC20="DEF"</formula>
    </cfRule>
    <cfRule type="expression" dxfId="2194" priority="6902">
      <formula>CC20="TE"</formula>
    </cfRule>
    <cfRule type="expression" dxfId="2192" priority="6903">
      <formula>CC20="WR"</formula>
    </cfRule>
    <cfRule type="expression" dxfId="2190" priority="6904">
      <formula>CC20="RB"</formula>
    </cfRule>
    <cfRule type="expression" dxfId="2191" priority="6905">
      <formula>CC20="QB"</formula>
    </cfRule>
  </conditionalFormatting>
  <conditionalFormatting sqref="CA20">
    <cfRule type="expression" dxfId="2184" priority="6906">
      <formula>CC20="K"</formula>
    </cfRule>
    <cfRule type="expression" dxfId="2188" priority="6907">
      <formula>CC20="DEF"</formula>
    </cfRule>
    <cfRule type="expression" dxfId="2187" priority="6908">
      <formula>CC20="TE"</formula>
    </cfRule>
    <cfRule type="expression" dxfId="2189" priority="6909">
      <formula>CC20="WR"</formula>
    </cfRule>
    <cfRule type="expression" dxfId="2185" priority="6910">
      <formula>CC20="RB"</formula>
    </cfRule>
    <cfRule type="expression" dxfId="2186" priority="6911">
      <formula>CC20="QB"</formula>
    </cfRule>
  </conditionalFormatting>
  <conditionalFormatting sqref="CA22">
    <cfRule type="expression" dxfId="2183" priority="6931">
      <formula>CC23="DEF"</formula>
    </cfRule>
    <cfRule type="expression" dxfId="2182" priority="6932">
      <formula>CC23="TE"</formula>
    </cfRule>
    <cfRule type="expression" dxfId="2180" priority="6933">
      <formula>CC23="WR"</formula>
    </cfRule>
    <cfRule type="expression" dxfId="2181" priority="6934">
      <formula>CC23="RB"</formula>
    </cfRule>
    <cfRule type="expression" dxfId="2179" priority="6935">
      <formula>CC23="QB"</formula>
    </cfRule>
  </conditionalFormatting>
  <conditionalFormatting sqref="CA23">
    <cfRule type="expression" dxfId="2178" priority="6936">
      <formula>CC23="K"</formula>
    </cfRule>
    <cfRule type="expression" dxfId="2177" priority="6937">
      <formula>CC23="DEF"</formula>
    </cfRule>
    <cfRule type="expression" dxfId="2176" priority="6938">
      <formula>CC23="TE"</formula>
    </cfRule>
    <cfRule type="expression" dxfId="2173" priority="6939">
      <formula>CC23="WR"</formula>
    </cfRule>
    <cfRule type="expression" dxfId="2174" priority="6940">
      <formula>CC23="RB"</formula>
    </cfRule>
    <cfRule type="expression" dxfId="2175" priority="6941">
      <formula>CC23="QB"</formula>
    </cfRule>
  </conditionalFormatting>
  <conditionalFormatting sqref="CA25">
    <cfRule type="expression" dxfId="2168" priority="6961">
      <formula>CC26="DEF"</formula>
    </cfRule>
    <cfRule type="expression" dxfId="2169" priority="6962">
      <formula>CC26="TE"</formula>
    </cfRule>
    <cfRule type="expression" dxfId="2172" priority="6963">
      <formula>CC26="WR"</formula>
    </cfRule>
    <cfRule type="expression" dxfId="2171" priority="6964">
      <formula>CC26="RB"</formula>
    </cfRule>
    <cfRule type="expression" dxfId="2170" priority="6965">
      <formula>CC26="QB"</formula>
    </cfRule>
  </conditionalFormatting>
  <conditionalFormatting sqref="CA26">
    <cfRule type="expression" dxfId="2163" priority="6966">
      <formula>CC26="K"</formula>
    </cfRule>
    <cfRule type="expression" dxfId="2164" priority="6967">
      <formula>CC26="DEF"</formula>
    </cfRule>
    <cfRule type="expression" dxfId="2162" priority="6968">
      <formula>CC26="TE"</formula>
    </cfRule>
    <cfRule type="expression" dxfId="2165" priority="6969">
      <formula>CC26="WR"</formula>
    </cfRule>
    <cfRule type="expression" dxfId="2166" priority="6970">
      <formula>CC26="RB"</formula>
    </cfRule>
    <cfRule type="expression" dxfId="2167" priority="6971">
      <formula>CC26="QB"</formula>
    </cfRule>
  </conditionalFormatting>
  <conditionalFormatting sqref="CA28">
    <cfRule type="expression" dxfId="2159" priority="6991">
      <formula>CC29="DEF"</formula>
    </cfRule>
    <cfRule type="expression" dxfId="2160" priority="6992">
      <formula>CC29="TE"</formula>
    </cfRule>
    <cfRule type="expression" dxfId="2158" priority="6993">
      <formula>CC29="WR"</formula>
    </cfRule>
    <cfRule type="expression" dxfId="2161" priority="6994">
      <formula>CC29="RB"</formula>
    </cfRule>
    <cfRule type="expression" dxfId="2157" priority="6995">
      <formula>CC29="QB"</formula>
    </cfRule>
  </conditionalFormatting>
  <conditionalFormatting sqref="CA29">
    <cfRule type="expression" dxfId="2155" priority="6996">
      <formula>CC29="K"</formula>
    </cfRule>
    <cfRule type="expression" dxfId="2156" priority="6997">
      <formula>CC29="DEF"</formula>
    </cfRule>
    <cfRule type="expression" dxfId="2151" priority="6998">
      <formula>CC29="TE"</formula>
    </cfRule>
    <cfRule type="expression" dxfId="2154" priority="6999">
      <formula>CC29="WR"</formula>
    </cfRule>
    <cfRule type="expression" dxfId="2152" priority="7000">
      <formula>CC29="RB"</formula>
    </cfRule>
    <cfRule type="expression" dxfId="2153" priority="7001">
      <formula>CC29="QB"</formula>
    </cfRule>
  </conditionalFormatting>
  <conditionalFormatting sqref="CA31">
    <cfRule type="expression" dxfId="2148" priority="7021">
      <formula>CC32="DEF"</formula>
    </cfRule>
    <cfRule type="expression" dxfId="2149" priority="7022">
      <formula>CC32="TE"</formula>
    </cfRule>
    <cfRule type="expression" dxfId="2150" priority="7023">
      <formula>CC32="WR"</formula>
    </cfRule>
    <cfRule type="expression" dxfId="2147" priority="7024">
      <formula>CC32="RB"</formula>
    </cfRule>
    <cfRule type="expression" dxfId="2146" priority="7025">
      <formula>CC32="QB"</formula>
    </cfRule>
  </conditionalFormatting>
  <conditionalFormatting sqref="CA32">
    <cfRule type="expression" dxfId="2144" priority="7026">
      <formula>CC32="K"</formula>
    </cfRule>
    <cfRule type="expression" dxfId="2143" priority="7027">
      <formula>CC32="DEF"</formula>
    </cfRule>
    <cfRule type="expression" dxfId="2142" priority="7028">
      <formula>CC32="TE"</formula>
    </cfRule>
    <cfRule type="expression" dxfId="2141" priority="7029">
      <formula>CC32="WR"</formula>
    </cfRule>
    <cfRule type="expression" dxfId="2145" priority="7030">
      <formula>CC32="RB"</formula>
    </cfRule>
    <cfRule type="expression" dxfId="2140" priority="7031">
      <formula>CC32="QB"</formula>
    </cfRule>
  </conditionalFormatting>
  <conditionalFormatting sqref="CA34">
    <cfRule type="expression" dxfId="2139" priority="7051">
      <formula>CC35="DEF"</formula>
    </cfRule>
    <cfRule type="expression" dxfId="2135" priority="7052">
      <formula>CC35="TE"</formula>
    </cfRule>
    <cfRule type="expression" dxfId="2136" priority="7053">
      <formula>CC35="WR"</formula>
    </cfRule>
    <cfRule type="expression" dxfId="2137" priority="7054">
      <formula>CC35="RB"</formula>
    </cfRule>
    <cfRule type="expression" dxfId="2138" priority="7055">
      <formula>CC35="QB"</formula>
    </cfRule>
  </conditionalFormatting>
  <conditionalFormatting sqref="CA35">
    <cfRule type="expression" dxfId="2129" priority="7056">
      <formula>CC35="K"</formula>
    </cfRule>
    <cfRule type="expression" dxfId="2130" priority="7057">
      <formula>CC35="DEF"</formula>
    </cfRule>
    <cfRule type="expression" dxfId="2131" priority="7058">
      <formula>CC35="TE"</formula>
    </cfRule>
    <cfRule type="expression" dxfId="2132" priority="7059">
      <formula>CC35="WR"</formula>
    </cfRule>
    <cfRule type="expression" dxfId="2133" priority="7060">
      <formula>CC35="RB"</formula>
    </cfRule>
    <cfRule type="expression" dxfId="2134" priority="7061">
      <formula>CC35="QB"</formula>
    </cfRule>
  </conditionalFormatting>
  <conditionalFormatting sqref="CA37">
    <cfRule type="expression" dxfId="2128" priority="7081">
      <formula>CC38="DEF"</formula>
    </cfRule>
    <cfRule type="expression" dxfId="2127" priority="7082">
      <formula>CC38="TE"</formula>
    </cfRule>
    <cfRule type="expression" dxfId="2126" priority="7083">
      <formula>CC38="WR"</formula>
    </cfRule>
    <cfRule type="expression" dxfId="2125" priority="7084">
      <formula>CC38="RB"</formula>
    </cfRule>
    <cfRule type="expression" dxfId="2124" priority="7085">
      <formula>CC38="QB"</formula>
    </cfRule>
  </conditionalFormatting>
  <conditionalFormatting sqref="CA38">
    <cfRule type="expression" dxfId="2122" priority="7086">
      <formula>CC38="K"</formula>
    </cfRule>
    <cfRule type="expression" dxfId="2123" priority="7087">
      <formula>CC38="DEF"</formula>
    </cfRule>
    <cfRule type="expression" dxfId="2121" priority="7088">
      <formula>CC38="TE"</formula>
    </cfRule>
    <cfRule type="expression" dxfId="2120" priority="7089">
      <formula>CC38="WR"</formula>
    </cfRule>
    <cfRule type="expression" dxfId="2119" priority="7090">
      <formula>CC38="RB"</formula>
    </cfRule>
    <cfRule type="expression" dxfId="2118" priority="7091">
      <formula>CC38="QB"</formula>
    </cfRule>
  </conditionalFormatting>
  <conditionalFormatting sqref="CA40">
    <cfRule type="expression" dxfId="2117" priority="7111">
      <formula>CC41="DEF"</formula>
    </cfRule>
    <cfRule type="expression" dxfId="2116" priority="7112">
      <formula>CC41="TE"</formula>
    </cfRule>
    <cfRule type="expression" dxfId="2115" priority="7113">
      <formula>CC41="WR"</formula>
    </cfRule>
    <cfRule type="expression" dxfId="2114" priority="7114">
      <formula>CC41="RB"</formula>
    </cfRule>
    <cfRule type="expression" dxfId="2113" priority="7115">
      <formula>CC41="QB"</formula>
    </cfRule>
  </conditionalFormatting>
  <conditionalFormatting sqref="CA41">
    <cfRule type="expression" dxfId="2110" priority="7116">
      <formula>CC41="K"</formula>
    </cfRule>
    <cfRule type="expression" dxfId="2111" priority="7117">
      <formula>CC41="DEF"</formula>
    </cfRule>
    <cfRule type="expression" dxfId="2109" priority="7118">
      <formula>CC41="TE"</formula>
    </cfRule>
    <cfRule type="expression" dxfId="2108" priority="7119">
      <formula>CC41="WR"</formula>
    </cfRule>
    <cfRule type="expression" dxfId="2112" priority="7120">
      <formula>CC41="RB"</formula>
    </cfRule>
    <cfRule type="expression" dxfId="2107" priority="7121">
      <formula>CC41="QB"</formula>
    </cfRule>
  </conditionalFormatting>
  <conditionalFormatting sqref="CA43">
    <cfRule type="expression" dxfId="2106" priority="7141">
      <formula>CC44="DEF"</formula>
    </cfRule>
    <cfRule type="expression" dxfId="2105" priority="7142">
      <formula>CC44="TE"</formula>
    </cfRule>
    <cfRule type="expression" dxfId="2104" priority="7143">
      <formula>CC44="WR"</formula>
    </cfRule>
    <cfRule type="expression" dxfId="2103" priority="7144">
      <formula>CC44="RB"</formula>
    </cfRule>
    <cfRule type="expression" dxfId="2102" priority="7145">
      <formula>CC44="QB"</formula>
    </cfRule>
  </conditionalFormatting>
  <conditionalFormatting sqref="CA44">
    <cfRule type="expression" dxfId="2101" priority="7146">
      <formula>CC44="K"</formula>
    </cfRule>
    <cfRule type="expression" dxfId="2100" priority="7147">
      <formula>CC44="DEF"</formula>
    </cfRule>
    <cfRule type="expression" dxfId="2099" priority="7148">
      <formula>CC44="TE"</formula>
    </cfRule>
    <cfRule type="expression" dxfId="2098" priority="7149">
      <formula>CC44="WR"</formula>
    </cfRule>
    <cfRule type="expression" dxfId="2097" priority="7150">
      <formula>CC44="RB"</formula>
    </cfRule>
    <cfRule type="expression" dxfId="2096" priority="7151">
      <formula>CC44="QB"</formula>
    </cfRule>
  </conditionalFormatting>
  <conditionalFormatting sqref="CA46">
    <cfRule type="expression" dxfId="2095" priority="7171">
      <formula>CC47="DEF"</formula>
    </cfRule>
    <cfRule type="expression" dxfId="2094" priority="7172">
      <formula>CC47="TE"</formula>
    </cfRule>
    <cfRule type="expression" dxfId="2093" priority="7173">
      <formula>CC47="WR"</formula>
    </cfRule>
    <cfRule type="expression" dxfId="2092" priority="7174">
      <formula>CC47="RB"</formula>
    </cfRule>
    <cfRule type="expression" dxfId="2091" priority="7175">
      <formula>CC47="QB"</formula>
    </cfRule>
  </conditionalFormatting>
  <conditionalFormatting sqref="CA47">
    <cfRule type="expression" dxfId="2090" priority="7176">
      <formula>CC47="K"</formula>
    </cfRule>
    <cfRule type="expression" dxfId="2089" priority="7177">
      <formula>CC47="DEF"</formula>
    </cfRule>
    <cfRule type="expression" dxfId="2088" priority="7178">
      <formula>CC47="TE"</formula>
    </cfRule>
    <cfRule type="expression" dxfId="2087" priority="7179">
      <formula>CC47="WR"</formula>
    </cfRule>
    <cfRule type="expression" dxfId="2086" priority="7180">
      <formula>CC47="RB"</formula>
    </cfRule>
    <cfRule type="expression" dxfId="2085" priority="7181">
      <formula>CC47="QB"</formula>
    </cfRule>
  </conditionalFormatting>
  <conditionalFormatting sqref="CA4:CD4">
    <cfRule type="expression" dxfId="2084" priority="6780">
      <formula>CC5="K"</formula>
    </cfRule>
  </conditionalFormatting>
  <conditionalFormatting sqref="CA7:CD7">
    <cfRule type="expression" dxfId="2083" priority="6810">
      <formula>CC8="K"</formula>
    </cfRule>
  </conditionalFormatting>
  <conditionalFormatting sqref="CA10:CD10">
    <cfRule type="expression" dxfId="2082" priority="6840">
      <formula>CC11="K"</formula>
    </cfRule>
  </conditionalFormatting>
  <conditionalFormatting sqref="CA13:CD13">
    <cfRule type="expression" dxfId="2081" priority="6870">
      <formula>CC14="K"</formula>
    </cfRule>
  </conditionalFormatting>
  <conditionalFormatting sqref="CA16:CD16">
    <cfRule type="expression" dxfId="2080" priority="6900">
      <formula>CC17="K"</formula>
    </cfRule>
  </conditionalFormatting>
  <conditionalFormatting sqref="CA19:CD19">
    <cfRule type="expression" dxfId="2079" priority="6930">
      <formula>CC20="K"</formula>
    </cfRule>
  </conditionalFormatting>
  <conditionalFormatting sqref="CA22:CD22">
    <cfRule type="expression" dxfId="2078" priority="6960">
      <formula>CC23="K"</formula>
    </cfRule>
  </conditionalFormatting>
  <conditionalFormatting sqref="CA25:CD25">
    <cfRule type="expression" dxfId="2077" priority="6990">
      <formula>CC26="K"</formula>
    </cfRule>
  </conditionalFormatting>
  <conditionalFormatting sqref="CA28:CD28">
    <cfRule type="expression" dxfId="2076" priority="7020">
      <formula>CC29="K"</formula>
    </cfRule>
  </conditionalFormatting>
  <conditionalFormatting sqref="CA31:CD31">
    <cfRule type="expression" dxfId="2075" priority="7050">
      <formula>CC32="K"</formula>
    </cfRule>
  </conditionalFormatting>
  <conditionalFormatting sqref="CA34:CD34">
    <cfRule type="expression" dxfId="2074" priority="7080">
      <formula>CC35="K"</formula>
    </cfRule>
  </conditionalFormatting>
  <conditionalFormatting sqref="CA37:CD37">
    <cfRule type="expression" dxfId="2073" priority="7110">
      <formula>CC38="K"</formula>
    </cfRule>
  </conditionalFormatting>
  <conditionalFormatting sqref="CA40:CD40">
    <cfRule type="expression" dxfId="2072" priority="7140">
      <formula>CC41="K"</formula>
    </cfRule>
  </conditionalFormatting>
  <conditionalFormatting sqref="CA43:CD43">
    <cfRule type="expression" dxfId="2071" priority="7170">
      <formula>CC44="K"</formula>
    </cfRule>
  </conditionalFormatting>
  <conditionalFormatting sqref="CA46:CD46">
    <cfRule type="expression" dxfId="2070" priority="7200">
      <formula>CC47="K"</formula>
    </cfRule>
  </conditionalFormatting>
  <conditionalFormatting sqref="CB5">
    <cfRule type="expression" dxfId="2064" priority="6762">
      <formula>CC5="K"</formula>
    </cfRule>
    <cfRule type="expression" dxfId="2065" priority="6763">
      <formula>CC5="DEF"</formula>
    </cfRule>
    <cfRule type="expression" dxfId="2066" priority="6764">
      <formula>CC5="TE"</formula>
    </cfRule>
    <cfRule type="expression" dxfId="2069" priority="6765">
      <formula>CC5="WR"</formula>
    </cfRule>
    <cfRule type="expression" dxfId="2068" priority="6766">
      <formula>CC5="RB"</formula>
    </cfRule>
    <cfRule type="expression" dxfId="2067" priority="6767">
      <formula>CC5="QB"</formula>
    </cfRule>
  </conditionalFormatting>
  <conditionalFormatting sqref="CB8">
    <cfRule type="expression" dxfId="2063" priority="6792">
      <formula>CC8="K"</formula>
    </cfRule>
    <cfRule type="expression" dxfId="2062" priority="6793">
      <formula>CC8="DEF"</formula>
    </cfRule>
    <cfRule type="expression" dxfId="2061" priority="6794">
      <formula>CC8="TE"</formula>
    </cfRule>
    <cfRule type="expression" dxfId="2058" priority="6795">
      <formula>CC8="WR"</formula>
    </cfRule>
    <cfRule type="expression" dxfId="2060" priority="6796">
      <formula>CC8="RB"</formula>
    </cfRule>
    <cfRule type="expression" dxfId="2059" priority="6797">
      <formula>CC8="QB"</formula>
    </cfRule>
  </conditionalFormatting>
  <conditionalFormatting sqref="CB11">
    <cfRule type="expression" dxfId="2053" priority="6822">
      <formula>CC11="K"</formula>
    </cfRule>
    <cfRule type="expression" dxfId="2054" priority="6823">
      <formula>CC11="DEF"</formula>
    </cfRule>
    <cfRule type="expression" dxfId="2055" priority="6824">
      <formula>CC11="TE"</formula>
    </cfRule>
    <cfRule type="expression" dxfId="2056" priority="6825">
      <formula>CC11="WR"</formula>
    </cfRule>
    <cfRule type="expression" dxfId="2057" priority="6826">
      <formula>CC11="RB"</formula>
    </cfRule>
    <cfRule type="expression" dxfId="2052" priority="6827">
      <formula>CC11="QB"</formula>
    </cfRule>
  </conditionalFormatting>
  <conditionalFormatting sqref="CB14">
    <cfRule type="expression" dxfId="2046" priority="6852">
      <formula>CC14="K"</formula>
    </cfRule>
    <cfRule type="expression" dxfId="2047" priority="6853">
      <formula>CC14="DEF"</formula>
    </cfRule>
    <cfRule type="expression" dxfId="2048" priority="6854">
      <formula>CC14="TE"</formula>
    </cfRule>
    <cfRule type="expression" dxfId="2049" priority="6855">
      <formula>CC14="WR"</formula>
    </cfRule>
    <cfRule type="expression" dxfId="2050" priority="6856">
      <formula>CC14="RB"</formula>
    </cfRule>
    <cfRule type="expression" dxfId="2051" priority="6857">
      <formula>CC14="QB"</formula>
    </cfRule>
  </conditionalFormatting>
  <conditionalFormatting sqref="CB17">
    <cfRule type="expression" dxfId="2040" priority="6882">
      <formula>CC17="K"</formula>
    </cfRule>
    <cfRule type="expression" dxfId="2045" priority="6883">
      <formula>CC17="DEF"</formula>
    </cfRule>
    <cfRule type="expression" dxfId="2044" priority="6884">
      <formula>CC17="TE"</formula>
    </cfRule>
    <cfRule type="expression" dxfId="2043" priority="6885">
      <formula>CC17="WR"</formula>
    </cfRule>
    <cfRule type="expression" dxfId="2042" priority="6886">
      <formula>CC17="RB"</formula>
    </cfRule>
    <cfRule type="expression" dxfId="2041" priority="6887">
      <formula>CC17="QB"</formula>
    </cfRule>
  </conditionalFormatting>
  <conditionalFormatting sqref="CB20">
    <cfRule type="expression" dxfId="2038" priority="6912">
      <formula>CC20="K"</formula>
    </cfRule>
    <cfRule type="expression" dxfId="2034" priority="6913">
      <formula>CC20="DEF"</formula>
    </cfRule>
    <cfRule type="expression" dxfId="2039" priority="6914">
      <formula>CC20="TE"</formula>
    </cfRule>
    <cfRule type="expression" dxfId="2035" priority="6915">
      <formula>CC20="WR"</formula>
    </cfRule>
    <cfRule type="expression" dxfId="2036" priority="6916">
      <formula>CC20="RB"</formula>
    </cfRule>
    <cfRule type="expression" dxfId="2037" priority="6917">
      <formula>CC20="QB"</formula>
    </cfRule>
  </conditionalFormatting>
  <conditionalFormatting sqref="CB23">
    <cfRule type="expression" dxfId="2028" priority="6942">
      <formula>CC23="K"</formula>
    </cfRule>
    <cfRule type="expression" dxfId="2033" priority="6943">
      <formula>CC23="DEF"</formula>
    </cfRule>
    <cfRule type="expression" dxfId="2032" priority="6944">
      <formula>CC23="TE"</formula>
    </cfRule>
    <cfRule type="expression" dxfId="2031" priority="6945">
      <formula>CC23="WR"</formula>
    </cfRule>
    <cfRule type="expression" dxfId="2030" priority="6946">
      <formula>CC23="RB"</formula>
    </cfRule>
    <cfRule type="expression" dxfId="2029" priority="6947">
      <formula>CC23="QB"</formula>
    </cfRule>
  </conditionalFormatting>
  <conditionalFormatting sqref="CB26">
    <cfRule type="expression" dxfId="2022" priority="6972">
      <formula>CC26="K"</formula>
    </cfRule>
    <cfRule type="expression" dxfId="2027" priority="6973">
      <formula>CC26="DEF"</formula>
    </cfRule>
    <cfRule type="expression" dxfId="2026" priority="6974">
      <formula>CC26="TE"</formula>
    </cfRule>
    <cfRule type="expression" dxfId="2025" priority="6975">
      <formula>CC26="WR"</formula>
    </cfRule>
    <cfRule type="expression" dxfId="2024" priority="6976">
      <formula>CC26="RB"</formula>
    </cfRule>
    <cfRule type="expression" dxfId="2023" priority="6977">
      <formula>CC26="QB"</formula>
    </cfRule>
  </conditionalFormatting>
  <conditionalFormatting sqref="CB29">
    <cfRule type="expression" dxfId="2016" priority="7002">
      <formula>CC29="K"</formula>
    </cfRule>
    <cfRule type="expression" dxfId="2021" priority="7003">
      <formula>CC29="DEF"</formula>
    </cfRule>
    <cfRule type="expression" dxfId="2020" priority="7004">
      <formula>CC29="TE"</formula>
    </cfRule>
    <cfRule type="expression" dxfId="2018" priority="7005">
      <formula>CC29="WR"</formula>
    </cfRule>
    <cfRule type="expression" dxfId="2019" priority="7006">
      <formula>CC29="RB"</formula>
    </cfRule>
    <cfRule type="expression" dxfId="2017" priority="7007">
      <formula>CC29="QB"</formula>
    </cfRule>
  </conditionalFormatting>
  <conditionalFormatting sqref="CB32">
    <cfRule type="expression" dxfId="2010" priority="7032">
      <formula>CC32="K"</formula>
    </cfRule>
    <cfRule type="expression" dxfId="2015" priority="7033">
      <formula>CC32="DEF"</formula>
    </cfRule>
    <cfRule type="expression" dxfId="2014" priority="7034">
      <formula>CC32="TE"</formula>
    </cfRule>
    <cfRule type="expression" dxfId="2013" priority="7035">
      <formula>CC32="WR"</formula>
    </cfRule>
    <cfRule type="expression" dxfId="2012" priority="7036">
      <formula>CC32="RB"</formula>
    </cfRule>
    <cfRule type="expression" dxfId="2011" priority="7037">
      <formula>CC32="QB"</formula>
    </cfRule>
  </conditionalFormatting>
  <conditionalFormatting sqref="CB35">
    <cfRule type="expression" dxfId="2009" priority="7062">
      <formula>CC35="K"</formula>
    </cfRule>
    <cfRule type="expression" dxfId="2008" priority="7063">
      <formula>CC35="DEF"</formula>
    </cfRule>
    <cfRule type="expression" dxfId="2007" priority="7064">
      <formula>CC35="TE"</formula>
    </cfRule>
    <cfRule type="expression" dxfId="2006" priority="7065">
      <formula>CC35="WR"</formula>
    </cfRule>
    <cfRule type="expression" dxfId="2005" priority="7066">
      <formula>CC35="RB"</formula>
    </cfRule>
    <cfRule type="expression" dxfId="2004" priority="7067">
      <formula>CC35="QB"</formula>
    </cfRule>
  </conditionalFormatting>
  <conditionalFormatting sqref="CB38">
    <cfRule type="expression" dxfId="2002" priority="7092">
      <formula>CC38="K"</formula>
    </cfRule>
    <cfRule type="expression" dxfId="2003" priority="7093">
      <formula>CC38="DEF"</formula>
    </cfRule>
    <cfRule type="expression" dxfId="2001" priority="7094">
      <formula>CC38="TE"</formula>
    </cfRule>
    <cfRule type="expression" dxfId="2000" priority="7095">
      <formula>CC38="WR"</formula>
    </cfRule>
    <cfRule type="expression" dxfId="1999" priority="7096">
      <formula>CC38="RB"</formula>
    </cfRule>
    <cfRule type="expression" dxfId="1998" priority="7097">
      <formula>CC38="QB"</formula>
    </cfRule>
  </conditionalFormatting>
  <conditionalFormatting sqref="CB41">
    <cfRule type="expression" dxfId="1993" priority="7122">
      <formula>CC41="K"</formula>
    </cfRule>
    <cfRule type="expression" dxfId="1994" priority="7123">
      <formula>CC41="DEF"</formula>
    </cfRule>
    <cfRule type="expression" dxfId="1996" priority="7124">
      <formula>CC41="TE"</formula>
    </cfRule>
    <cfRule type="expression" dxfId="1997" priority="7125">
      <formula>CC41="WR"</formula>
    </cfRule>
    <cfRule type="expression" dxfId="1995" priority="7126">
      <formula>CC41="RB"</formula>
    </cfRule>
    <cfRule type="expression" dxfId="1992" priority="7127">
      <formula>CC41="QB"</formula>
    </cfRule>
  </conditionalFormatting>
  <conditionalFormatting sqref="CB44">
    <cfRule type="expression" dxfId="1989" priority="7152">
      <formula>CC44="K"</formula>
    </cfRule>
    <cfRule type="expression" dxfId="1988" priority="7153">
      <formula>CC44="DEF"</formula>
    </cfRule>
    <cfRule type="expression" dxfId="1987" priority="7154">
      <formula>CC44="TE"</formula>
    </cfRule>
    <cfRule type="expression" dxfId="1986" priority="7155">
      <formula>CC44="WR"</formula>
    </cfRule>
    <cfRule type="expression" dxfId="1990" priority="7156">
      <formula>CC44="RB"</formula>
    </cfRule>
    <cfRule type="expression" dxfId="1991" priority="7157">
      <formula>CC44="QB"</formula>
    </cfRule>
  </conditionalFormatting>
  <conditionalFormatting sqref="CB47">
    <cfRule type="expression" dxfId="1983" priority="7182">
      <formula>CC47="K"</formula>
    </cfRule>
    <cfRule type="expression" dxfId="1984" priority="7183">
      <formula>CC47="DEF"</formula>
    </cfRule>
    <cfRule type="expression" dxfId="1985" priority="7184">
      <formula>CC47="TE"</formula>
    </cfRule>
    <cfRule type="expression" dxfId="1981" priority="7185">
      <formula>CC47="WR"</formula>
    </cfRule>
    <cfRule type="expression" dxfId="1980" priority="7186">
      <formula>CC47="RB"</formula>
    </cfRule>
    <cfRule type="expression" dxfId="1982" priority="7187">
      <formula>CC47="QB"</formula>
    </cfRule>
  </conditionalFormatting>
  <conditionalFormatting sqref="CC5">
    <cfRule type="expression" dxfId="1975" priority="6768">
      <formula>CC5="K"</formula>
    </cfRule>
    <cfRule type="expression" dxfId="1976" priority="6769">
      <formula>CC5="DEF"</formula>
    </cfRule>
    <cfRule type="expression" dxfId="1977" priority="6770">
      <formula>CC5="TE"</formula>
    </cfRule>
    <cfRule type="expression" dxfId="1978" priority="6771">
      <formula>CC5="WR"</formula>
    </cfRule>
    <cfRule type="expression" dxfId="1979" priority="6772">
      <formula>CC5="RB"</formula>
    </cfRule>
    <cfRule type="expression" dxfId="1974" priority="6773">
      <formula>CC5="QB"</formula>
    </cfRule>
  </conditionalFormatting>
  <conditionalFormatting sqref="CC8">
    <cfRule type="expression" dxfId="1969" priority="6798">
      <formula>CC8="K"</formula>
    </cfRule>
    <cfRule type="expression" dxfId="1968" priority="6799">
      <formula>CC8="DEF"</formula>
    </cfRule>
    <cfRule type="expression" dxfId="1973" priority="6800">
      <formula>CC8="TE"</formula>
    </cfRule>
    <cfRule type="expression" dxfId="1970" priority="6801">
      <formula>CC8="WR"</formula>
    </cfRule>
    <cfRule type="expression" dxfId="1972" priority="6802">
      <formula>CC8="RB"</formula>
    </cfRule>
    <cfRule type="expression" dxfId="1971" priority="6803">
      <formula>CC8="QB"</formula>
    </cfRule>
  </conditionalFormatting>
  <conditionalFormatting sqref="CC11">
    <cfRule type="expression" dxfId="1965" priority="6828">
      <formula>CC11="K"</formula>
    </cfRule>
    <cfRule type="expression" dxfId="1966" priority="6829">
      <formula>CC11="DEF"</formula>
    </cfRule>
    <cfRule type="expression" dxfId="1962" priority="6830">
      <formula>CC11="TE"</formula>
    </cfRule>
    <cfRule type="expression" dxfId="1963" priority="6831">
      <formula>CC11="WR"</formula>
    </cfRule>
    <cfRule type="expression" dxfId="1964" priority="6832">
      <formula>CC11="RB"</formula>
    </cfRule>
    <cfRule type="expression" dxfId="1967" priority="6833">
      <formula>CC11="QB"</formula>
    </cfRule>
  </conditionalFormatting>
  <conditionalFormatting sqref="CC14">
    <cfRule type="expression" dxfId="1956" priority="6858">
      <formula>CC14="K"</formula>
    </cfRule>
    <cfRule type="expression" dxfId="1957" priority="6859">
      <formula>CC14="DEF"</formula>
    </cfRule>
    <cfRule type="expression" dxfId="1961" priority="6860">
      <formula>CC14="TE"</formula>
    </cfRule>
    <cfRule type="expression" dxfId="1960" priority="6861">
      <formula>CC14="WR"</formula>
    </cfRule>
    <cfRule type="expression" dxfId="1959" priority="6862">
      <formula>CC14="RB"</formula>
    </cfRule>
    <cfRule type="expression" dxfId="1958" priority="6863">
      <formula>CC14="QB"</formula>
    </cfRule>
  </conditionalFormatting>
  <conditionalFormatting sqref="CC17">
    <cfRule type="expression" dxfId="1952" priority="6888">
      <formula>CC17="K"</formula>
    </cfRule>
    <cfRule type="expression" dxfId="1954" priority="6889">
      <formula>CC17="DEF"</formula>
    </cfRule>
    <cfRule type="expression" dxfId="1953" priority="6890">
      <formula>CC17="TE"</formula>
    </cfRule>
    <cfRule type="expression" dxfId="1955" priority="6891">
      <formula>CC17="WR"</formula>
    </cfRule>
    <cfRule type="expression" dxfId="1950" priority="6892">
      <formula>CC17="RB"</formula>
    </cfRule>
    <cfRule type="expression" dxfId="1951" priority="6893">
      <formula>CC17="QB"</formula>
    </cfRule>
  </conditionalFormatting>
  <conditionalFormatting sqref="CC20">
    <cfRule type="expression" dxfId="1946" priority="6918">
      <formula>CC20="K"</formula>
    </cfRule>
    <cfRule type="expression" dxfId="1945" priority="6919">
      <formula>CC20="DEF"</formula>
    </cfRule>
    <cfRule type="expression" dxfId="1944" priority="6920">
      <formula>CC20="TE"</formula>
    </cfRule>
    <cfRule type="expression" dxfId="1949" priority="6921">
      <formula>CC20="WR"</formula>
    </cfRule>
    <cfRule type="expression" dxfId="1948" priority="6922">
      <formula>CC20="RB"</formula>
    </cfRule>
    <cfRule type="expression" dxfId="1947" priority="6923">
      <formula>CC20="QB"</formula>
    </cfRule>
  </conditionalFormatting>
  <conditionalFormatting sqref="CC23">
    <cfRule type="expression" dxfId="1941" priority="6948">
      <formula>CC23="K"</formula>
    </cfRule>
    <cfRule type="expression" dxfId="1938" priority="6949">
      <formula>CC23="DEF"</formula>
    </cfRule>
    <cfRule type="expression" dxfId="1939" priority="6950">
      <formula>CC23="TE"</formula>
    </cfRule>
    <cfRule type="expression" dxfId="1940" priority="6951">
      <formula>CC23="WR"</formula>
    </cfRule>
    <cfRule type="expression" dxfId="1943" priority="6952">
      <formula>CC23="RB"</formula>
    </cfRule>
    <cfRule type="expression" dxfId="1942" priority="6953">
      <formula>CC23="QB"</formula>
    </cfRule>
  </conditionalFormatting>
  <conditionalFormatting sqref="CC26">
    <cfRule type="expression" dxfId="1937" priority="6978">
      <formula>CC26="K"</formula>
    </cfRule>
    <cfRule type="expression" dxfId="1936" priority="6979">
      <formula>CC26="DEF"</formula>
    </cfRule>
    <cfRule type="expression" dxfId="1935" priority="6980">
      <formula>CC26="TE"</formula>
    </cfRule>
    <cfRule type="expression" dxfId="1934" priority="6981">
      <formula>CC26="WR"</formula>
    </cfRule>
    <cfRule type="expression" dxfId="1933" priority="6982">
      <formula>CC26="RB"</formula>
    </cfRule>
    <cfRule type="expression" dxfId="1932" priority="6983">
      <formula>CC26="QB"</formula>
    </cfRule>
  </conditionalFormatting>
  <conditionalFormatting sqref="CC29">
    <cfRule type="expression" dxfId="1926" priority="7008">
      <formula>CC29="K"</formula>
    </cfRule>
    <cfRule type="expression" dxfId="1931" priority="7009">
      <formula>CC29="DEF"</formula>
    </cfRule>
    <cfRule type="expression" dxfId="1930" priority="7010">
      <formula>CC29="TE"</formula>
    </cfRule>
    <cfRule type="expression" dxfId="1929" priority="7011">
      <formula>CC29="WR"</formula>
    </cfRule>
    <cfRule type="expression" dxfId="1928" priority="7012">
      <formula>CC29="RB"</formula>
    </cfRule>
    <cfRule type="expression" dxfId="1927" priority="7013">
      <formula>CC29="QB"</formula>
    </cfRule>
  </conditionalFormatting>
  <conditionalFormatting sqref="CC32">
    <cfRule type="expression" dxfId="1920" priority="7038">
      <formula>CC32="K"</formula>
    </cfRule>
    <cfRule type="expression" dxfId="1921" priority="7039">
      <formula>CC32="DEF"</formula>
    </cfRule>
    <cfRule type="expression" dxfId="1922" priority="7040">
      <formula>CC32="TE"</formula>
    </cfRule>
    <cfRule type="expression" dxfId="1923" priority="7041">
      <formula>CC32="WR"</formula>
    </cfRule>
    <cfRule type="expression" dxfId="1924" priority="7042">
      <formula>CC32="RB"</formula>
    </cfRule>
    <cfRule type="expression" dxfId="1925" priority="7043">
      <formula>CC32="QB"</formula>
    </cfRule>
  </conditionalFormatting>
  <conditionalFormatting sqref="CC35">
    <cfRule type="expression" dxfId="1916" priority="7068">
      <formula>CC35="K"</formula>
    </cfRule>
    <cfRule type="expression" dxfId="1919" priority="7069">
      <formula>CC35="DEF"</formula>
    </cfRule>
    <cfRule type="expression" dxfId="1918" priority="7070">
      <formula>CC35="TE"</formula>
    </cfRule>
    <cfRule type="expression" dxfId="1917" priority="7071">
      <formula>CC35="WR"</formula>
    </cfRule>
    <cfRule type="expression" dxfId="1915" priority="7072">
      <formula>CC35="RB"</formula>
    </cfRule>
    <cfRule type="expression" dxfId="1914" priority="7073">
      <formula>CC35="QB"</formula>
    </cfRule>
  </conditionalFormatting>
  <conditionalFormatting sqref="CC38">
    <cfRule type="expression" dxfId="1913" priority="7098">
      <formula>CC38="K"</formula>
    </cfRule>
    <cfRule type="expression" dxfId="1912" priority="7099">
      <formula>CC38="DEF"</formula>
    </cfRule>
    <cfRule type="expression" dxfId="1911" priority="7100">
      <formula>CC38="TE"</formula>
    </cfRule>
    <cfRule type="expression" dxfId="1910" priority="7101">
      <formula>CC38="WR"</formula>
    </cfRule>
    <cfRule type="expression" dxfId="1909" priority="7102">
      <formula>CC38="RB"</formula>
    </cfRule>
    <cfRule type="expression" dxfId="1908" priority="7103">
      <formula>CC38="QB"</formula>
    </cfRule>
  </conditionalFormatting>
  <conditionalFormatting sqref="CC41">
    <cfRule type="expression" dxfId="1907" priority="7128">
      <formula>CC41="K"</formula>
    </cfRule>
    <cfRule type="expression" dxfId="1902" priority="7129">
      <formula>CC41="DEF"</formula>
    </cfRule>
    <cfRule type="expression" dxfId="1903" priority="7130">
      <formula>CC41="TE"</formula>
    </cfRule>
    <cfRule type="expression" dxfId="1904" priority="7131">
      <formula>CC41="WR"</formula>
    </cfRule>
    <cfRule type="expression" dxfId="1905" priority="7132">
      <formula>CC41="RB"</formula>
    </cfRule>
    <cfRule type="expression" dxfId="1906" priority="7133">
      <formula>CC41="QB"</formula>
    </cfRule>
  </conditionalFormatting>
  <conditionalFormatting sqref="CC44">
    <cfRule type="expression" dxfId="1901" priority="7158">
      <formula>CC44="K"</formula>
    </cfRule>
    <cfRule type="expression" dxfId="1900" priority="7159">
      <formula>CC44="DEF"</formula>
    </cfRule>
    <cfRule type="expression" dxfId="1899" priority="7160">
      <formula>CC44="TE"</formula>
    </cfRule>
    <cfRule type="expression" dxfId="1898" priority="7161">
      <formula>CC44="WR"</formula>
    </cfRule>
    <cfRule type="expression" dxfId="1896" priority="7162">
      <formula>CC44="RB"</formula>
    </cfRule>
    <cfRule type="expression" dxfId="1897" priority="7163">
      <formula>CC44="QB"</formula>
    </cfRule>
  </conditionalFormatting>
  <conditionalFormatting sqref="CC47">
    <cfRule type="expression" dxfId="1892" priority="7188">
      <formula>CC47="K"</formula>
    </cfRule>
    <cfRule type="expression" dxfId="1893" priority="7189">
      <formula>CC47="DEF"</formula>
    </cfRule>
    <cfRule type="expression" dxfId="1894" priority="7190">
      <formula>CC47="TE"</formula>
    </cfRule>
    <cfRule type="expression" dxfId="1891" priority="7191">
      <formula>CC47="WR"</formula>
    </cfRule>
    <cfRule type="expression" dxfId="1895" priority="7192">
      <formula>CC47="RB"</formula>
    </cfRule>
    <cfRule type="expression" dxfId="1890" priority="7193">
      <formula>CC47="QB"</formula>
    </cfRule>
  </conditionalFormatting>
  <conditionalFormatting sqref="CD5">
    <cfRule type="expression" dxfId="1885" priority="6774">
      <formula>CC5="K"</formula>
    </cfRule>
    <cfRule type="expression" dxfId="1886" priority="6775">
      <formula>CC5="DEF"</formula>
    </cfRule>
    <cfRule type="expression" dxfId="1887" priority="6776">
      <formula>CC5="TE"</formula>
    </cfRule>
    <cfRule type="expression" dxfId="1888" priority="6777">
      <formula>CC5="WR"</formula>
    </cfRule>
    <cfRule type="expression" dxfId="1889" priority="6778">
      <formula>CC5="RB"</formula>
    </cfRule>
    <cfRule type="expression" dxfId="1884" priority="6779">
      <formula>CC5="QB"</formula>
    </cfRule>
  </conditionalFormatting>
  <conditionalFormatting sqref="CD8">
    <cfRule type="expression" dxfId="1878" priority="6804">
      <formula>CC8="K"</formula>
    </cfRule>
    <cfRule type="expression" dxfId="1883" priority="6805">
      <formula>CC8="DEF"</formula>
    </cfRule>
    <cfRule type="expression" dxfId="1879" priority="6806">
      <formula>CC8="TE"</formula>
    </cfRule>
    <cfRule type="expression" dxfId="1880" priority="6807">
      <formula>CC8="WR"</formula>
    </cfRule>
    <cfRule type="expression" dxfId="1881" priority="6808">
      <formula>CC8="RB"</formula>
    </cfRule>
    <cfRule type="expression" dxfId="1882" priority="6809">
      <formula>CC8="QB"</formula>
    </cfRule>
  </conditionalFormatting>
  <conditionalFormatting sqref="CD11">
    <cfRule type="expression" dxfId="1873" priority="6834">
      <formula>CC11="K"</formula>
    </cfRule>
    <cfRule type="expression" dxfId="1872" priority="6835">
      <formula>CC11="DEF"</formula>
    </cfRule>
    <cfRule type="expression" dxfId="1874" priority="6836">
      <formula>CC11="TE"</formula>
    </cfRule>
    <cfRule type="expression" dxfId="1877" priority="6837">
      <formula>CC11="WR"</formula>
    </cfRule>
    <cfRule type="expression" dxfId="1876" priority="6838">
      <formula>CC11="RB"</formula>
    </cfRule>
    <cfRule type="expression" dxfId="1875" priority="6839">
      <formula>CC11="QB"</formula>
    </cfRule>
  </conditionalFormatting>
  <conditionalFormatting sqref="CD14">
    <cfRule type="expression" dxfId="1871" priority="6864">
      <formula>CC14="K"</formula>
    </cfRule>
    <cfRule type="expression" dxfId="1870" priority="6865">
      <formula>CC14="DEF"</formula>
    </cfRule>
    <cfRule type="expression" dxfId="1866" priority="6866">
      <formula>CC14="TE"</formula>
    </cfRule>
    <cfRule type="expression" dxfId="1867" priority="6867">
      <formula>CC14="WR"</formula>
    </cfRule>
    <cfRule type="expression" dxfId="1868" priority="6868">
      <formula>CC14="RB"</formula>
    </cfRule>
    <cfRule type="expression" dxfId="1869" priority="6869">
      <formula>CC14="QB"</formula>
    </cfRule>
  </conditionalFormatting>
  <conditionalFormatting sqref="CD17">
    <cfRule type="expression" dxfId="1865" priority="6894">
      <formula>CC17="K"</formula>
    </cfRule>
    <cfRule type="expression" dxfId="1864" priority="6895">
      <formula>CC17="DEF"</formula>
    </cfRule>
    <cfRule type="expression" dxfId="1861" priority="6896">
      <formula>CC17="TE"</formula>
    </cfRule>
    <cfRule type="expression" dxfId="1863" priority="6897">
      <formula>CC17="WR"</formula>
    </cfRule>
    <cfRule type="expression" dxfId="1860" priority="6898">
      <formula>CC17="RB"</formula>
    </cfRule>
    <cfRule type="expression" dxfId="1862" priority="6899">
      <formula>CC17="QB"</formula>
    </cfRule>
  </conditionalFormatting>
  <conditionalFormatting sqref="CD20">
    <cfRule type="expression" dxfId="1859" priority="6924">
      <formula>CC20="K"</formula>
    </cfRule>
    <cfRule type="expression" dxfId="1858" priority="6925">
      <formula>CC20="DEF"</formula>
    </cfRule>
    <cfRule type="expression" dxfId="1857" priority="6926">
      <formula>CC20="TE"</formula>
    </cfRule>
    <cfRule type="expression" dxfId="1856" priority="6927">
      <formula>CC20="WR"</formula>
    </cfRule>
    <cfRule type="expression" dxfId="1855" priority="6928">
      <formula>CC20="RB"</formula>
    </cfRule>
    <cfRule type="expression" dxfId="1854" priority="6929">
      <formula>CC20="QB"</formula>
    </cfRule>
  </conditionalFormatting>
  <conditionalFormatting sqref="CD23">
    <cfRule type="expression" dxfId="1850" priority="6954">
      <formula>CC23="K"</formula>
    </cfRule>
    <cfRule type="expression" dxfId="1851" priority="6955">
      <formula>CC23="DEF"</formula>
    </cfRule>
    <cfRule type="expression" dxfId="1852" priority="6956">
      <formula>CC23="TE"</formula>
    </cfRule>
    <cfRule type="expression" dxfId="1853" priority="6957">
      <formula>CC23="WR"</formula>
    </cfRule>
    <cfRule type="expression" dxfId="1848" priority="6958">
      <formula>CC23="RB"</formula>
    </cfRule>
    <cfRule type="expression" dxfId="1849" priority="6959">
      <formula>CC23="QB"</formula>
    </cfRule>
  </conditionalFormatting>
  <conditionalFormatting sqref="CD26">
    <cfRule type="expression" dxfId="1845" priority="6984">
      <formula>CC26="K"</formula>
    </cfRule>
    <cfRule type="expression" dxfId="1846" priority="6985">
      <formula>CC26="DEF"</formula>
    </cfRule>
    <cfRule type="expression" dxfId="1847" priority="6986">
      <formula>CC26="TE"</formula>
    </cfRule>
    <cfRule type="expression" dxfId="1844" priority="6987">
      <formula>CC26="WR"</formula>
    </cfRule>
    <cfRule type="expression" dxfId="1843" priority="6988">
      <formula>CC26="RB"</formula>
    </cfRule>
    <cfRule type="expression" dxfId="1842" priority="6989">
      <formula>CC26="QB"</formula>
    </cfRule>
  </conditionalFormatting>
  <conditionalFormatting sqref="CD29">
    <cfRule type="expression" dxfId="1840" priority="7014">
      <formula>CC29="K"</formula>
    </cfRule>
    <cfRule type="expression" dxfId="1839" priority="7015">
      <formula>CC29="DEF"</formula>
    </cfRule>
    <cfRule type="expression" dxfId="1841" priority="7016">
      <formula>CC29="TE"</formula>
    </cfRule>
    <cfRule type="expression" dxfId="1838" priority="7017">
      <formula>CC29="WR"</formula>
    </cfRule>
    <cfRule type="expression" dxfId="1837" priority="7018">
      <formula>CC29="RB"</formula>
    </cfRule>
    <cfRule type="expression" dxfId="1836" priority="7019">
      <formula>CC29="QB"</formula>
    </cfRule>
  </conditionalFormatting>
  <conditionalFormatting sqref="CD32">
    <cfRule type="expression" dxfId="1835" priority="7044">
      <formula>CC32="K"</formula>
    </cfRule>
    <cfRule type="expression" dxfId="1830" priority="7045">
      <formula>CC32="DEF"</formula>
    </cfRule>
    <cfRule type="expression" dxfId="1831" priority="7046">
      <formula>CC32="TE"</formula>
    </cfRule>
    <cfRule type="expression" dxfId="1832" priority="7047">
      <formula>CC32="WR"</formula>
    </cfRule>
    <cfRule type="expression" dxfId="1833" priority="7048">
      <formula>CC32="RB"</formula>
    </cfRule>
    <cfRule type="expression" dxfId="1834" priority="7049">
      <formula>CC32="QB"</formula>
    </cfRule>
  </conditionalFormatting>
  <conditionalFormatting sqref="CD35">
    <cfRule type="expression" dxfId="1824" priority="7074">
      <formula>CC35="K"</formula>
    </cfRule>
    <cfRule type="expression" dxfId="1825" priority="7075">
      <formula>CC35="DEF"</formula>
    </cfRule>
    <cfRule type="expression" dxfId="1826" priority="7076">
      <formula>CC35="TE"</formula>
    </cfRule>
    <cfRule type="expression" dxfId="1829" priority="7077">
      <formula>CC35="WR"</formula>
    </cfRule>
    <cfRule type="expression" dxfId="1828" priority="7078">
      <formula>CC35="RB"</formula>
    </cfRule>
    <cfRule type="expression" dxfId="1827" priority="7079">
      <formula>CC35="QB"</formula>
    </cfRule>
  </conditionalFormatting>
  <conditionalFormatting sqref="CD38">
    <cfRule type="expression" dxfId="1823" priority="7104">
      <formula>CC38="K"</formula>
    </cfRule>
    <cfRule type="expression" dxfId="1822" priority="7105">
      <formula>CC38="DEF"</formula>
    </cfRule>
    <cfRule type="expression" dxfId="1821" priority="7106">
      <formula>CC38="TE"</formula>
    </cfRule>
    <cfRule type="expression" dxfId="1818" priority="7107">
      <formula>CC38="WR"</formula>
    </cfRule>
    <cfRule type="expression" dxfId="1820" priority="7108">
      <formula>CC38="RB"</formula>
    </cfRule>
    <cfRule type="expression" dxfId="1819" priority="7109">
      <formula>CC38="QB"</formula>
    </cfRule>
  </conditionalFormatting>
  <conditionalFormatting sqref="CD41">
    <cfRule type="expression" dxfId="1815" priority="7134">
      <formula>CC41="K"</formula>
    </cfRule>
    <cfRule type="expression" dxfId="1816" priority="7135">
      <formula>CC41="DEF"</formula>
    </cfRule>
    <cfRule type="expression" dxfId="1817" priority="7136">
      <formula>CC41="TE"</formula>
    </cfRule>
    <cfRule type="expression" dxfId="1812" priority="7137">
      <formula>CC41="WR"</formula>
    </cfRule>
    <cfRule type="expression" dxfId="1813" priority="7138">
      <formula>CC41="RB"</formula>
    </cfRule>
    <cfRule type="expression" dxfId="1814" priority="7139">
      <formula>CC41="QB"</formula>
    </cfRule>
  </conditionalFormatting>
  <conditionalFormatting sqref="CD44">
    <cfRule type="expression" dxfId="1810" priority="7164">
      <formula>CC44="K"</formula>
    </cfRule>
    <cfRule type="expression" dxfId="1808" priority="7165">
      <formula>CC44="DEF"</formula>
    </cfRule>
    <cfRule type="expression" dxfId="1807" priority="7166">
      <formula>CC44="TE"</formula>
    </cfRule>
    <cfRule type="expression" dxfId="1806" priority="7167">
      <formula>CC44="WR"</formula>
    </cfRule>
    <cfRule type="expression" dxfId="1809" priority="7168">
      <formula>CC44="RB"</formula>
    </cfRule>
    <cfRule type="expression" dxfId="1811" priority="7169">
      <formula>CC44="QB"</formula>
    </cfRule>
  </conditionalFormatting>
  <conditionalFormatting sqref="CD47">
    <cfRule type="expression" dxfId="1805" priority="7194">
      <formula>CC47="K"</formula>
    </cfRule>
    <cfRule type="expression" dxfId="1804" priority="7195">
      <formula>CC47="DEF"</formula>
    </cfRule>
    <cfRule type="expression" dxfId="1803" priority="7196">
      <formula>CC47="TE"</formula>
    </cfRule>
    <cfRule type="expression" dxfId="1802" priority="7197">
      <formula>CC47="WR"</formula>
    </cfRule>
    <cfRule type="expression" dxfId="1801" priority="7198">
      <formula>CC47="RB"</formula>
    </cfRule>
    <cfRule type="expression" dxfId="1800" priority="7199">
      <formula>CC47="QB"</formula>
    </cfRule>
  </conditionalFormatting>
  <conditionalFormatting sqref="CF4">
    <cfRule type="expression" dxfId="1799" priority="7201">
      <formula>CH5="DEF"</formula>
    </cfRule>
    <cfRule type="expression" dxfId="1798" priority="7202">
      <formula>CH5="TE"</formula>
    </cfRule>
    <cfRule type="expression" dxfId="1797" priority="7203">
      <formula>CH5="WR"</formula>
    </cfRule>
    <cfRule type="expression" dxfId="1796" priority="7204">
      <formula>CH5="RB"</formula>
    </cfRule>
    <cfRule type="expression" dxfId="1795" priority="7205">
      <formula>CH5="QB"</formula>
    </cfRule>
  </conditionalFormatting>
  <conditionalFormatting sqref="CF5">
    <cfRule type="expression" dxfId="1794" priority="7206">
      <formula>CH5="K"</formula>
    </cfRule>
    <cfRule type="expression" dxfId="1793" priority="7207">
      <formula>CH5="DEF"</formula>
    </cfRule>
    <cfRule type="expression" dxfId="1792" priority="7208">
      <formula>CH5="TE"</formula>
    </cfRule>
    <cfRule type="expression" dxfId="1791" priority="7209">
      <formula>CH5="WR"</formula>
    </cfRule>
    <cfRule type="expression" dxfId="1790" priority="7210">
      <formula>CH5="RB"</formula>
    </cfRule>
    <cfRule type="expression" dxfId="1789" priority="7211">
      <formula>CH5="QB"</formula>
    </cfRule>
  </conditionalFormatting>
  <conditionalFormatting sqref="CF7">
    <cfRule type="expression" dxfId="1788" priority="7231">
      <formula>CH8="DEF"</formula>
    </cfRule>
    <cfRule type="expression" dxfId="1784" priority="7232">
      <formula>CH8="TE"</formula>
    </cfRule>
    <cfRule type="expression" dxfId="1785" priority="7233">
      <formula>CH8="WR"</formula>
    </cfRule>
    <cfRule type="expression" dxfId="1786" priority="7234">
      <formula>CH8="RB"</formula>
    </cfRule>
    <cfRule type="expression" dxfId="1787" priority="7235">
      <formula>CH8="QB"</formula>
    </cfRule>
  </conditionalFormatting>
  <conditionalFormatting sqref="CF8">
    <cfRule type="expression" dxfId="1783" priority="7236">
      <formula>CH8="K"</formula>
    </cfRule>
    <cfRule type="expression" dxfId="1782" priority="7237">
      <formula>CH8="DEF"</formula>
    </cfRule>
    <cfRule type="expression" dxfId="1780" priority="7238">
      <formula>CH8="TE"</formula>
    </cfRule>
    <cfRule type="expression" dxfId="1781" priority="7239">
      <formula>CH8="WR"</formula>
    </cfRule>
    <cfRule type="expression" dxfId="1778" priority="7240">
      <formula>CH8="RB"</formula>
    </cfRule>
    <cfRule type="expression" dxfId="1779" priority="7241">
      <formula>CH8="QB"</formula>
    </cfRule>
  </conditionalFormatting>
  <conditionalFormatting sqref="CF10">
    <cfRule type="expression" dxfId="1777" priority="7261">
      <formula>CH11="DEF"</formula>
    </cfRule>
    <cfRule type="expression" dxfId="1776" priority="7262">
      <formula>CH11="TE"</formula>
    </cfRule>
    <cfRule type="expression" dxfId="1773" priority="7263">
      <formula>CH11="WR"</formula>
    </cfRule>
    <cfRule type="expression" dxfId="1775" priority="7264">
      <formula>CH11="RB"</formula>
    </cfRule>
    <cfRule type="expression" dxfId="1774" priority="7265">
      <formula>CH11="QB"</formula>
    </cfRule>
  </conditionalFormatting>
  <conditionalFormatting sqref="CF11">
    <cfRule type="expression" dxfId="1772" priority="7266">
      <formula>CH11="K"</formula>
    </cfRule>
    <cfRule type="expression" dxfId="1767" priority="7267">
      <formula>CH11="DEF"</formula>
    </cfRule>
    <cfRule type="expression" dxfId="1768" priority="7268">
      <formula>CH11="TE"</formula>
    </cfRule>
    <cfRule type="expression" dxfId="1769" priority="7269">
      <formula>CH11="WR"</formula>
    </cfRule>
    <cfRule type="expression" dxfId="1770" priority="7270">
      <formula>CH11="RB"</formula>
    </cfRule>
    <cfRule type="expression" dxfId="1771" priority="7271">
      <formula>CH11="QB"</formula>
    </cfRule>
  </conditionalFormatting>
  <conditionalFormatting sqref="CF13">
    <cfRule type="expression" dxfId="1765" priority="7291">
      <formula>CH14="DEF"</formula>
    </cfRule>
    <cfRule type="expression" dxfId="1766" priority="7292">
      <formula>CH14="TE"</formula>
    </cfRule>
    <cfRule type="expression" dxfId="1764" priority="7293">
      <formula>CH14="WR"</formula>
    </cfRule>
    <cfRule type="expression" dxfId="1763" priority="7294">
      <formula>CH14="RB"</formula>
    </cfRule>
    <cfRule type="expression" dxfId="1762" priority="7295">
      <formula>CH14="QB"</formula>
    </cfRule>
  </conditionalFormatting>
  <conditionalFormatting sqref="CF14">
    <cfRule type="expression" dxfId="1757" priority="7296">
      <formula>CH14="K"</formula>
    </cfRule>
    <cfRule type="expression" dxfId="1756" priority="7297">
      <formula>CH14="DEF"</formula>
    </cfRule>
    <cfRule type="expression" dxfId="1758" priority="7298">
      <formula>CH14="TE"</formula>
    </cfRule>
    <cfRule type="expression" dxfId="1759" priority="7299">
      <formula>CH14="WR"</formula>
    </cfRule>
    <cfRule type="expression" dxfId="1760" priority="7300">
      <formula>CH14="RB"</formula>
    </cfRule>
    <cfRule type="expression" dxfId="1761" priority="7301">
      <formula>CH14="QB"</formula>
    </cfRule>
  </conditionalFormatting>
  <conditionalFormatting sqref="CF16">
    <cfRule type="expression" dxfId="1753" priority="7321">
      <formula>CH17="DEF"</formula>
    </cfRule>
    <cfRule type="expression" dxfId="1752" priority="7322">
      <formula>CH17="TE"</formula>
    </cfRule>
    <cfRule type="expression" dxfId="1751" priority="7323">
      <formula>CH17="WR"</formula>
    </cfRule>
    <cfRule type="expression" dxfId="1755" priority="7324">
      <formula>CH17="RB"</formula>
    </cfRule>
    <cfRule type="expression" dxfId="1754" priority="7325">
      <formula>CH17="QB"</formula>
    </cfRule>
  </conditionalFormatting>
  <conditionalFormatting sqref="CF17">
    <cfRule type="expression" dxfId="1748" priority="7326">
      <formula>CH17="K"</formula>
    </cfRule>
    <cfRule type="expression" dxfId="1747" priority="7327">
      <formula>CH17="DEF"</formula>
    </cfRule>
    <cfRule type="expression" dxfId="1745" priority="7328">
      <formula>CH17="TE"</formula>
    </cfRule>
    <cfRule type="expression" dxfId="1749" priority="7329">
      <formula>CH17="WR"</formula>
    </cfRule>
    <cfRule type="expression" dxfId="1746" priority="7330">
      <formula>CH17="RB"</formula>
    </cfRule>
    <cfRule type="expression" dxfId="1750" priority="7331">
      <formula>CH17="QB"</formula>
    </cfRule>
  </conditionalFormatting>
  <conditionalFormatting sqref="CF19">
    <cfRule type="expression" dxfId="1740" priority="7351">
      <formula>CH20="DEF"</formula>
    </cfRule>
    <cfRule type="expression" dxfId="1744" priority="7352">
      <formula>CH20="TE"</formula>
    </cfRule>
    <cfRule type="expression" dxfId="1743" priority="7353">
      <formula>CH20="WR"</formula>
    </cfRule>
    <cfRule type="expression" dxfId="1741" priority="7354">
      <formula>CH20="RB"</formula>
    </cfRule>
    <cfRule type="expression" dxfId="1742" priority="7355">
      <formula>CH20="QB"</formula>
    </cfRule>
  </conditionalFormatting>
  <conditionalFormatting sqref="CF20">
    <cfRule type="expression" dxfId="1734" priority="7356">
      <formula>CH20="K"</formula>
    </cfRule>
    <cfRule type="expression" dxfId="1739" priority="7357">
      <formula>CH20="DEF"</formula>
    </cfRule>
    <cfRule type="expression" dxfId="1738" priority="7358">
      <formula>CH20="TE"</formula>
    </cfRule>
    <cfRule type="expression" dxfId="1737" priority="7359">
      <formula>CH20="WR"</formula>
    </cfRule>
    <cfRule type="expression" dxfId="1736" priority="7360">
      <formula>CH20="RB"</formula>
    </cfRule>
    <cfRule type="expression" dxfId="1735" priority="7361">
      <formula>CH20="QB"</formula>
    </cfRule>
  </conditionalFormatting>
  <conditionalFormatting sqref="CF22">
    <cfRule type="expression" dxfId="1732" priority="7381">
      <formula>CH23="DEF"</formula>
    </cfRule>
    <cfRule type="expression" dxfId="1733" priority="7382">
      <formula>CH23="TE"</formula>
    </cfRule>
    <cfRule type="expression" dxfId="1729" priority="7383">
      <formula>CH23="WR"</formula>
    </cfRule>
    <cfRule type="expression" dxfId="1730" priority="7384">
      <formula>CH23="RB"</formula>
    </cfRule>
    <cfRule type="expression" dxfId="1731" priority="7385">
      <formula>CH23="QB"</formula>
    </cfRule>
  </conditionalFormatting>
  <conditionalFormatting sqref="CF23">
    <cfRule type="expression" dxfId="1723" priority="7386">
      <formula>CH23="K"</formula>
    </cfRule>
    <cfRule type="expression" dxfId="1724" priority="7387">
      <formula>CH23="DEF"</formula>
    </cfRule>
    <cfRule type="expression" dxfId="1728" priority="7388">
      <formula>CH23="TE"</formula>
    </cfRule>
    <cfRule type="expression" dxfId="1725" priority="7389">
      <formula>CH23="WR"</formula>
    </cfRule>
    <cfRule type="expression" dxfId="1726" priority="7390">
      <formula>CH23="RB"</formula>
    </cfRule>
    <cfRule type="expression" dxfId="1727" priority="7391">
      <formula>CH23="QB"</formula>
    </cfRule>
  </conditionalFormatting>
  <conditionalFormatting sqref="CF25">
    <cfRule type="expression" dxfId="1721" priority="7411">
      <formula>CH26="DEF"</formula>
    </cfRule>
    <cfRule type="expression" dxfId="1720" priority="7412">
      <formula>CH26="TE"</formula>
    </cfRule>
    <cfRule type="expression" dxfId="1722" priority="7413">
      <formula>CH26="WR"</formula>
    </cfRule>
    <cfRule type="expression" dxfId="1719" priority="7414">
      <formula>CH26="RB"</formula>
    </cfRule>
    <cfRule type="expression" dxfId="1718" priority="7415">
      <formula>CH26="QB"</formula>
    </cfRule>
  </conditionalFormatting>
  <conditionalFormatting sqref="CF26">
    <cfRule type="expression" dxfId="1714" priority="7416">
      <formula>CH26="K"</formula>
    </cfRule>
    <cfRule type="expression" dxfId="1715" priority="7417">
      <formula>CH26="DEF"</formula>
    </cfRule>
    <cfRule type="expression" dxfId="1712" priority="7418">
      <formula>CH26="TE"</formula>
    </cfRule>
    <cfRule type="expression" dxfId="1713" priority="7419">
      <formula>CH26="WR"</formula>
    </cfRule>
    <cfRule type="expression" dxfId="1717" priority="7420">
      <formula>CH26="RB"</formula>
    </cfRule>
    <cfRule type="expression" dxfId="1716" priority="7421">
      <formula>CH26="QB"</formula>
    </cfRule>
  </conditionalFormatting>
  <conditionalFormatting sqref="CF28">
    <cfRule type="expression" dxfId="1711" priority="7441">
      <formula>CH29="DEF"</formula>
    </cfRule>
    <cfRule type="expression" dxfId="1707" priority="7442">
      <formula>CH29="TE"</formula>
    </cfRule>
    <cfRule type="expression" dxfId="1710" priority="7443">
      <formula>CH29="WR"</formula>
    </cfRule>
    <cfRule type="expression" dxfId="1708" priority="7444">
      <formula>CH29="RB"</formula>
    </cfRule>
    <cfRule type="expression" dxfId="1709" priority="7445">
      <formula>CH29="QB"</formula>
    </cfRule>
  </conditionalFormatting>
  <conditionalFormatting sqref="CF29">
    <cfRule type="expression" dxfId="1706" priority="7446">
      <formula>CH29="K"</formula>
    </cfRule>
    <cfRule type="expression" dxfId="1702" priority="7447">
      <formula>CH29="DEF"</formula>
    </cfRule>
    <cfRule type="expression" dxfId="1703" priority="7448">
      <formula>CH29="TE"</formula>
    </cfRule>
    <cfRule type="expression" dxfId="1704" priority="7449">
      <formula>CH29="WR"</formula>
    </cfRule>
    <cfRule type="expression" dxfId="1701" priority="7450">
      <formula>CH29="RB"</formula>
    </cfRule>
    <cfRule type="expression" dxfId="1705" priority="7451">
      <formula>CH29="QB"</formula>
    </cfRule>
  </conditionalFormatting>
  <conditionalFormatting sqref="CF31">
    <cfRule type="expression" dxfId="1697" priority="7471">
      <formula>CH32="DEF"</formula>
    </cfRule>
    <cfRule type="expression" dxfId="1698" priority="7472">
      <formula>CH32="TE"</formula>
    </cfRule>
    <cfRule type="expression" dxfId="1699" priority="7473">
      <formula>CH32="WR"</formula>
    </cfRule>
    <cfRule type="expression" dxfId="1696" priority="7474">
      <formula>CH32="RB"</formula>
    </cfRule>
    <cfRule type="expression" dxfId="1700" priority="7475">
      <formula>CH32="QB"</formula>
    </cfRule>
  </conditionalFormatting>
  <conditionalFormatting sqref="CF32">
    <cfRule type="expression" dxfId="1693" priority="7476">
      <formula>CH32="K"</formula>
    </cfRule>
    <cfRule type="expression" dxfId="1694" priority="7477">
      <formula>CH32="DEF"</formula>
    </cfRule>
    <cfRule type="expression" dxfId="1695" priority="7478">
      <formula>CH32="TE"</formula>
    </cfRule>
    <cfRule type="expression" dxfId="1692" priority="7479">
      <formula>CH32="WR"</formula>
    </cfRule>
    <cfRule type="expression" dxfId="1691" priority="7480">
      <formula>CH32="RB"</formula>
    </cfRule>
    <cfRule type="expression" dxfId="1690" priority="7481">
      <formula>CH32="QB"</formula>
    </cfRule>
  </conditionalFormatting>
  <conditionalFormatting sqref="CF34">
    <cfRule type="expression" dxfId="1685" priority="7501">
      <formula>CH35="DEF"</formula>
    </cfRule>
    <cfRule type="expression" dxfId="1689" priority="7502">
      <formula>CH35="TE"</formula>
    </cfRule>
    <cfRule type="expression" dxfId="1686" priority="7503">
      <formula>CH35="WR"</formula>
    </cfRule>
    <cfRule type="expression" dxfId="1687" priority="7504">
      <formula>CH35="RB"</formula>
    </cfRule>
    <cfRule type="expression" dxfId="1688" priority="7505">
      <formula>CH35="QB"</formula>
    </cfRule>
  </conditionalFormatting>
  <conditionalFormatting sqref="CF35">
    <cfRule type="expression" dxfId="1680" priority="7506">
      <formula>CH35="K"</formula>
    </cfRule>
    <cfRule type="expression" dxfId="1681" priority="7507">
      <formula>CH35="DEF"</formula>
    </cfRule>
    <cfRule type="expression" dxfId="1682" priority="7508">
      <formula>CH35="TE"</formula>
    </cfRule>
    <cfRule type="expression" dxfId="1683" priority="7509">
      <formula>CH35="WR"</formula>
    </cfRule>
    <cfRule type="expression" dxfId="1684" priority="7510">
      <formula>CH35="RB"</formula>
    </cfRule>
    <cfRule type="expression" dxfId="1679" priority="7511">
      <formula>CH35="QB"</formula>
    </cfRule>
  </conditionalFormatting>
  <conditionalFormatting sqref="CF37">
    <cfRule type="expression" dxfId="1678" priority="7531">
      <formula>CH38="DEF"</formula>
    </cfRule>
    <cfRule type="expression" dxfId="1677" priority="7532">
      <formula>CH38="TE"</formula>
    </cfRule>
    <cfRule type="expression" dxfId="1676" priority="7533">
      <formula>CH38="WR"</formula>
    </cfRule>
    <cfRule type="expression" dxfId="1675" priority="7534">
      <formula>CH38="RB"</formula>
    </cfRule>
    <cfRule type="expression" dxfId="1674" priority="7535">
      <formula>CH38="QB"</formula>
    </cfRule>
  </conditionalFormatting>
  <conditionalFormatting sqref="CF38">
    <cfRule type="expression" dxfId="1673" priority="7536">
      <formula>CH38="K"</formula>
    </cfRule>
    <cfRule type="expression" dxfId="1669" priority="7537">
      <formula>CH38="DEF"</formula>
    </cfRule>
    <cfRule type="expression" dxfId="1670" priority="7538">
      <formula>CH38="TE"</formula>
    </cfRule>
    <cfRule type="expression" dxfId="1671" priority="7539">
      <formula>CH38="WR"</formula>
    </cfRule>
    <cfRule type="expression" dxfId="1668" priority="7540">
      <formula>CH38="RB"</formula>
    </cfRule>
    <cfRule type="expression" dxfId="1672" priority="7541">
      <formula>CH38="QB"</formula>
    </cfRule>
  </conditionalFormatting>
  <conditionalFormatting sqref="CF40">
    <cfRule type="expression" dxfId="1667" priority="7561">
      <formula>CH41="DEF"</formula>
    </cfRule>
    <cfRule type="expression" dxfId="1663" priority="7562">
      <formula>CH41="TE"</formula>
    </cfRule>
    <cfRule type="expression" dxfId="1664" priority="7563">
      <formula>CH41="WR"</formula>
    </cfRule>
    <cfRule type="expression" dxfId="1665" priority="7564">
      <formula>CH41="RB"</formula>
    </cfRule>
    <cfRule type="expression" dxfId="1666" priority="7565">
      <formula>CH41="QB"</formula>
    </cfRule>
  </conditionalFormatting>
  <conditionalFormatting sqref="CF41">
    <cfRule type="expression" dxfId="1657" priority="7566">
      <formula>CH41="K"</formula>
    </cfRule>
    <cfRule type="expression" dxfId="1662" priority="7567">
      <formula>CH41="DEF"</formula>
    </cfRule>
    <cfRule type="expression" dxfId="1661" priority="7568">
      <formula>CH41="TE"</formula>
    </cfRule>
    <cfRule type="expression" dxfId="1660" priority="7569">
      <formula>CH41="WR"</formula>
    </cfRule>
    <cfRule type="expression" dxfId="1659" priority="7570">
      <formula>CH41="RB"</formula>
    </cfRule>
    <cfRule type="expression" dxfId="1658" priority="7571">
      <formula>CH41="QB"</formula>
    </cfRule>
  </conditionalFormatting>
  <conditionalFormatting sqref="CF43">
    <cfRule type="expression" dxfId="1652" priority="7591">
      <formula>CH44="DEF"</formula>
    </cfRule>
    <cfRule type="expression" dxfId="1656" priority="7592">
      <formula>CH44="TE"</formula>
    </cfRule>
    <cfRule type="expression" dxfId="1655" priority="7593">
      <formula>CH44="WR"</formula>
    </cfRule>
    <cfRule type="expression" dxfId="1654" priority="7594">
      <formula>CH44="RB"</formula>
    </cfRule>
    <cfRule type="expression" dxfId="1653" priority="7595">
      <formula>CH44="QB"</formula>
    </cfRule>
  </conditionalFormatting>
  <conditionalFormatting sqref="CF44">
    <cfRule type="expression" dxfId="1648" priority="7596">
      <formula>CH44="K"</formula>
    </cfRule>
    <cfRule type="expression" dxfId="1647" priority="7597">
      <formula>CH44="DEF"</formula>
    </cfRule>
    <cfRule type="expression" dxfId="1646" priority="7598">
      <formula>CH44="TE"</formula>
    </cfRule>
    <cfRule type="expression" dxfId="1649" priority="7599">
      <formula>CH44="WR"</formula>
    </cfRule>
    <cfRule type="expression" dxfId="1651" priority="7600">
      <formula>CH44="RB"</formula>
    </cfRule>
    <cfRule type="expression" dxfId="1650" priority="7601">
      <formula>CH44="QB"</formula>
    </cfRule>
  </conditionalFormatting>
  <conditionalFormatting sqref="CF46">
    <cfRule type="expression" dxfId="1641" priority="7621">
      <formula>CH47="DEF"</formula>
    </cfRule>
    <cfRule type="expression" dxfId="1645" priority="7622">
      <formula>CH47="TE"</formula>
    </cfRule>
    <cfRule type="expression" dxfId="1642" priority="7623">
      <formula>CH47="WR"</formula>
    </cfRule>
    <cfRule type="expression" dxfId="1643" priority="7624">
      <formula>CH47="RB"</formula>
    </cfRule>
    <cfRule type="expression" dxfId="1644" priority="7625">
      <formula>CH47="QB"</formula>
    </cfRule>
  </conditionalFormatting>
  <conditionalFormatting sqref="CF47">
    <cfRule type="expression" dxfId="1635" priority="7626">
      <formula>CH47="K"</formula>
    </cfRule>
    <cfRule type="expression" dxfId="1636" priority="7627">
      <formula>CH47="DEF"</formula>
    </cfRule>
    <cfRule type="expression" dxfId="1637" priority="7628">
      <formula>CH47="TE"</formula>
    </cfRule>
    <cfRule type="expression" dxfId="1638" priority="7629">
      <formula>CH47="WR"</formula>
    </cfRule>
    <cfRule type="expression" dxfId="1640" priority="7630">
      <formula>CH47="RB"</formula>
    </cfRule>
    <cfRule type="expression" dxfId="1639" priority="7631">
      <formula>CH47="QB"</formula>
    </cfRule>
  </conditionalFormatting>
  <conditionalFormatting sqref="CF4:CI4">
    <cfRule type="expression" dxfId="1634" priority="7230">
      <formula>CH5="K"</formula>
    </cfRule>
  </conditionalFormatting>
  <conditionalFormatting sqref="CF7:CI7">
    <cfRule type="expression" dxfId="1633" priority="7260">
      <formula>CH8="K"</formula>
    </cfRule>
  </conditionalFormatting>
  <conditionalFormatting sqref="CF10:CI10">
    <cfRule type="expression" dxfId="1632" priority="7290">
      <formula>CH11="K"</formula>
    </cfRule>
  </conditionalFormatting>
  <conditionalFormatting sqref="CF13:CI13">
    <cfRule type="expression" dxfId="1631" priority="7320">
      <formula>CH14="K"</formula>
    </cfRule>
  </conditionalFormatting>
  <conditionalFormatting sqref="CF16:CI16">
    <cfRule type="expression" dxfId="1630" priority="7350">
      <formula>CH17="K"</formula>
    </cfRule>
  </conditionalFormatting>
  <conditionalFormatting sqref="CF19:CI19">
    <cfRule type="expression" dxfId="1629" priority="7380">
      <formula>CH20="K"</formula>
    </cfRule>
  </conditionalFormatting>
  <conditionalFormatting sqref="CF22:CI22">
    <cfRule type="expression" dxfId="1628" priority="7410">
      <formula>CH23="K"</formula>
    </cfRule>
  </conditionalFormatting>
  <conditionalFormatting sqref="CF25:CI25">
    <cfRule type="expression" dxfId="1627" priority="7440">
      <formula>CH26="K"</formula>
    </cfRule>
  </conditionalFormatting>
  <conditionalFormatting sqref="CF28:CI28">
    <cfRule type="expression" dxfId="1626" priority="7470">
      <formula>CH29="K"</formula>
    </cfRule>
  </conditionalFormatting>
  <conditionalFormatting sqref="CF31:CI31">
    <cfRule type="expression" dxfId="1625" priority="7500">
      <formula>CH32="K"</formula>
    </cfRule>
  </conditionalFormatting>
  <conditionalFormatting sqref="CF34:CI34">
    <cfRule type="expression" dxfId="1624" priority="7530">
      <formula>CH35="K"</formula>
    </cfRule>
  </conditionalFormatting>
  <conditionalFormatting sqref="CF37:CI37">
    <cfRule type="expression" dxfId="1623" priority="7560">
      <formula>CH38="K"</formula>
    </cfRule>
  </conditionalFormatting>
  <conditionalFormatting sqref="CF40:CI40">
    <cfRule type="expression" dxfId="1622" priority="7590">
      <formula>CH41="K"</formula>
    </cfRule>
  </conditionalFormatting>
  <conditionalFormatting sqref="CF43:CI43">
    <cfRule type="expression" dxfId="1621" priority="7620">
      <formula>CH44="K"</formula>
    </cfRule>
  </conditionalFormatting>
  <conditionalFormatting sqref="CF46:CI46">
    <cfRule type="expression" dxfId="1620" priority="7650">
      <formula>CH47="K"</formula>
    </cfRule>
  </conditionalFormatting>
  <conditionalFormatting sqref="CG5">
    <cfRule type="expression" dxfId="1614" priority="7212">
      <formula>CH5="K"</formula>
    </cfRule>
    <cfRule type="expression" dxfId="1619" priority="7213">
      <formula>CH5="DEF"</formula>
    </cfRule>
    <cfRule type="expression" dxfId="1618" priority="7214">
      <formula>CH5="TE"</formula>
    </cfRule>
    <cfRule type="expression" dxfId="1617" priority="7215">
      <formula>CH5="WR"</formula>
    </cfRule>
    <cfRule type="expression" dxfId="1616" priority="7216">
      <formula>CH5="RB"</formula>
    </cfRule>
    <cfRule type="expression" dxfId="1615" priority="7217">
      <formula>CH5="QB"</formula>
    </cfRule>
  </conditionalFormatting>
  <conditionalFormatting sqref="CG8">
    <cfRule type="expression" dxfId="1613" priority="7242">
      <formula>CH8="K"</formula>
    </cfRule>
    <cfRule type="expression" dxfId="1612" priority="7243">
      <formula>CH8="DEF"</formula>
    </cfRule>
    <cfRule type="expression" dxfId="1608" priority="7244">
      <formula>CH8="TE"</formula>
    </cfRule>
    <cfRule type="expression" dxfId="1611" priority="7245">
      <formula>CH8="WR"</formula>
    </cfRule>
    <cfRule type="expression" dxfId="1610" priority="7246">
      <formula>CH8="RB"</formula>
    </cfRule>
    <cfRule type="expression" dxfId="1609" priority="7247">
      <formula>CH8="QB"</formula>
    </cfRule>
  </conditionalFormatting>
  <conditionalFormatting sqref="CG11">
    <cfRule type="expression" dxfId="1607" priority="7272">
      <formula>CH11="K"</formula>
    </cfRule>
    <cfRule type="expression" dxfId="1606" priority="7273">
      <formula>CH11="DEF"</formula>
    </cfRule>
    <cfRule type="expression" dxfId="1605" priority="7274">
      <formula>CH11="TE"</formula>
    </cfRule>
    <cfRule type="expression" dxfId="1602" priority="7275">
      <formula>CH11="WR"</formula>
    </cfRule>
    <cfRule type="expression" dxfId="1604" priority="7276">
      <formula>CH11="RB"</formula>
    </cfRule>
    <cfRule type="expression" dxfId="1603" priority="7277">
      <formula>CH11="QB"</formula>
    </cfRule>
  </conditionalFormatting>
  <conditionalFormatting sqref="CG14">
    <cfRule type="expression" dxfId="1600" priority="7302">
      <formula>CH14="K"</formula>
    </cfRule>
    <cfRule type="expression" dxfId="1599" priority="7303">
      <formula>CH14="DEF"</formula>
    </cfRule>
    <cfRule type="expression" dxfId="1598" priority="7304">
      <formula>CH14="TE"</formula>
    </cfRule>
    <cfRule type="expression" dxfId="1596" priority="7305">
      <formula>CH14="WR"</formula>
    </cfRule>
    <cfRule type="expression" dxfId="1601" priority="7306">
      <formula>CH14="RB"</formula>
    </cfRule>
    <cfRule type="expression" dxfId="1597" priority="7307">
      <formula>CH14="QB"</formula>
    </cfRule>
  </conditionalFormatting>
  <conditionalFormatting sqref="CG17">
    <cfRule type="expression" dxfId="1594" priority="7332">
      <formula>CH17="K"</formula>
    </cfRule>
    <cfRule type="expression" dxfId="1590" priority="7333">
      <formula>CH17="DEF"</formula>
    </cfRule>
    <cfRule type="expression" dxfId="1591" priority="7334">
      <formula>CH17="TE"</formula>
    </cfRule>
    <cfRule type="expression" dxfId="1593" priority="7335">
      <formula>CH17="WR"</formula>
    </cfRule>
    <cfRule type="expression" dxfId="1592" priority="7336">
      <formula>CH17="RB"</formula>
    </cfRule>
    <cfRule type="expression" dxfId="1595" priority="7337">
      <formula>CH17="QB"</formula>
    </cfRule>
  </conditionalFormatting>
  <conditionalFormatting sqref="CG20">
    <cfRule type="expression" dxfId="1587" priority="7362">
      <formula>CH20="K"</formula>
    </cfRule>
    <cfRule type="expression" dxfId="1586" priority="7363">
      <formula>CH20="DEF"</formula>
    </cfRule>
    <cfRule type="expression" dxfId="1584" priority="7364">
      <formula>CH20="TE"</formula>
    </cfRule>
    <cfRule type="expression" dxfId="1585" priority="7365">
      <formula>CH20="WR"</formula>
    </cfRule>
    <cfRule type="expression" dxfId="1589" priority="7366">
      <formula>CH20="RB"</formula>
    </cfRule>
    <cfRule type="expression" dxfId="1588" priority="7367">
      <formula>CH20="QB"</formula>
    </cfRule>
  </conditionalFormatting>
  <conditionalFormatting sqref="CG23">
    <cfRule type="expression" dxfId="1581" priority="7392">
      <formula>CH23="K"</formula>
    </cfRule>
    <cfRule type="expression" dxfId="1578" priority="7393">
      <formula>CH23="DEF"</formula>
    </cfRule>
    <cfRule type="expression" dxfId="1582" priority="7394">
      <formula>CH23="TE"</formula>
    </cfRule>
    <cfRule type="expression" dxfId="1580" priority="7395">
      <formula>CH23="WR"</formula>
    </cfRule>
    <cfRule type="expression" dxfId="1579" priority="7396">
      <formula>CH23="RB"</formula>
    </cfRule>
    <cfRule type="expression" dxfId="1583" priority="7397">
      <formula>CH23="QB"</formula>
    </cfRule>
  </conditionalFormatting>
  <conditionalFormatting sqref="CG26">
    <cfRule type="expression" dxfId="1575" priority="7422">
      <formula>CH26="K"</formula>
    </cfRule>
    <cfRule type="expression" dxfId="1572" priority="7423">
      <formula>CH26="DEF"</formula>
    </cfRule>
    <cfRule type="expression" dxfId="1577" priority="7424">
      <formula>CH26="TE"</formula>
    </cfRule>
    <cfRule type="expression" dxfId="1576" priority="7425">
      <formula>CH26="WR"</formula>
    </cfRule>
    <cfRule type="expression" dxfId="1574" priority="7426">
      <formula>CH26="RB"</formula>
    </cfRule>
    <cfRule type="expression" dxfId="1573" priority="7427">
      <formula>CH26="QB"</formula>
    </cfRule>
  </conditionalFormatting>
  <conditionalFormatting sqref="CG29">
    <cfRule type="expression" dxfId="1566" priority="7452">
      <formula>CH29="K"</formula>
    </cfRule>
    <cfRule type="expression" dxfId="1569" priority="7453">
      <formula>CH29="DEF"</formula>
    </cfRule>
    <cfRule type="expression" dxfId="1570" priority="7454">
      <formula>CH29="TE"</formula>
    </cfRule>
    <cfRule type="expression" dxfId="1568" priority="7455">
      <formula>CH29="WR"</formula>
    </cfRule>
    <cfRule type="expression" dxfId="1567" priority="7456">
      <formula>CH29="RB"</formula>
    </cfRule>
    <cfRule type="expression" dxfId="1571" priority="7457">
      <formula>CH29="QB"</formula>
    </cfRule>
  </conditionalFormatting>
  <conditionalFormatting sqref="CG32">
    <cfRule type="expression" dxfId="1561" priority="7482">
      <formula>CH32="K"</formula>
    </cfRule>
    <cfRule type="expression" dxfId="1560" priority="7483">
      <formula>CH32="DEF"</formula>
    </cfRule>
    <cfRule type="expression" dxfId="1565" priority="7484">
      <formula>CH32="TE"</formula>
    </cfRule>
    <cfRule type="expression" dxfId="1562" priority="7485">
      <formula>CH32="WR"</formula>
    </cfRule>
    <cfRule type="expression" dxfId="1563" priority="7486">
      <formula>CH32="RB"</formula>
    </cfRule>
    <cfRule type="expression" dxfId="1564" priority="7487">
      <formula>CH32="QB"</formula>
    </cfRule>
  </conditionalFormatting>
  <conditionalFormatting sqref="CG35">
    <cfRule type="expression" dxfId="1558" priority="7512">
      <formula>CH35="K"</formula>
    </cfRule>
    <cfRule type="expression" dxfId="1557" priority="7513">
      <formula>CH35="DEF"</formula>
    </cfRule>
    <cfRule type="expression" dxfId="1554" priority="7514">
      <formula>CH35="TE"</formula>
    </cfRule>
    <cfRule type="expression" dxfId="1555" priority="7515">
      <formula>CH35="WR"</formula>
    </cfRule>
    <cfRule type="expression" dxfId="1559" priority="7516">
      <formula>CH35="RB"</formula>
    </cfRule>
    <cfRule type="expression" dxfId="1556" priority="7517">
      <formula>CH35="QB"</formula>
    </cfRule>
  </conditionalFormatting>
  <conditionalFormatting sqref="CG38">
    <cfRule type="expression" dxfId="1548" priority="7542">
      <formula>CH38="K"</formula>
    </cfRule>
    <cfRule type="expression" dxfId="1549" priority="7543">
      <formula>CH38="DEF"</formula>
    </cfRule>
    <cfRule type="expression" dxfId="1550" priority="7544">
      <formula>CH38="TE"</formula>
    </cfRule>
    <cfRule type="expression" dxfId="1553" priority="7545">
      <formula>CH38="WR"</formula>
    </cfRule>
    <cfRule type="expression" dxfId="1551" priority="7546">
      <formula>CH38="RB"</formula>
    </cfRule>
    <cfRule type="expression" dxfId="1552" priority="7547">
      <formula>CH38="QB"</formula>
    </cfRule>
  </conditionalFormatting>
  <conditionalFormatting sqref="CG41">
    <cfRule type="expression" dxfId="1546" priority="7572">
      <formula>CH41="K"</formula>
    </cfRule>
    <cfRule type="expression" dxfId="1542" priority="7573">
      <formula>CH41="DEF"</formula>
    </cfRule>
    <cfRule type="expression" dxfId="1547" priority="7574">
      <formula>CH41="TE"</formula>
    </cfRule>
    <cfRule type="expression" dxfId="1545" priority="7575">
      <formula>CH41="WR"</formula>
    </cfRule>
    <cfRule type="expression" dxfId="1544" priority="7576">
      <formula>CH41="RB"</formula>
    </cfRule>
    <cfRule type="expression" dxfId="1543" priority="7577">
      <formula>CH41="QB"</formula>
    </cfRule>
  </conditionalFormatting>
  <conditionalFormatting sqref="CG44">
    <cfRule type="expression" dxfId="1538" priority="7602">
      <formula>CH44="K"</formula>
    </cfRule>
    <cfRule type="expression" dxfId="1537" priority="7603">
      <formula>CH44="DEF"</formula>
    </cfRule>
    <cfRule type="expression" dxfId="1536" priority="7604">
      <formula>CH44="TE"</formula>
    </cfRule>
    <cfRule type="expression" dxfId="1541" priority="7605">
      <formula>CH44="WR"</formula>
    </cfRule>
    <cfRule type="expression" dxfId="1540" priority="7606">
      <formula>CH44="RB"</formula>
    </cfRule>
    <cfRule type="expression" dxfId="1539" priority="7607">
      <formula>CH44="QB"</formula>
    </cfRule>
  </conditionalFormatting>
  <conditionalFormatting sqref="CG47">
    <cfRule type="expression" dxfId="1535" priority="7632">
      <formula>CH47="K"</formula>
    </cfRule>
    <cfRule type="expression" dxfId="1534" priority="7633">
      <formula>CH47="DEF"</formula>
    </cfRule>
    <cfRule type="expression" dxfId="1533" priority="7634">
      <formula>CH47="TE"</formula>
    </cfRule>
    <cfRule type="expression" dxfId="1532" priority="7635">
      <formula>CH47="WR"</formula>
    </cfRule>
    <cfRule type="expression" dxfId="1531" priority="7636">
      <formula>CH47="RB"</formula>
    </cfRule>
    <cfRule type="expression" dxfId="1530" priority="7637">
      <formula>CH47="QB"</formula>
    </cfRule>
  </conditionalFormatting>
  <conditionalFormatting sqref="CH5">
    <cfRule type="expression" dxfId="1528" priority="7218">
      <formula>CH5="K"</formula>
    </cfRule>
    <cfRule type="expression" dxfId="1529" priority="7219">
      <formula>CH5="DEF"</formula>
    </cfRule>
    <cfRule type="expression" dxfId="1524" priority="7220">
      <formula>CH5="TE"</formula>
    </cfRule>
    <cfRule type="expression" dxfId="1525" priority="7221">
      <formula>CH5="WR"</formula>
    </cfRule>
    <cfRule type="expression" dxfId="1526" priority="7222">
      <formula>CH5="RB"</formula>
    </cfRule>
    <cfRule type="expression" dxfId="1527" priority="7223">
      <formula>CH5="QB"</formula>
    </cfRule>
  </conditionalFormatting>
  <conditionalFormatting sqref="CH8">
    <cfRule type="expression" dxfId="1520" priority="7248">
      <formula>CH8="K"</formula>
    </cfRule>
    <cfRule type="expression" dxfId="1521" priority="7249">
      <formula>CH8="DEF"</formula>
    </cfRule>
    <cfRule type="expression" dxfId="1522" priority="7250">
      <formula>CH8="TE"</formula>
    </cfRule>
    <cfRule type="expression" dxfId="1519" priority="7251">
      <formula>CH8="WR"</formula>
    </cfRule>
    <cfRule type="expression" dxfId="1518" priority="7252">
      <formula>CH8="RB"</formula>
    </cfRule>
    <cfRule type="expression" dxfId="1523" priority="7253">
      <formula>CH8="QB"</formula>
    </cfRule>
  </conditionalFormatting>
  <conditionalFormatting sqref="CH11">
    <cfRule type="expression" dxfId="1516" priority="7278">
      <formula>CH11="K"</formula>
    </cfRule>
    <cfRule type="expression" dxfId="1515" priority="7279">
      <formula>CH11="DEF"</formula>
    </cfRule>
    <cfRule type="expression" dxfId="1517" priority="7280">
      <formula>CH11="TE"</formula>
    </cfRule>
    <cfRule type="expression" dxfId="1514" priority="7281">
      <formula>CH11="WR"</formula>
    </cfRule>
    <cfRule type="expression" dxfId="1513" priority="7282">
      <formula>CH11="RB"</formula>
    </cfRule>
    <cfRule type="expression" dxfId="1512" priority="7283">
      <formula>CH11="QB"</formula>
    </cfRule>
  </conditionalFormatting>
  <conditionalFormatting sqref="CH14">
    <cfRule type="expression" dxfId="1506" priority="7308">
      <formula>CH14="K"</formula>
    </cfRule>
    <cfRule type="expression" dxfId="1507" priority="7309">
      <formula>CH14="DEF"</formula>
    </cfRule>
    <cfRule type="expression" dxfId="1508" priority="7310">
      <formula>CH14="TE"</formula>
    </cfRule>
    <cfRule type="expression" dxfId="1509" priority="7311">
      <formula>CH14="WR"</formula>
    </cfRule>
    <cfRule type="expression" dxfId="1511" priority="7312">
      <formula>CH14="RB"</formula>
    </cfRule>
    <cfRule type="expression" dxfId="1510" priority="7313">
      <formula>CH14="QB"</formula>
    </cfRule>
  </conditionalFormatting>
  <conditionalFormatting sqref="CH17">
    <cfRule type="expression" dxfId="1505" priority="7338">
      <formula>CH17="K"</formula>
    </cfRule>
    <cfRule type="expression" dxfId="1503" priority="7339">
      <formula>CH17="DEF"</formula>
    </cfRule>
    <cfRule type="expression" dxfId="1502" priority="7340">
      <formula>CH17="TE"</formula>
    </cfRule>
    <cfRule type="expression" dxfId="1501" priority="7341">
      <formula>CH17="WR"</formula>
    </cfRule>
    <cfRule type="expression" dxfId="1500" priority="7342">
      <formula>CH17="RB"</formula>
    </cfRule>
    <cfRule type="expression" dxfId="1504" priority="7343">
      <formula>CH17="QB"</formula>
    </cfRule>
  </conditionalFormatting>
  <conditionalFormatting sqref="CH20">
    <cfRule type="expression" dxfId="1494" priority="7368">
      <formula>CH20="K"</formula>
    </cfRule>
    <cfRule type="expression" dxfId="1495" priority="7369">
      <formula>CH20="DEF"</formula>
    </cfRule>
    <cfRule type="expression" dxfId="1496" priority="7370">
      <formula>CH20="TE"</formula>
    </cfRule>
    <cfRule type="expression" dxfId="1497" priority="7371">
      <formula>CH20="WR"</formula>
    </cfRule>
    <cfRule type="expression" dxfId="1498" priority="7372">
      <formula>CH20="RB"</formula>
    </cfRule>
    <cfRule type="expression" dxfId="1499" priority="7373">
      <formula>CH20="QB"</formula>
    </cfRule>
  </conditionalFormatting>
  <conditionalFormatting sqref="CH23">
    <cfRule type="expression" dxfId="1489" priority="7398">
      <formula>CH23="K"</formula>
    </cfRule>
    <cfRule type="expression" dxfId="1493" priority="7399">
      <formula>CH23="DEF"</formula>
    </cfRule>
    <cfRule type="expression" dxfId="1490" priority="7400">
      <formula>CH23="TE"</formula>
    </cfRule>
    <cfRule type="expression" dxfId="1488" priority="7401">
      <formula>CH23="WR"</formula>
    </cfRule>
    <cfRule type="expression" dxfId="1492" priority="7402">
      <formula>CH23="RB"</formula>
    </cfRule>
    <cfRule type="expression" dxfId="1491" priority="7403">
      <formula>CH23="QB"</formula>
    </cfRule>
  </conditionalFormatting>
  <conditionalFormatting sqref="CH26">
    <cfRule type="expression" dxfId="1485" priority="7428">
      <formula>CH26="K"</formula>
    </cfRule>
    <cfRule type="expression" dxfId="1484" priority="7429">
      <formula>CH26="DEF"</formula>
    </cfRule>
    <cfRule type="expression" dxfId="1487" priority="7430">
      <formula>CH26="TE"</formula>
    </cfRule>
    <cfRule type="expression" dxfId="1483" priority="7431">
      <formula>CH26="WR"</formula>
    </cfRule>
    <cfRule type="expression" dxfId="1482" priority="7432">
      <formula>CH26="RB"</formula>
    </cfRule>
    <cfRule type="expression" dxfId="1486" priority="7433">
      <formula>CH26="QB"</formula>
    </cfRule>
  </conditionalFormatting>
  <conditionalFormatting sqref="CH29">
    <cfRule type="expression" dxfId="1478" priority="7458">
      <formula>CH29="K"</formula>
    </cfRule>
    <cfRule type="expression" dxfId="1479" priority="7459">
      <formula>CH29="DEF"</formula>
    </cfRule>
    <cfRule type="expression" dxfId="1480" priority="7460">
      <formula>CH29="TE"</formula>
    </cfRule>
    <cfRule type="expression" dxfId="1481" priority="7461">
      <formula>CH29="WR"</formula>
    </cfRule>
    <cfRule type="expression" dxfId="1477" priority="7462">
      <formula>CH29="RB"</formula>
    </cfRule>
    <cfRule type="expression" dxfId="1476" priority="7463">
      <formula>CH29="QB"</formula>
    </cfRule>
  </conditionalFormatting>
  <conditionalFormatting sqref="CH32">
    <cfRule type="expression" dxfId="1470" priority="7488">
      <formula>CH32="K"</formula>
    </cfRule>
    <cfRule type="expression" dxfId="1471" priority="7489">
      <formula>CH32="DEF"</formula>
    </cfRule>
    <cfRule type="expression" dxfId="1475" priority="7490">
      <formula>CH32="TE"</formula>
    </cfRule>
    <cfRule type="expression" dxfId="1474" priority="7491">
      <formula>CH32="WR"</formula>
    </cfRule>
    <cfRule type="expression" dxfId="1473" priority="7492">
      <formula>CH32="RB"</formula>
    </cfRule>
    <cfRule type="expression" dxfId="1472" priority="7493">
      <formula>CH32="QB"</formula>
    </cfRule>
  </conditionalFormatting>
  <conditionalFormatting sqref="CH35">
    <cfRule type="expression" dxfId="1465" priority="7518">
      <formula>CH35="K"</formula>
    </cfRule>
    <cfRule type="expression" dxfId="1464" priority="7519">
      <formula>CH35="DEF"</formula>
    </cfRule>
    <cfRule type="expression" dxfId="1469" priority="7520">
      <formula>CH35="TE"</formula>
    </cfRule>
    <cfRule type="expression" dxfId="1468" priority="7521">
      <formula>CH35="WR"</formula>
    </cfRule>
    <cfRule type="expression" dxfId="1467" priority="7522">
      <formula>CH35="RB"</formula>
    </cfRule>
    <cfRule type="expression" dxfId="1466" priority="7523">
      <formula>CH35="QB"</formula>
    </cfRule>
  </conditionalFormatting>
  <conditionalFormatting sqref="CH38">
    <cfRule type="expression" dxfId="1463" priority="7548">
      <formula>CH38="K"</formula>
    </cfRule>
    <cfRule type="expression" dxfId="1462" priority="7549">
      <formula>CH38="DEF"</formula>
    </cfRule>
    <cfRule type="expression" dxfId="1458" priority="7550">
      <formula>CH38="TE"</formula>
    </cfRule>
    <cfRule type="expression" dxfId="1459" priority="7551">
      <formula>CH38="WR"</formula>
    </cfRule>
    <cfRule type="expression" dxfId="1460" priority="7552">
      <formula>CH38="RB"</formula>
    </cfRule>
    <cfRule type="expression" dxfId="1461" priority="7553">
      <formula>CH38="QB"</formula>
    </cfRule>
  </conditionalFormatting>
  <conditionalFormatting sqref="CH41">
    <cfRule type="expression" dxfId="1453" priority="7578">
      <formula>CH41="K"</formula>
    </cfRule>
    <cfRule type="expression" dxfId="1452" priority="7579">
      <formula>CH41="DEF"</formula>
    </cfRule>
    <cfRule type="expression" dxfId="1457" priority="7580">
      <formula>CH41="TE"</formula>
    </cfRule>
    <cfRule type="expression" dxfId="1456" priority="7581">
      <formula>CH41="WR"</formula>
    </cfRule>
    <cfRule type="expression" dxfId="1454" priority="7582">
      <formula>CH41="RB"</formula>
    </cfRule>
    <cfRule type="expression" dxfId="1455" priority="7583">
      <formula>CH41="QB"</formula>
    </cfRule>
  </conditionalFormatting>
  <conditionalFormatting sqref="CH44">
    <cfRule type="expression" dxfId="1448" priority="7608">
      <formula>CH44="K"</formula>
    </cfRule>
    <cfRule type="expression" dxfId="1447" priority="7609">
      <formula>CH44="DEF"</formula>
    </cfRule>
    <cfRule type="expression" dxfId="1446" priority="7610">
      <formula>CH44="TE"</formula>
    </cfRule>
    <cfRule type="expression" dxfId="1451" priority="7611">
      <formula>CH44="WR"</formula>
    </cfRule>
    <cfRule type="expression" dxfId="1449" priority="7612">
      <formula>CH44="RB"</formula>
    </cfRule>
    <cfRule type="expression" dxfId="1450" priority="7613">
      <formula>CH44="QB"</formula>
    </cfRule>
  </conditionalFormatting>
  <conditionalFormatting sqref="CH47">
    <cfRule type="expression" dxfId="1441" priority="7638">
      <formula>CH47="K"</formula>
    </cfRule>
    <cfRule type="expression" dxfId="1442" priority="7639">
      <formula>CH47="DEF"</formula>
    </cfRule>
    <cfRule type="expression" dxfId="1443" priority="7640">
      <formula>CH47="TE"</formula>
    </cfRule>
    <cfRule type="expression" dxfId="1444" priority="7641">
      <formula>CH47="WR"</formula>
    </cfRule>
    <cfRule type="expression" dxfId="1445" priority="7642">
      <formula>CH47="RB"</formula>
    </cfRule>
    <cfRule type="expression" dxfId="1440" priority="7643">
      <formula>CH47="QB"</formula>
    </cfRule>
  </conditionalFormatting>
  <conditionalFormatting sqref="CI5">
    <cfRule type="expression" dxfId="1436" priority="7224">
      <formula>CH5="K"</formula>
    </cfRule>
    <cfRule type="expression" dxfId="1439" priority="7225">
      <formula>CH5="DEF"</formula>
    </cfRule>
    <cfRule type="expression" dxfId="1438" priority="7226">
      <formula>CH5="TE"</formula>
    </cfRule>
    <cfRule type="expression" dxfId="1437" priority="7227">
      <formula>CH5="WR"</formula>
    </cfRule>
    <cfRule type="expression" dxfId="1434" priority="7228">
      <formula>CH5="RB"</formula>
    </cfRule>
    <cfRule type="expression" dxfId="1435" priority="7229">
      <formula>CH5="QB"</formula>
    </cfRule>
  </conditionalFormatting>
  <conditionalFormatting sqref="CI8">
    <cfRule type="expression" dxfId="1430" priority="7254">
      <formula>CH8="K"</formula>
    </cfRule>
    <cfRule type="expression" dxfId="1433" priority="7255">
      <formula>CH8="DEF"</formula>
    </cfRule>
    <cfRule type="expression" dxfId="1429" priority="7256">
      <formula>CH8="TE"</formula>
    </cfRule>
    <cfRule type="expression" dxfId="1431" priority="7257">
      <formula>CH8="WR"</formula>
    </cfRule>
    <cfRule type="expression" dxfId="1432" priority="7258">
      <formula>CH8="RB"</formula>
    </cfRule>
    <cfRule type="expression" dxfId="1428" priority="7259">
      <formula>CH8="QB"</formula>
    </cfRule>
  </conditionalFormatting>
  <conditionalFormatting sqref="CI11">
    <cfRule type="expression" dxfId="1425" priority="7284">
      <formula>CH11="K"</formula>
    </cfRule>
    <cfRule type="expression" dxfId="1427" priority="7285">
      <formula>CH11="DEF"</formula>
    </cfRule>
    <cfRule type="expression" dxfId="1426" priority="7286">
      <formula>CH11="TE"</formula>
    </cfRule>
    <cfRule type="expression" dxfId="1422" priority="7287">
      <formula>CH11="WR"</formula>
    </cfRule>
    <cfRule type="expression" dxfId="1423" priority="7288">
      <formula>CH11="RB"</formula>
    </cfRule>
    <cfRule type="expression" dxfId="1424" priority="7289">
      <formula>CH11="QB"</formula>
    </cfRule>
  </conditionalFormatting>
  <conditionalFormatting sqref="CI14">
    <cfRule type="expression" dxfId="1420" priority="7314">
      <formula>CH14="K"</formula>
    </cfRule>
    <cfRule type="expression" dxfId="1419" priority="7315">
      <formula>CH14="DEF"</formula>
    </cfRule>
    <cfRule type="expression" dxfId="1418" priority="7316">
      <formula>CH14="TE"</formula>
    </cfRule>
    <cfRule type="expression" dxfId="1421" priority="7317">
      <formula>CH14="WR"</formula>
    </cfRule>
    <cfRule type="expression" dxfId="1417" priority="7318">
      <formula>CH14="RB"</formula>
    </cfRule>
    <cfRule type="expression" dxfId="1416" priority="7319">
      <formula>CH14="QB"</formula>
    </cfRule>
  </conditionalFormatting>
  <conditionalFormatting sqref="CI17">
    <cfRule type="expression" dxfId="1414" priority="7344">
      <formula>CH17="K"</formula>
    </cfRule>
    <cfRule type="expression" dxfId="1410" priority="7345">
      <formula>CH17="DEF"</formula>
    </cfRule>
    <cfRule type="expression" dxfId="1415" priority="7346">
      <formula>CH17="TE"</formula>
    </cfRule>
    <cfRule type="expression" dxfId="1412" priority="7347">
      <formula>CH17="WR"</formula>
    </cfRule>
    <cfRule type="expression" dxfId="1413" priority="7348">
      <formula>CH17="RB"</formula>
    </cfRule>
    <cfRule type="expression" dxfId="1411" priority="7349">
      <formula>CH17="QB"</formula>
    </cfRule>
  </conditionalFormatting>
  <conditionalFormatting sqref="CI20">
    <cfRule type="expression" dxfId="1407" priority="7374">
      <formula>CH20="K"</formula>
    </cfRule>
    <cfRule type="expression" dxfId="1405" priority="7375">
      <formula>CH20="DEF"</formula>
    </cfRule>
    <cfRule type="expression" dxfId="1404" priority="7376">
      <formula>CH20="TE"</formula>
    </cfRule>
    <cfRule type="expression" dxfId="1408" priority="7377">
      <formula>CH20="WR"</formula>
    </cfRule>
    <cfRule type="expression" dxfId="1409" priority="7378">
      <formula>CH20="RB"</formula>
    </cfRule>
    <cfRule type="expression" dxfId="1406" priority="7379">
      <formula>CH20="QB"</formula>
    </cfRule>
  </conditionalFormatting>
  <conditionalFormatting sqref="CI23">
    <cfRule type="expression" dxfId="1399" priority="7404">
      <formula>CH23="K"</formula>
    </cfRule>
    <cfRule type="expression" dxfId="1403" priority="7405">
      <formula>CH23="DEF"</formula>
    </cfRule>
    <cfRule type="expression" dxfId="1402" priority="7406">
      <formula>CH23="TE"</formula>
    </cfRule>
    <cfRule type="expression" dxfId="1398" priority="7407">
      <formula>CH23="WR"</formula>
    </cfRule>
    <cfRule type="expression" dxfId="1401" priority="7408">
      <formula>CH23="RB"</formula>
    </cfRule>
    <cfRule type="expression" dxfId="1400" priority="7409">
      <formula>CH23="QB"</formula>
    </cfRule>
  </conditionalFormatting>
  <conditionalFormatting sqref="CI26">
    <cfRule type="expression" dxfId="1396" priority="7434">
      <formula>CH26="K"</formula>
    </cfRule>
    <cfRule type="expression" dxfId="1397" priority="7435">
      <formula>CH26="DEF"</formula>
    </cfRule>
    <cfRule type="expression" dxfId="1392" priority="7436">
      <formula>CH26="TE"</formula>
    </cfRule>
    <cfRule type="expression" dxfId="1393" priority="7437">
      <formula>CH26="WR"</formula>
    </cfRule>
    <cfRule type="expression" dxfId="1394" priority="7438">
      <formula>CH26="RB"</formula>
    </cfRule>
    <cfRule type="expression" dxfId="1395" priority="7439">
      <formula>CH26="QB"</formula>
    </cfRule>
  </conditionalFormatting>
  <conditionalFormatting sqref="CI29">
    <cfRule type="expression" dxfId="1386" priority="7464">
      <formula>CH29="K"</formula>
    </cfRule>
    <cfRule type="expression" dxfId="1391" priority="7465">
      <formula>CH29="DEF"</formula>
    </cfRule>
    <cfRule type="expression" dxfId="1390" priority="7466">
      <formula>CH29="TE"</formula>
    </cfRule>
    <cfRule type="expression" dxfId="1389" priority="7467">
      <formula>CH29="WR"</formula>
    </cfRule>
    <cfRule type="expression" dxfId="1388" priority="7468">
      <formula>CH29="RB"</formula>
    </cfRule>
    <cfRule type="expression" dxfId="1387" priority="7469">
      <formula>CH29="QB"</formula>
    </cfRule>
  </conditionalFormatting>
  <conditionalFormatting sqref="CI32">
    <cfRule type="expression" dxfId="1385" priority="7494">
      <formula>CH32="K"</formula>
    </cfRule>
    <cfRule type="expression" dxfId="1380" priority="7495">
      <formula>CH32="DEF"</formula>
    </cfRule>
    <cfRule type="expression" dxfId="1381" priority="7496">
      <formula>CH32="TE"</formula>
    </cfRule>
    <cfRule type="expression" dxfId="1382" priority="7497">
      <formula>CH32="WR"</formula>
    </cfRule>
    <cfRule type="expression" dxfId="1383" priority="7498">
      <formula>CH32="RB"</formula>
    </cfRule>
    <cfRule type="expression" dxfId="1384" priority="7499">
      <formula>CH32="QB"</formula>
    </cfRule>
  </conditionalFormatting>
  <conditionalFormatting sqref="CI35">
    <cfRule type="expression" dxfId="1374" priority="7524">
      <formula>CH35="K"</formula>
    </cfRule>
    <cfRule type="expression" dxfId="1375" priority="7525">
      <formula>CH35="DEF"</formula>
    </cfRule>
    <cfRule type="expression" dxfId="1376" priority="7526">
      <formula>CH35="TE"</formula>
    </cfRule>
    <cfRule type="expression" dxfId="1377" priority="7527">
      <formula>CH35="WR"</formula>
    </cfRule>
    <cfRule type="expression" dxfId="1378" priority="7528">
      <formula>CH35="RB"</formula>
    </cfRule>
    <cfRule type="expression" dxfId="1379" priority="7529">
      <formula>CH35="QB"</formula>
    </cfRule>
  </conditionalFormatting>
  <conditionalFormatting sqref="CI38">
    <cfRule type="expression" dxfId="1373" priority="7554">
      <formula>CH38="K"</formula>
    </cfRule>
    <cfRule type="expression" dxfId="1368" priority="7555">
      <formula>CH38="DEF"</formula>
    </cfRule>
    <cfRule type="expression" dxfId="1369" priority="7556">
      <formula>CH38="TE"</formula>
    </cfRule>
    <cfRule type="expression" dxfId="1370" priority="7557">
      <formula>CH38="WR"</formula>
    </cfRule>
    <cfRule type="expression" dxfId="1371" priority="7558">
      <formula>CH38="RB"</formula>
    </cfRule>
    <cfRule type="expression" dxfId="1372" priority="7559">
      <formula>CH38="QB"</formula>
    </cfRule>
  </conditionalFormatting>
  <conditionalFormatting sqref="CI41">
    <cfRule type="expression" dxfId="1365" priority="7584">
      <formula>CH41="K"</formula>
    </cfRule>
    <cfRule type="expression" dxfId="1366" priority="7585">
      <formula>CH41="DEF"</formula>
    </cfRule>
    <cfRule type="expression" dxfId="1367" priority="7586">
      <formula>CH41="TE"</formula>
    </cfRule>
    <cfRule type="expression" dxfId="1362" priority="7587">
      <formula>CH41="WR"</formula>
    </cfRule>
    <cfRule type="expression" dxfId="1363" priority="7588">
      <formula>CH41="RB"</formula>
    </cfRule>
    <cfRule type="expression" dxfId="1364" priority="7589">
      <formula>CH41="QB"</formula>
    </cfRule>
  </conditionalFormatting>
  <conditionalFormatting sqref="CI44">
    <cfRule type="expression" dxfId="1356" priority="7614">
      <formula>CH44="K"</formula>
    </cfRule>
    <cfRule type="expression" dxfId="1361" priority="7615">
      <formula>CH44="DEF"</formula>
    </cfRule>
    <cfRule type="expression" dxfId="1360" priority="7616">
      <formula>CH44="TE"</formula>
    </cfRule>
    <cfRule type="expression" dxfId="1359" priority="7617">
      <formula>CH44="WR"</formula>
    </cfRule>
    <cfRule type="expression" dxfId="1358" priority="7618">
      <formula>CH44="RB"</formula>
    </cfRule>
    <cfRule type="expression" dxfId="1357" priority="7619">
      <formula>CH44="QB"</formula>
    </cfRule>
  </conditionalFormatting>
  <conditionalFormatting sqref="CI47">
    <cfRule type="expression" dxfId="1350" priority="7644">
      <formula>CH47="K"</formula>
    </cfRule>
    <cfRule type="expression" dxfId="1355" priority="7645">
      <formula>CH47="DEF"</formula>
    </cfRule>
    <cfRule type="expression" dxfId="1354" priority="7646">
      <formula>CH47="TE"</formula>
    </cfRule>
    <cfRule type="expression" dxfId="1353" priority="7647">
      <formula>CH47="WR"</formula>
    </cfRule>
    <cfRule type="expression" dxfId="1352" priority="7648">
      <formula>CH47="RB"</formula>
    </cfRule>
    <cfRule type="expression" dxfId="1351" priority="7649">
      <formula>CH47="QB"</formula>
    </cfRule>
  </conditionalFormatting>
  <conditionalFormatting sqref="CK4">
    <cfRule type="expression" dxfId="1349" priority="7651">
      <formula>CM5="DEF"</formula>
    </cfRule>
    <cfRule type="expression" dxfId="1348" priority="7652">
      <formula>CM5="TE"</formula>
    </cfRule>
    <cfRule type="expression" dxfId="1347" priority="7653">
      <formula>CM5="WR"</formula>
    </cfRule>
    <cfRule type="expression" dxfId="1346" priority="7654">
      <formula>CM5="RB"</formula>
    </cfRule>
    <cfRule type="expression" dxfId="1345" priority="7655">
      <formula>CM5="QB"</formula>
    </cfRule>
  </conditionalFormatting>
  <conditionalFormatting sqref="CK5">
    <cfRule type="expression" dxfId="1344" priority="7656">
      <formula>CM5="K"</formula>
    </cfRule>
    <cfRule type="expression" dxfId="1343" priority="7657">
      <formula>CM5="DEF"</formula>
    </cfRule>
    <cfRule type="expression" dxfId="1342" priority="7658">
      <formula>CM5="TE"</formula>
    </cfRule>
    <cfRule type="expression" dxfId="1341" priority="7659">
      <formula>CM5="WR"</formula>
    </cfRule>
    <cfRule type="expression" dxfId="1340" priority="7660">
      <formula>CM5="RB"</formula>
    </cfRule>
    <cfRule type="expression" dxfId="1339" priority="7661">
      <formula>CM5="QB"</formula>
    </cfRule>
  </conditionalFormatting>
  <conditionalFormatting sqref="CK7">
    <cfRule type="expression" dxfId="1336" priority="7681">
      <formula>CM8="DEF"</formula>
    </cfRule>
    <cfRule type="expression" dxfId="1337" priority="7682">
      <formula>CM8="TE"</formula>
    </cfRule>
    <cfRule type="expression" dxfId="1338" priority="7683">
      <formula>CM8="WR"</formula>
    </cfRule>
    <cfRule type="expression" dxfId="1334" priority="7684">
      <formula>CM8="RB"</formula>
    </cfRule>
    <cfRule type="expression" dxfId="1335" priority="7685">
      <formula>CM8="QB"</formula>
    </cfRule>
  </conditionalFormatting>
  <conditionalFormatting sqref="CK8">
    <cfRule type="expression" dxfId="1329" priority="7686">
      <formula>CM8="K"</formula>
    </cfRule>
    <cfRule type="expression" dxfId="1328" priority="7687">
      <formula>CM8="DEF"</formula>
    </cfRule>
    <cfRule type="expression" dxfId="1330" priority="7688">
      <formula>CM8="TE"</formula>
    </cfRule>
    <cfRule type="expression" dxfId="1333" priority="7689">
      <formula>CM8="WR"</formula>
    </cfRule>
    <cfRule type="expression" dxfId="1332" priority="7690">
      <formula>CM8="RB"</formula>
    </cfRule>
    <cfRule type="expression" dxfId="1331" priority="7691">
      <formula>CM8="QB"</formula>
    </cfRule>
  </conditionalFormatting>
  <conditionalFormatting sqref="CK10">
    <cfRule type="expression" dxfId="1323" priority="7711">
      <formula>CM11="DEF"</formula>
    </cfRule>
    <cfRule type="expression" dxfId="1324" priority="7712">
      <formula>CM11="TE"</formula>
    </cfRule>
    <cfRule type="expression" dxfId="1325" priority="7713">
      <formula>CM11="WR"</formula>
    </cfRule>
    <cfRule type="expression" dxfId="1326" priority="7714">
      <formula>CM11="RB"</formula>
    </cfRule>
    <cfRule type="expression" dxfId="1327" priority="7715">
      <formula>CM11="QB"</formula>
    </cfRule>
  </conditionalFormatting>
  <conditionalFormatting sqref="CK11">
    <cfRule type="expression" dxfId="1321" priority="7716">
      <formula>CM11="K"</formula>
    </cfRule>
    <cfRule type="expression" dxfId="1322" priority="7717">
      <formula>CM11="DEF"</formula>
    </cfRule>
    <cfRule type="expression" dxfId="1317" priority="7718">
      <formula>CM11="TE"</formula>
    </cfRule>
    <cfRule type="expression" dxfId="1318" priority="7719">
      <formula>CM11="WR"</formula>
    </cfRule>
    <cfRule type="expression" dxfId="1319" priority="7720">
      <formula>CM11="RB"</formula>
    </cfRule>
    <cfRule type="expression" dxfId="1320" priority="7721">
      <formula>CM11="QB"</formula>
    </cfRule>
  </conditionalFormatting>
  <conditionalFormatting sqref="CK13">
    <cfRule type="expression" dxfId="1312" priority="7741">
      <formula>CM14="DEF"</formula>
    </cfRule>
    <cfRule type="expression" dxfId="1316" priority="7742">
      <formula>CM14="TE"</formula>
    </cfRule>
    <cfRule type="expression" dxfId="1315" priority="7743">
      <formula>CM14="WR"</formula>
    </cfRule>
    <cfRule type="expression" dxfId="1314" priority="7744">
      <formula>CM14="RB"</formula>
    </cfRule>
    <cfRule type="expression" dxfId="1313" priority="7745">
      <formula>CM14="QB"</formula>
    </cfRule>
  </conditionalFormatting>
  <conditionalFormatting sqref="CK14">
    <cfRule type="expression" dxfId="1308" priority="7746">
      <formula>CM14="K"</formula>
    </cfRule>
    <cfRule type="expression" dxfId="1309" priority="7747">
      <formula>CM14="DEF"</formula>
    </cfRule>
    <cfRule type="expression" dxfId="1306" priority="7748">
      <formula>CM14="TE"</formula>
    </cfRule>
    <cfRule type="expression" dxfId="1307" priority="7749">
      <formula>CM14="WR"</formula>
    </cfRule>
    <cfRule type="expression" dxfId="1311" priority="7750">
      <formula>CM14="RB"</formula>
    </cfRule>
    <cfRule type="expression" dxfId="1310" priority="7751">
      <formula>CM14="QB"</formula>
    </cfRule>
  </conditionalFormatting>
  <conditionalFormatting sqref="CK16">
    <cfRule type="expression" dxfId="1301" priority="7771">
      <formula>CM17="DEF"</formula>
    </cfRule>
    <cfRule type="expression" dxfId="1305" priority="7772">
      <formula>CM17="TE"</formula>
    </cfRule>
    <cfRule type="expression" dxfId="1304" priority="7773">
      <formula>CM17="WR"</formula>
    </cfRule>
    <cfRule type="expression" dxfId="1303" priority="7774">
      <formula>CM17="RB"</formula>
    </cfRule>
    <cfRule type="expression" dxfId="1302" priority="7775">
      <formula>CM17="QB"</formula>
    </cfRule>
  </conditionalFormatting>
  <conditionalFormatting sqref="CK17">
    <cfRule type="expression" dxfId="1295" priority="7776">
      <formula>CM17="K"</formula>
    </cfRule>
    <cfRule type="expression" dxfId="1300" priority="7777">
      <formula>CM17="DEF"</formula>
    </cfRule>
    <cfRule type="expression" dxfId="1299" priority="7778">
      <formula>CM17="TE"</formula>
    </cfRule>
    <cfRule type="expression" dxfId="1298" priority="7779">
      <formula>CM17="WR"</formula>
    </cfRule>
    <cfRule type="expression" dxfId="1297" priority="7780">
      <formula>CM17="RB"</formula>
    </cfRule>
    <cfRule type="expression" dxfId="1296" priority="7781">
      <formula>CM17="QB"</formula>
    </cfRule>
  </conditionalFormatting>
  <conditionalFormatting sqref="CK19">
    <cfRule type="expression" dxfId="1292" priority="7801">
      <formula>CM20="DEF"</formula>
    </cfRule>
    <cfRule type="expression" dxfId="1293" priority="7802">
      <formula>CM20="TE"</formula>
    </cfRule>
    <cfRule type="expression" dxfId="1294" priority="7803">
      <formula>CM20="WR"</formula>
    </cfRule>
    <cfRule type="expression" dxfId="1291" priority="7804">
      <formula>CM20="RB"</formula>
    </cfRule>
    <cfRule type="expression" dxfId="1290" priority="7805">
      <formula>CM20="QB"</formula>
    </cfRule>
  </conditionalFormatting>
  <conditionalFormatting sqref="CK20">
    <cfRule type="expression" dxfId="1284" priority="7806">
      <formula>CM20="K"</formula>
    </cfRule>
    <cfRule type="expression" dxfId="1288" priority="7807">
      <formula>CM20="DEF"</formula>
    </cfRule>
    <cfRule type="expression" dxfId="1285" priority="7808">
      <formula>CM20="TE"</formula>
    </cfRule>
    <cfRule type="expression" dxfId="1287" priority="7809">
      <formula>CM20="WR"</formula>
    </cfRule>
    <cfRule type="expression" dxfId="1286" priority="7810">
      <formula>CM20="RB"</formula>
    </cfRule>
    <cfRule type="expression" dxfId="1289" priority="7811">
      <formula>CM20="QB"</formula>
    </cfRule>
  </conditionalFormatting>
  <conditionalFormatting sqref="CK22">
    <cfRule type="expression" dxfId="1279" priority="7831">
      <formula>CM23="DEF"</formula>
    </cfRule>
    <cfRule type="expression" dxfId="1280" priority="7832">
      <formula>CM23="TE"</formula>
    </cfRule>
    <cfRule type="expression" dxfId="1281" priority="7833">
      <formula>CM23="WR"</formula>
    </cfRule>
    <cfRule type="expression" dxfId="1282" priority="7834">
      <formula>CM23="RB"</formula>
    </cfRule>
    <cfRule type="expression" dxfId="1283" priority="7835">
      <formula>CM23="QB"</formula>
    </cfRule>
  </conditionalFormatting>
  <conditionalFormatting sqref="CK23">
    <cfRule type="expression" dxfId="1274" priority="7836">
      <formula>CM23="K"</formula>
    </cfRule>
    <cfRule type="expression" dxfId="1273" priority="7837">
      <formula>CM23="DEF"</formula>
    </cfRule>
    <cfRule type="expression" dxfId="1278" priority="7838">
      <formula>CM23="TE"</formula>
    </cfRule>
    <cfRule type="expression" dxfId="1277" priority="7839">
      <formula>CM23="WR"</formula>
    </cfRule>
    <cfRule type="expression" dxfId="1275" priority="7840">
      <formula>CM23="RB"</formula>
    </cfRule>
    <cfRule type="expression" dxfId="1276" priority="7841">
      <formula>CM23="QB"</formula>
    </cfRule>
  </conditionalFormatting>
  <conditionalFormatting sqref="CK25">
    <cfRule type="expression" dxfId="1271" priority="7861">
      <formula>CM26="DEF"</formula>
    </cfRule>
    <cfRule type="expression" dxfId="1270" priority="7862">
      <formula>CM26="TE"</formula>
    </cfRule>
    <cfRule type="expression" dxfId="1269" priority="7863">
      <formula>CM26="WR"</formula>
    </cfRule>
    <cfRule type="expression" dxfId="1268" priority="7864">
      <formula>CM26="RB"</formula>
    </cfRule>
    <cfRule type="expression" dxfId="1272" priority="7865">
      <formula>CM26="QB"</formula>
    </cfRule>
  </conditionalFormatting>
  <conditionalFormatting sqref="CK26">
    <cfRule type="expression" dxfId="1262" priority="7866">
      <formula>CM26="K"</formula>
    </cfRule>
    <cfRule type="expression" dxfId="1263" priority="7867">
      <formula>CM26="DEF"</formula>
    </cfRule>
    <cfRule type="expression" dxfId="1264" priority="7868">
      <formula>CM26="TE"</formula>
    </cfRule>
    <cfRule type="expression" dxfId="1265" priority="7869">
      <formula>CM26="WR"</formula>
    </cfRule>
    <cfRule type="expression" dxfId="1266" priority="7870">
      <formula>CM26="RB"</formula>
    </cfRule>
    <cfRule type="expression" dxfId="1267" priority="7871">
      <formula>CM26="QB"</formula>
    </cfRule>
  </conditionalFormatting>
  <conditionalFormatting sqref="CK28">
    <cfRule type="expression" dxfId="1257" priority="7891">
      <formula>CM29="DEF"</formula>
    </cfRule>
    <cfRule type="expression" dxfId="1258" priority="7892">
      <formula>CM29="TE"</formula>
    </cfRule>
    <cfRule type="expression" dxfId="1259" priority="7893">
      <formula>CM29="WR"</formula>
    </cfRule>
    <cfRule type="expression" dxfId="1261" priority="7894">
      <formula>CM29="RB"</formula>
    </cfRule>
    <cfRule type="expression" dxfId="1260" priority="7895">
      <formula>CM29="QB"</formula>
    </cfRule>
  </conditionalFormatting>
  <conditionalFormatting sqref="CK29">
    <cfRule type="expression" dxfId="1255" priority="7896">
      <formula>CM29="K"</formula>
    </cfRule>
    <cfRule type="expression" dxfId="1251" priority="7897">
      <formula>CM29="DEF"</formula>
    </cfRule>
    <cfRule type="expression" dxfId="1256" priority="7898">
      <formula>CM29="TE"</formula>
    </cfRule>
    <cfRule type="expression" dxfId="1254" priority="7899">
      <formula>CM29="WR"</formula>
    </cfRule>
    <cfRule type="expression" dxfId="1253" priority="7900">
      <formula>CM29="RB"</formula>
    </cfRule>
    <cfRule type="expression" dxfId="1252" priority="7901">
      <formula>CM29="QB"</formula>
    </cfRule>
  </conditionalFormatting>
  <conditionalFormatting sqref="CK31">
    <cfRule type="expression" dxfId="1247" priority="7921">
      <formula>CM32="DEF"</formula>
    </cfRule>
    <cfRule type="expression" dxfId="1248" priority="7922">
      <formula>CM32="TE"</formula>
    </cfRule>
    <cfRule type="expression" dxfId="1249" priority="7923">
      <formula>CM32="WR"</formula>
    </cfRule>
    <cfRule type="expression" dxfId="1246" priority="7924">
      <formula>CM32="RB"</formula>
    </cfRule>
    <cfRule type="expression" dxfId="1250" priority="7925">
      <formula>CM32="QB"</formula>
    </cfRule>
  </conditionalFormatting>
  <conditionalFormatting sqref="CK32">
    <cfRule type="expression" dxfId="1240" priority="7926">
      <formula>CM32="K"</formula>
    </cfRule>
    <cfRule type="expression" dxfId="1244" priority="7927">
      <formula>CM32="DEF"</formula>
    </cfRule>
    <cfRule type="expression" dxfId="1243" priority="7928">
      <formula>CM32="TE"</formula>
    </cfRule>
    <cfRule type="expression" dxfId="1242" priority="7929">
      <formula>CM32="WR"</formula>
    </cfRule>
    <cfRule type="expression" dxfId="1241" priority="7930">
      <formula>CM32="RB"</formula>
    </cfRule>
    <cfRule type="expression" dxfId="1245" priority="7931">
      <formula>CM32="QB"</formula>
    </cfRule>
  </conditionalFormatting>
  <conditionalFormatting sqref="CK34">
    <cfRule type="expression" dxfId="1237" priority="7951">
      <formula>CM35="DEF"</formula>
    </cfRule>
    <cfRule type="expression" dxfId="1238" priority="7952">
      <formula>CM35="TE"</formula>
    </cfRule>
    <cfRule type="expression" dxfId="1235" priority="7953">
      <formula>CM35="WR"</formula>
    </cfRule>
    <cfRule type="expression" dxfId="1236" priority="7954">
      <formula>CM35="RB"</formula>
    </cfRule>
    <cfRule type="expression" dxfId="1239" priority="7955">
      <formula>CM35="QB"</formula>
    </cfRule>
  </conditionalFormatting>
  <conditionalFormatting sqref="CK35">
    <cfRule type="expression" dxfId="1234" priority="7956">
      <formula>CM35="K"</formula>
    </cfRule>
    <cfRule type="expression" dxfId="1232" priority="7957">
      <formula>CM35="DEF"</formula>
    </cfRule>
    <cfRule type="expression" dxfId="1231" priority="7958">
      <formula>CM35="TE"</formula>
    </cfRule>
    <cfRule type="expression" dxfId="1233" priority="7959">
      <formula>CM35="WR"</formula>
    </cfRule>
    <cfRule type="expression" dxfId="1229" priority="7960">
      <formula>CM35="RB"</formula>
    </cfRule>
    <cfRule type="expression" dxfId="1230" priority="7961">
      <formula>CM35="QB"</formula>
    </cfRule>
  </conditionalFormatting>
  <conditionalFormatting sqref="CK37">
    <cfRule type="expression" dxfId="1224" priority="7981">
      <formula>CM38="DEF"</formula>
    </cfRule>
    <cfRule type="expression" dxfId="1225" priority="7982">
      <formula>CM38="TE"</formula>
    </cfRule>
    <cfRule type="expression" dxfId="1226" priority="7983">
      <formula>CM38="WR"</formula>
    </cfRule>
    <cfRule type="expression" dxfId="1228" priority="7984">
      <formula>CM38="RB"</formula>
    </cfRule>
    <cfRule type="expression" dxfId="1227" priority="7985">
      <formula>CM38="QB"</formula>
    </cfRule>
  </conditionalFormatting>
  <conditionalFormatting sqref="CK38">
    <cfRule type="expression" dxfId="1223" priority="7986">
      <formula>CM38="K"</formula>
    </cfRule>
    <cfRule type="expression" dxfId="1222" priority="7987">
      <formula>CM38="DEF"</formula>
    </cfRule>
    <cfRule type="expression" dxfId="1221" priority="7988">
      <formula>CM38="TE"</formula>
    </cfRule>
    <cfRule type="expression" dxfId="1220" priority="7989">
      <formula>CM38="WR"</formula>
    </cfRule>
    <cfRule type="expression" dxfId="1219" priority="7990">
      <formula>CM38="RB"</formula>
    </cfRule>
    <cfRule type="expression" dxfId="1218" priority="7991">
      <formula>CM38="QB"</formula>
    </cfRule>
  </conditionalFormatting>
  <conditionalFormatting sqref="CK40">
    <cfRule type="expression" dxfId="1215" priority="8011">
      <formula>CM41="DEF"</formula>
    </cfRule>
    <cfRule type="expression" dxfId="1214" priority="8012">
      <formula>CM41="TE"</formula>
    </cfRule>
    <cfRule type="expression" dxfId="1213" priority="8013">
      <formula>CM41="WR"</formula>
    </cfRule>
    <cfRule type="expression" dxfId="1217" priority="8014">
      <formula>CM41="RB"</formula>
    </cfRule>
    <cfRule type="expression" dxfId="1216" priority="8015">
      <formula>CM41="QB"</formula>
    </cfRule>
  </conditionalFormatting>
  <conditionalFormatting sqref="CK41">
    <cfRule type="expression" dxfId="1207" priority="8016">
      <formula>CM41="K"</formula>
    </cfRule>
    <cfRule type="expression" dxfId="1211" priority="8017">
      <formula>CM41="DEF"</formula>
    </cfRule>
    <cfRule type="expression" dxfId="1210" priority="8018">
      <formula>CM41="TE"</formula>
    </cfRule>
    <cfRule type="expression" dxfId="1212" priority="8019">
      <formula>CM41="WR"</formula>
    </cfRule>
    <cfRule type="expression" dxfId="1209" priority="8020">
      <formula>CM41="RB"</formula>
    </cfRule>
    <cfRule type="expression" dxfId="1208" priority="8021">
      <formula>CM41="QB"</formula>
    </cfRule>
  </conditionalFormatting>
  <conditionalFormatting sqref="CK43">
    <cfRule type="expression" dxfId="1202" priority="8041">
      <formula>CM44="DEF"</formula>
    </cfRule>
    <cfRule type="expression" dxfId="1203" priority="8042">
      <formula>CM44="TE"</formula>
    </cfRule>
    <cfRule type="expression" dxfId="1206" priority="8043">
      <formula>CM44="WR"</formula>
    </cfRule>
    <cfRule type="expression" dxfId="1204" priority="8044">
      <formula>CM44="RB"</formula>
    </cfRule>
    <cfRule type="expression" dxfId="1205" priority="8045">
      <formula>CM44="QB"</formula>
    </cfRule>
  </conditionalFormatting>
  <conditionalFormatting sqref="CK44">
    <cfRule type="expression" dxfId="1201" priority="8046">
      <formula>CM44="K"</formula>
    </cfRule>
    <cfRule type="expression" dxfId="1200" priority="8047">
      <formula>CM44="DEF"</formula>
    </cfRule>
    <cfRule type="expression" dxfId="1199" priority="8048">
      <formula>CM44="TE"</formula>
    </cfRule>
    <cfRule type="expression" dxfId="1198" priority="8049">
      <formula>CM44="WR"</formula>
    </cfRule>
    <cfRule type="expression" dxfId="1196" priority="8050">
      <formula>CM44="RB"</formula>
    </cfRule>
    <cfRule type="expression" dxfId="1197" priority="8051">
      <formula>CM44="QB"</formula>
    </cfRule>
  </conditionalFormatting>
  <conditionalFormatting sqref="CK46">
    <cfRule type="expression" dxfId="1192" priority="8071">
      <formula>CM47="DEF"</formula>
    </cfRule>
    <cfRule type="expression" dxfId="1195" priority="8072">
      <formula>CM47="TE"</formula>
    </cfRule>
    <cfRule type="expression" dxfId="1191" priority="8073">
      <formula>CM47="WR"</formula>
    </cfRule>
    <cfRule type="expression" dxfId="1194" priority="8074">
      <formula>CM47="RB"</formula>
    </cfRule>
    <cfRule type="expression" dxfId="1193" priority="8075">
      <formula>CM47="QB"</formula>
    </cfRule>
  </conditionalFormatting>
  <conditionalFormatting sqref="CK47">
    <cfRule type="expression" dxfId="1187" priority="8076">
      <formula>CM47="K"</formula>
    </cfRule>
    <cfRule type="expression" dxfId="1185" priority="8077">
      <formula>CM47="DEF"</formula>
    </cfRule>
    <cfRule type="expression" dxfId="1188" priority="8078">
      <formula>CM47="TE"</formula>
    </cfRule>
    <cfRule type="expression" dxfId="1189" priority="8079">
      <formula>CM47="WR"</formula>
    </cfRule>
    <cfRule type="expression" dxfId="1190" priority="8080">
      <formula>CM47="RB"</formula>
    </cfRule>
    <cfRule type="expression" dxfId="1186" priority="8081">
      <formula>CM47="QB"</formula>
    </cfRule>
  </conditionalFormatting>
  <conditionalFormatting sqref="CK4:CN4">
    <cfRule type="expression" dxfId="1184" priority="7680">
      <formula>CM5="K"</formula>
    </cfRule>
  </conditionalFormatting>
  <conditionalFormatting sqref="CK7:CN7">
    <cfRule type="expression" dxfId="1183" priority="7710">
      <formula>CM8="K"</formula>
    </cfRule>
  </conditionalFormatting>
  <conditionalFormatting sqref="CK10:CN10">
    <cfRule type="expression" dxfId="1182" priority="7740">
      <formula>CM11="K"</formula>
    </cfRule>
  </conditionalFormatting>
  <conditionalFormatting sqref="CK13:CN13">
    <cfRule type="expression" dxfId="1181" priority="7770">
      <formula>CM14="K"</formula>
    </cfRule>
  </conditionalFormatting>
  <conditionalFormatting sqref="CK16:CN16">
    <cfRule type="expression" dxfId="1180" priority="7800">
      <formula>CM17="K"</formula>
    </cfRule>
  </conditionalFormatting>
  <conditionalFormatting sqref="CK19:CN19">
    <cfRule type="expression" dxfId="1179" priority="7830">
      <formula>CM20="K"</formula>
    </cfRule>
  </conditionalFormatting>
  <conditionalFormatting sqref="CK22:CN22">
    <cfRule type="expression" dxfId="1178" priority="7860">
      <formula>CM23="K"</formula>
    </cfRule>
  </conditionalFormatting>
  <conditionalFormatting sqref="CK25:CN25">
    <cfRule type="expression" dxfId="1177" priority="7890">
      <formula>CM26="K"</formula>
    </cfRule>
  </conditionalFormatting>
  <conditionalFormatting sqref="CK28:CN28">
    <cfRule type="expression" dxfId="1176" priority="7920">
      <formula>CM29="K"</formula>
    </cfRule>
  </conditionalFormatting>
  <conditionalFormatting sqref="CK31:CN31">
    <cfRule type="expression" dxfId="1175" priority="7950">
      <formula>CM32="K"</formula>
    </cfRule>
  </conditionalFormatting>
  <conditionalFormatting sqref="CK34:CN34">
    <cfRule type="expression" dxfId="1174" priority="7980">
      <formula>CM35="K"</formula>
    </cfRule>
  </conditionalFormatting>
  <conditionalFormatting sqref="CK37:CN37">
    <cfRule type="expression" dxfId="1173" priority="8010">
      <formula>CM38="K"</formula>
    </cfRule>
  </conditionalFormatting>
  <conditionalFormatting sqref="CK40:CN40">
    <cfRule type="expression" dxfId="1172" priority="8040">
      <formula>CM41="K"</formula>
    </cfRule>
  </conditionalFormatting>
  <conditionalFormatting sqref="CK43:CN43">
    <cfRule type="expression" dxfId="1171" priority="8070">
      <formula>CM44="K"</formula>
    </cfRule>
  </conditionalFormatting>
  <conditionalFormatting sqref="CK46:CN46">
    <cfRule type="expression" dxfId="1170" priority="8100">
      <formula>CM47="K"</formula>
    </cfRule>
  </conditionalFormatting>
  <conditionalFormatting sqref="CL5">
    <cfRule type="expression" dxfId="1169" priority="7662">
      <formula>CM5="K"</formula>
    </cfRule>
    <cfRule type="expression" dxfId="1164" priority="7663">
      <formula>CM5="DEF"</formula>
    </cfRule>
    <cfRule type="expression" dxfId="1165" priority="7664">
      <formula>CM5="TE"</formula>
    </cfRule>
    <cfRule type="expression" dxfId="1166" priority="7665">
      <formula>CM5="WR"</formula>
    </cfRule>
    <cfRule type="expression" dxfId="1167" priority="7666">
      <formula>CM5="RB"</formula>
    </cfRule>
    <cfRule type="expression" dxfId="1168" priority="7667">
      <formula>CM5="QB"</formula>
    </cfRule>
  </conditionalFormatting>
  <conditionalFormatting sqref="CL8">
    <cfRule type="expression" dxfId="1158" priority="7692">
      <formula>CM8="K"</formula>
    </cfRule>
    <cfRule type="expression" dxfId="1159" priority="7693">
      <formula>CM8="DEF"</formula>
    </cfRule>
    <cfRule type="expression" dxfId="1160" priority="7694">
      <formula>CM8="TE"</formula>
    </cfRule>
    <cfRule type="expression" dxfId="1161" priority="7695">
      <formula>CM8="WR"</formula>
    </cfRule>
    <cfRule type="expression" dxfId="1162" priority="7696">
      <formula>CM8="RB"</formula>
    </cfRule>
    <cfRule type="expression" dxfId="1163" priority="7697">
      <formula>CM8="QB"</formula>
    </cfRule>
  </conditionalFormatting>
  <conditionalFormatting sqref="CL11">
    <cfRule type="expression" dxfId="1153" priority="7722">
      <formula>CM11="K"</formula>
    </cfRule>
    <cfRule type="expression" dxfId="1154" priority="7723">
      <formula>CM11="DEF"</formula>
    </cfRule>
    <cfRule type="expression" dxfId="1155" priority="7724">
      <formula>CM11="TE"</formula>
    </cfRule>
    <cfRule type="expression" dxfId="1156" priority="7725">
      <formula>CM11="WR"</formula>
    </cfRule>
    <cfRule type="expression" dxfId="1157" priority="7726">
      <formula>CM11="RB"</formula>
    </cfRule>
    <cfRule type="expression" dxfId="1152" priority="7727">
      <formula>CM11="QB"</formula>
    </cfRule>
  </conditionalFormatting>
  <conditionalFormatting sqref="CL14">
    <cfRule type="expression" dxfId="1147" priority="7752">
      <formula>CM14="K"</formula>
    </cfRule>
    <cfRule type="expression" dxfId="1146" priority="7753">
      <formula>CM14="DEF"</formula>
    </cfRule>
    <cfRule type="expression" dxfId="1151" priority="7754">
      <formula>CM14="TE"</formula>
    </cfRule>
    <cfRule type="expression" dxfId="1150" priority="7755">
      <formula>CM14="WR"</formula>
    </cfRule>
    <cfRule type="expression" dxfId="1148" priority="7756">
      <formula>CM14="RB"</formula>
    </cfRule>
    <cfRule type="expression" dxfId="1149" priority="7757">
      <formula>CM14="QB"</formula>
    </cfRule>
  </conditionalFormatting>
  <conditionalFormatting sqref="CL17">
    <cfRule type="expression" dxfId="1142" priority="7782">
      <formula>CM17="K"</formula>
    </cfRule>
    <cfRule type="expression" dxfId="1143" priority="7783">
      <formula>CM17="DEF"</formula>
    </cfRule>
    <cfRule type="expression" dxfId="1144" priority="7784">
      <formula>CM17="TE"</formula>
    </cfRule>
    <cfRule type="expression" dxfId="1141" priority="7785">
      <formula>CM17="WR"</formula>
    </cfRule>
    <cfRule type="expression" dxfId="1145" priority="7786">
      <formula>CM17="RB"</formula>
    </cfRule>
    <cfRule type="expression" dxfId="1140" priority="7787">
      <formula>CM17="QB"</formula>
    </cfRule>
  </conditionalFormatting>
  <conditionalFormatting sqref="CL20">
    <cfRule type="expression" dxfId="1139" priority="7812">
      <formula>CM20="K"</formula>
    </cfRule>
    <cfRule type="expression" dxfId="1134" priority="7813">
      <formula>CM20="DEF"</formula>
    </cfRule>
    <cfRule type="expression" dxfId="1137" priority="7814">
      <formula>CM20="TE"</formula>
    </cfRule>
    <cfRule type="expression" dxfId="1138" priority="7815">
      <formula>CM20="WR"</formula>
    </cfRule>
    <cfRule type="expression" dxfId="1135" priority="7816">
      <formula>CM20="RB"</formula>
    </cfRule>
    <cfRule type="expression" dxfId="1136" priority="7817">
      <formula>CM20="QB"</formula>
    </cfRule>
  </conditionalFormatting>
  <conditionalFormatting sqref="CL23">
    <cfRule type="expression" dxfId="1131" priority="7842">
      <formula>CM23="K"</formula>
    </cfRule>
    <cfRule type="expression" dxfId="1132" priority="7843">
      <formula>CM23="DEF"</formula>
    </cfRule>
    <cfRule type="expression" dxfId="1128" priority="7844">
      <formula>CM23="TE"</formula>
    </cfRule>
    <cfRule type="expression" dxfId="1133" priority="7845">
      <formula>CM23="WR"</formula>
    </cfRule>
    <cfRule type="expression" dxfId="1129" priority="7846">
      <formula>CM23="RB"</formula>
    </cfRule>
    <cfRule type="expression" dxfId="1130" priority="7847">
      <formula>CM23="QB"</formula>
    </cfRule>
  </conditionalFormatting>
  <conditionalFormatting sqref="CL26">
    <cfRule type="expression" dxfId="1122" priority="7872">
      <formula>CM26="K"</formula>
    </cfRule>
    <cfRule type="expression" dxfId="1123" priority="7873">
      <formula>CM26="DEF"</formula>
    </cfRule>
    <cfRule type="expression" dxfId="1127" priority="7874">
      <formula>CM26="TE"</formula>
    </cfRule>
    <cfRule type="expression" dxfId="1126" priority="7875">
      <formula>CM26="WR"</formula>
    </cfRule>
    <cfRule type="expression" dxfId="1125" priority="7876">
      <formula>CM26="RB"</formula>
    </cfRule>
    <cfRule type="expression" dxfId="1124" priority="7877">
      <formula>CM26="QB"</formula>
    </cfRule>
  </conditionalFormatting>
  <conditionalFormatting sqref="CL29">
    <cfRule type="expression" dxfId="1119" priority="7902">
      <formula>CM29="K"</formula>
    </cfRule>
    <cfRule type="expression" dxfId="1121" priority="7903">
      <formula>CM29="DEF"</formula>
    </cfRule>
    <cfRule type="expression" dxfId="1120" priority="7904">
      <formula>CM29="TE"</formula>
    </cfRule>
    <cfRule type="expression" dxfId="1118" priority="7905">
      <formula>CM29="WR"</formula>
    </cfRule>
    <cfRule type="expression" dxfId="1117" priority="7906">
      <formula>CM29="RB"</formula>
    </cfRule>
    <cfRule type="expression" dxfId="1116" priority="7907">
      <formula>CM29="QB"</formula>
    </cfRule>
  </conditionalFormatting>
  <conditionalFormatting sqref="CL32">
    <cfRule type="expression" dxfId="1111" priority="7932">
      <formula>CM32="K"</formula>
    </cfRule>
    <cfRule type="expression" dxfId="1112" priority="7933">
      <formula>CM32="DEF"</formula>
    </cfRule>
    <cfRule type="expression" dxfId="1113" priority="7934">
      <formula>CM32="TE"</formula>
    </cfRule>
    <cfRule type="expression" dxfId="1110" priority="7935">
      <formula>CM32="WR"</formula>
    </cfRule>
    <cfRule type="expression" dxfId="1114" priority="7936">
      <formula>CM32="RB"</formula>
    </cfRule>
    <cfRule type="expression" dxfId="1115" priority="7937">
      <formula>CM32="QB"</formula>
    </cfRule>
  </conditionalFormatting>
  <conditionalFormatting sqref="CL35">
    <cfRule type="expression" dxfId="1109" priority="7962">
      <formula>CM35="K"</formula>
    </cfRule>
    <cfRule type="expression" dxfId="1104" priority="7963">
      <formula>CM35="DEF"</formula>
    </cfRule>
    <cfRule type="expression" dxfId="1108" priority="7964">
      <formula>CM35="TE"</formula>
    </cfRule>
    <cfRule type="expression" dxfId="1107" priority="7965">
      <formula>CM35="WR"</formula>
    </cfRule>
    <cfRule type="expression" dxfId="1106" priority="7966">
      <formula>CM35="RB"</formula>
    </cfRule>
    <cfRule type="expression" dxfId="1105" priority="7967">
      <formula>CM35="QB"</formula>
    </cfRule>
  </conditionalFormatting>
  <conditionalFormatting sqref="CL38">
    <cfRule type="expression" dxfId="1098" priority="7992">
      <formula>CM38="K"</formula>
    </cfRule>
    <cfRule type="expression" dxfId="1103" priority="7993">
      <formula>CM38="DEF"</formula>
    </cfRule>
    <cfRule type="expression" dxfId="1102" priority="7994">
      <formula>CM38="TE"</formula>
    </cfRule>
    <cfRule type="expression" dxfId="1101" priority="7995">
      <formula>CM38="WR"</formula>
    </cfRule>
    <cfRule type="expression" dxfId="1100" priority="7996">
      <formula>CM38="RB"</formula>
    </cfRule>
    <cfRule type="expression" dxfId="1099" priority="7997">
      <formula>CM38="QB"</formula>
    </cfRule>
  </conditionalFormatting>
  <conditionalFormatting sqref="CL41">
    <cfRule type="expression" dxfId="1093" priority="8022">
      <formula>CM41="K"</formula>
    </cfRule>
    <cfRule type="expression" dxfId="1092" priority="8023">
      <formula>CM41="DEF"</formula>
    </cfRule>
    <cfRule type="expression" dxfId="1097" priority="8024">
      <formula>CM41="TE"</formula>
    </cfRule>
    <cfRule type="expression" dxfId="1096" priority="8025">
      <formula>CM41="WR"</formula>
    </cfRule>
    <cfRule type="expression" dxfId="1094" priority="8026">
      <formula>CM41="RB"</formula>
    </cfRule>
    <cfRule type="expression" dxfId="1095" priority="8027">
      <formula>CM41="QB"</formula>
    </cfRule>
  </conditionalFormatting>
  <conditionalFormatting sqref="CL44">
    <cfRule type="expression" dxfId="1087" priority="8052">
      <formula>CM44="K"</formula>
    </cfRule>
    <cfRule type="expression" dxfId="1088" priority="8053">
      <formula>CM44="DEF"</formula>
    </cfRule>
    <cfRule type="expression" dxfId="1089" priority="8054">
      <formula>CM44="TE"</formula>
    </cfRule>
    <cfRule type="expression" dxfId="1090" priority="8055">
      <formula>CM44="WR"</formula>
    </cfRule>
    <cfRule type="expression" dxfId="1086" priority="8056">
      <formula>CM44="RB"</formula>
    </cfRule>
    <cfRule type="expression" dxfId="1091" priority="8057">
      <formula>CM44="QB"</formula>
    </cfRule>
  </conditionalFormatting>
  <conditionalFormatting sqref="CL47">
    <cfRule type="expression" dxfId="1082" priority="8082">
      <formula>CM47="K"</formula>
    </cfRule>
    <cfRule type="expression" dxfId="1083" priority="8083">
      <formula>CM47="DEF"</formula>
    </cfRule>
    <cfRule type="expression" dxfId="1084" priority="8084">
      <formula>CM47="TE"</formula>
    </cfRule>
    <cfRule type="expression" dxfId="1085" priority="8085">
      <formula>CM47="WR"</formula>
    </cfRule>
    <cfRule type="expression" dxfId="1081" priority="8086">
      <formula>CM47="RB"</formula>
    </cfRule>
    <cfRule type="expression" dxfId="1080" priority="8087">
      <formula>CM47="QB"</formula>
    </cfRule>
  </conditionalFormatting>
  <conditionalFormatting sqref="CM5">
    <cfRule type="expression" dxfId="1079" priority="7668">
      <formula>CM5="K"</formula>
    </cfRule>
    <cfRule type="expression" dxfId="1078" priority="7669">
      <formula>CM5="DEF"</formula>
    </cfRule>
    <cfRule type="expression" dxfId="1077" priority="7670">
      <formula>CM5="TE"</formula>
    </cfRule>
    <cfRule type="expression" dxfId="1075" priority="7671">
      <formula>CM5="WR"</formula>
    </cfRule>
    <cfRule type="expression" dxfId="1076" priority="7672">
      <formula>CM5="RB"</formula>
    </cfRule>
    <cfRule type="expression" dxfId="1074" priority="7673">
      <formula>CM5="QB"</formula>
    </cfRule>
  </conditionalFormatting>
  <conditionalFormatting sqref="CM8">
    <cfRule type="expression" dxfId="1073" priority="7698">
      <formula>CM8="K"</formula>
    </cfRule>
    <cfRule type="expression" dxfId="1068" priority="7699">
      <formula>CM8="DEF"</formula>
    </cfRule>
    <cfRule type="expression" dxfId="1072" priority="7700">
      <formula>CM8="TE"</formula>
    </cfRule>
    <cfRule type="expression" dxfId="1071" priority="7701">
      <formula>CM8="WR"</formula>
    </cfRule>
    <cfRule type="expression" dxfId="1070" priority="7702">
      <formula>CM8="RB"</formula>
    </cfRule>
    <cfRule type="expression" dxfId="1069" priority="7703">
      <formula>CM8="QB"</formula>
    </cfRule>
  </conditionalFormatting>
  <conditionalFormatting sqref="CM11">
    <cfRule type="expression" dxfId="1064" priority="7728">
      <formula>CM11="K"</formula>
    </cfRule>
    <cfRule type="expression" dxfId="1065" priority="7729">
      <formula>CM11="DEF"</formula>
    </cfRule>
    <cfRule type="expression" dxfId="1066" priority="7730">
      <formula>CM11="TE"</formula>
    </cfRule>
    <cfRule type="expression" dxfId="1067" priority="7731">
      <formula>CM11="WR"</formula>
    </cfRule>
    <cfRule type="expression" dxfId="1062" priority="7732">
      <formula>CM11="RB"</formula>
    </cfRule>
    <cfRule type="expression" dxfId="1063" priority="7733">
      <formula>CM11="QB"</formula>
    </cfRule>
  </conditionalFormatting>
  <conditionalFormatting sqref="CM14">
    <cfRule type="expression" dxfId="1058" priority="7758">
      <formula>CM14="K"</formula>
    </cfRule>
    <cfRule type="expression" dxfId="1061" priority="7759">
      <formula>CM14="DEF"</formula>
    </cfRule>
    <cfRule type="expression" dxfId="1057" priority="7760">
      <formula>CM14="TE"</formula>
    </cfRule>
    <cfRule type="expression" dxfId="1059" priority="7761">
      <formula>CM14="WR"</formula>
    </cfRule>
    <cfRule type="expression" dxfId="1060" priority="7762">
      <formula>CM14="RB"</formula>
    </cfRule>
    <cfRule type="expression" dxfId="1056" priority="7763">
      <formula>CM14="QB"</formula>
    </cfRule>
  </conditionalFormatting>
  <conditionalFormatting sqref="CM17">
    <cfRule type="expression" dxfId="1050" priority="7788">
      <formula>CM17="K"</formula>
    </cfRule>
    <cfRule type="expression" dxfId="1051" priority="7789">
      <formula>CM17="DEF"</formula>
    </cfRule>
    <cfRule type="expression" dxfId="1055" priority="7790">
      <formula>CM17="TE"</formula>
    </cfRule>
    <cfRule type="expression" dxfId="1054" priority="7791">
      <formula>CM17="WR"</formula>
    </cfRule>
    <cfRule type="expression" dxfId="1053" priority="7792">
      <formula>CM17="RB"</formula>
    </cfRule>
    <cfRule type="expression" dxfId="1052" priority="7793">
      <formula>CM17="QB"</formula>
    </cfRule>
  </conditionalFormatting>
  <conditionalFormatting sqref="CM20">
    <cfRule type="expression" dxfId="1046" priority="7818">
      <formula>CM20="K"</formula>
    </cfRule>
    <cfRule type="expression" dxfId="1049" priority="7819">
      <formula>CM20="DEF"</formula>
    </cfRule>
    <cfRule type="expression" dxfId="1044" priority="7820">
      <formula>CM20="TE"</formula>
    </cfRule>
    <cfRule type="expression" dxfId="1047" priority="7821">
      <formula>CM20="WR"</formula>
    </cfRule>
    <cfRule type="expression" dxfId="1048" priority="7822">
      <formula>CM20="RB"</formula>
    </cfRule>
    <cfRule type="expression" dxfId="1045" priority="7823">
      <formula>CM20="QB"</formula>
    </cfRule>
  </conditionalFormatting>
  <conditionalFormatting sqref="CM23">
    <cfRule type="expression" dxfId="1043" priority="7848">
      <formula>CM23="K"</formula>
    </cfRule>
    <cfRule type="expression" dxfId="1042" priority="7849">
      <formula>CM23="DEF"</formula>
    </cfRule>
    <cfRule type="expression" dxfId="1041" priority="7850">
      <formula>CM23="TE"</formula>
    </cfRule>
    <cfRule type="expression" dxfId="1040" priority="7851">
      <formula>CM23="WR"</formula>
    </cfRule>
    <cfRule type="expression" dxfId="1039" priority="7852">
      <formula>CM23="RB"</formula>
    </cfRule>
    <cfRule type="expression" dxfId="1038" priority="7853">
      <formula>CM23="QB"</formula>
    </cfRule>
  </conditionalFormatting>
  <conditionalFormatting sqref="CM26">
    <cfRule type="expression" dxfId="1032" priority="7878">
      <formula>CM26="K"</formula>
    </cfRule>
    <cfRule type="expression" dxfId="1037" priority="7879">
      <formula>CM26="DEF"</formula>
    </cfRule>
    <cfRule type="expression" dxfId="1036" priority="7880">
      <formula>CM26="TE"</formula>
    </cfRule>
    <cfRule type="expression" dxfId="1035" priority="7881">
      <formula>CM26="WR"</formula>
    </cfRule>
    <cfRule type="expression" dxfId="1034" priority="7882">
      <formula>CM26="RB"</formula>
    </cfRule>
    <cfRule type="expression" dxfId="1033" priority="7883">
      <formula>CM26="QB"</formula>
    </cfRule>
  </conditionalFormatting>
  <conditionalFormatting sqref="CM29">
    <cfRule type="expression" dxfId="1026" priority="7908">
      <formula>CM29="K"</formula>
    </cfRule>
    <cfRule type="expression" dxfId="1027" priority="7909">
      <formula>CM29="DEF"</formula>
    </cfRule>
    <cfRule type="expression" dxfId="1028" priority="7910">
      <formula>CM29="TE"</formula>
    </cfRule>
    <cfRule type="expression" dxfId="1031" priority="7911">
      <formula>CM29="WR"</formula>
    </cfRule>
    <cfRule type="expression" dxfId="1029" priority="7912">
      <formula>CM29="RB"</formula>
    </cfRule>
    <cfRule type="expression" dxfId="1030" priority="7913">
      <formula>CM29="QB"</formula>
    </cfRule>
  </conditionalFormatting>
  <conditionalFormatting sqref="CM32">
    <cfRule type="expression" dxfId="1020" priority="7938">
      <formula>CM32="K"</formula>
    </cfRule>
    <cfRule type="expression" dxfId="1021" priority="7939">
      <formula>CM32="DEF"</formula>
    </cfRule>
    <cfRule type="expression" dxfId="1022" priority="7940">
      <formula>CM32="TE"</formula>
    </cfRule>
    <cfRule type="expression" dxfId="1023" priority="7941">
      <formula>CM32="WR"</formula>
    </cfRule>
    <cfRule type="expression" dxfId="1024" priority="7942">
      <formula>CM32="RB"</formula>
    </cfRule>
    <cfRule type="expression" dxfId="1025" priority="7943">
      <formula>CM32="QB"</formula>
    </cfRule>
  </conditionalFormatting>
  <conditionalFormatting sqref="CM35">
    <cfRule type="expression" dxfId="1015" priority="7968">
      <formula>CM35="K"</formula>
    </cfRule>
    <cfRule type="expression" dxfId="1014" priority="7969">
      <formula>CM35="DEF"</formula>
    </cfRule>
    <cfRule type="expression" dxfId="1019" priority="7970">
      <formula>CM35="TE"</formula>
    </cfRule>
    <cfRule type="expression" dxfId="1018" priority="7971">
      <formula>CM35="WR"</formula>
    </cfRule>
    <cfRule type="expression" dxfId="1017" priority="7972">
      <formula>CM35="RB"</formula>
    </cfRule>
    <cfRule type="expression" dxfId="1016" priority="7973">
      <formula>CM35="QB"</formula>
    </cfRule>
  </conditionalFormatting>
  <conditionalFormatting sqref="CM38">
    <cfRule type="expression" dxfId="1013" priority="7998">
      <formula>CM38="K"</formula>
    </cfRule>
    <cfRule type="expression" dxfId="1012" priority="7999">
      <formula>CM38="DEF"</formula>
    </cfRule>
    <cfRule type="expression" dxfId="1011" priority="8000">
      <formula>CM38="TE"</formula>
    </cfRule>
    <cfRule type="expression" dxfId="1010" priority="8001">
      <formula>CM38="WR"</formula>
    </cfRule>
    <cfRule type="expression" dxfId="1009" priority="8002">
      <formula>CM38="RB"</formula>
    </cfRule>
    <cfRule type="expression" dxfId="1008" priority="8003">
      <formula>CM38="QB"</formula>
    </cfRule>
  </conditionalFormatting>
  <conditionalFormatting sqref="CM41">
    <cfRule type="expression" dxfId="1004" priority="8028">
      <formula>CM41="K"</formula>
    </cfRule>
    <cfRule type="expression" dxfId="1003" priority="8029">
      <formula>CM41="DEF"</formula>
    </cfRule>
    <cfRule type="expression" dxfId="1005" priority="8030">
      <formula>CM41="TE"</formula>
    </cfRule>
    <cfRule type="expression" dxfId="1006" priority="8031">
      <formula>CM41="WR"</formula>
    </cfRule>
    <cfRule type="expression" dxfId="1007" priority="8032">
      <formula>CM41="RB"</formula>
    </cfRule>
    <cfRule type="expression" dxfId="1002" priority="8033">
      <formula>CM41="QB"</formula>
    </cfRule>
  </conditionalFormatting>
  <conditionalFormatting sqref="CM44">
    <cfRule type="expression" dxfId="999" priority="8058">
      <formula>CM44="K"</formula>
    </cfRule>
    <cfRule type="expression" dxfId="996" priority="8059">
      <formula>CM44="DEF"</formula>
    </cfRule>
    <cfRule type="expression" dxfId="1001" priority="8060">
      <formula>CM44="TE"</formula>
    </cfRule>
    <cfRule type="expression" dxfId="1000" priority="8061">
      <formula>CM44="WR"</formula>
    </cfRule>
    <cfRule type="expression" dxfId="997" priority="8062">
      <formula>CM44="RB"</formula>
    </cfRule>
    <cfRule type="expression" dxfId="998" priority="8063">
      <formula>CM44="QB"</formula>
    </cfRule>
  </conditionalFormatting>
  <conditionalFormatting sqref="CM47">
    <cfRule type="expression" dxfId="991" priority="8088">
      <formula>CM47="K"</formula>
    </cfRule>
    <cfRule type="expression" dxfId="992" priority="8089">
      <formula>CM47="DEF"</formula>
    </cfRule>
    <cfRule type="expression" dxfId="993" priority="8090">
      <formula>CM47="TE"</formula>
    </cfRule>
    <cfRule type="expression" dxfId="994" priority="8091">
      <formula>CM47="WR"</formula>
    </cfRule>
    <cfRule type="expression" dxfId="995" priority="8092">
      <formula>CM47="RB"</formula>
    </cfRule>
    <cfRule type="expression" dxfId="990" priority="8093">
      <formula>CM47="QB"</formula>
    </cfRule>
  </conditionalFormatting>
  <conditionalFormatting sqref="CN5">
    <cfRule type="expression" dxfId="987" priority="7674">
      <formula>CM5="K"</formula>
    </cfRule>
    <cfRule type="expression" dxfId="989" priority="7675">
      <formula>CM5="DEF"</formula>
    </cfRule>
    <cfRule type="expression" dxfId="986" priority="7676">
      <formula>CM5="TE"</formula>
    </cfRule>
    <cfRule type="expression" dxfId="985" priority="7677">
      <formula>CM5="WR"</formula>
    </cfRule>
    <cfRule type="expression" dxfId="984" priority="7678">
      <formula>CM5="RB"</formula>
    </cfRule>
    <cfRule type="expression" dxfId="988" priority="7679">
      <formula>CM5="QB"</formula>
    </cfRule>
  </conditionalFormatting>
  <conditionalFormatting sqref="CN8">
    <cfRule type="expression" dxfId="978" priority="7704">
      <formula>CM8="K"</formula>
    </cfRule>
    <cfRule type="expression" dxfId="979" priority="7705">
      <formula>CM8="DEF"</formula>
    </cfRule>
    <cfRule type="expression" dxfId="983" priority="7706">
      <formula>CM8="TE"</formula>
    </cfRule>
    <cfRule type="expression" dxfId="982" priority="7707">
      <formula>CM8="WR"</formula>
    </cfRule>
    <cfRule type="expression" dxfId="981" priority="7708">
      <formula>CM8="RB"</formula>
    </cfRule>
    <cfRule type="expression" dxfId="980" priority="7709">
      <formula>CM8="QB"</formula>
    </cfRule>
  </conditionalFormatting>
  <conditionalFormatting sqref="CN11">
    <cfRule type="expression" dxfId="977" priority="7734">
      <formula>CM11="K"</formula>
    </cfRule>
    <cfRule type="expression" dxfId="972" priority="7735">
      <formula>CM11="DEF"</formula>
    </cfRule>
    <cfRule type="expression" dxfId="973" priority="7736">
      <formula>CM11="TE"</formula>
    </cfRule>
    <cfRule type="expression" dxfId="974" priority="7737">
      <formula>CM11="WR"</formula>
    </cfRule>
    <cfRule type="expression" dxfId="975" priority="7738">
      <formula>CM11="RB"</formula>
    </cfRule>
    <cfRule type="expression" dxfId="976" priority="7739">
      <formula>CM11="QB"</formula>
    </cfRule>
  </conditionalFormatting>
  <conditionalFormatting sqref="CN14">
    <cfRule type="expression" dxfId="968" priority="7764">
      <formula>CM14="K"</formula>
    </cfRule>
    <cfRule type="expression" dxfId="969" priority="7765">
      <formula>CM14="DEF"</formula>
    </cfRule>
    <cfRule type="expression" dxfId="970" priority="7766">
      <formula>CM14="TE"</formula>
    </cfRule>
    <cfRule type="expression" dxfId="971" priority="7767">
      <formula>CM14="WR"</formula>
    </cfRule>
    <cfRule type="expression" dxfId="966" priority="7768">
      <formula>CM14="RB"</formula>
    </cfRule>
    <cfRule type="expression" dxfId="967" priority="7769">
      <formula>CM14="QB"</formula>
    </cfRule>
  </conditionalFormatting>
  <conditionalFormatting sqref="CN17">
    <cfRule type="expression" dxfId="965" priority="7794">
      <formula>CM17="K"</formula>
    </cfRule>
    <cfRule type="expression" dxfId="961" priority="7795">
      <formula>CM17="DEF"</formula>
    </cfRule>
    <cfRule type="expression" dxfId="964" priority="7796">
      <formula>CM17="TE"</formula>
    </cfRule>
    <cfRule type="expression" dxfId="962" priority="7797">
      <formula>CM17="WR"</formula>
    </cfRule>
    <cfRule type="expression" dxfId="963" priority="7798">
      <formula>CM17="RB"</formula>
    </cfRule>
    <cfRule type="expression" dxfId="960" priority="7799">
      <formula>CM17="QB"</formula>
    </cfRule>
  </conditionalFormatting>
  <conditionalFormatting sqref="CN20">
    <cfRule type="expression" dxfId="954" priority="7824">
      <formula>CM20="K"</formula>
    </cfRule>
    <cfRule type="expression" dxfId="958" priority="7825">
      <formula>CM20="DEF"</formula>
    </cfRule>
    <cfRule type="expression" dxfId="957" priority="7826">
      <formula>CM20="TE"</formula>
    </cfRule>
    <cfRule type="expression" dxfId="956" priority="7827">
      <formula>CM20="WR"</formula>
    </cfRule>
    <cfRule type="expression" dxfId="955" priority="7828">
      <formula>CM20="RB"</formula>
    </cfRule>
    <cfRule type="expression" dxfId="959" priority="7829">
      <formula>CM20="QB"</formula>
    </cfRule>
  </conditionalFormatting>
  <conditionalFormatting sqref="CN23">
    <cfRule type="expression" dxfId="953" priority="7854">
      <formula>CM23="K"</formula>
    </cfRule>
    <cfRule type="expression" dxfId="952" priority="7855">
      <formula>CM23="DEF"</formula>
    </cfRule>
    <cfRule type="expression" dxfId="951" priority="7856">
      <formula>CM23="TE"</formula>
    </cfRule>
    <cfRule type="expression" dxfId="948" priority="7857">
      <formula>CM23="WR"</formula>
    </cfRule>
    <cfRule type="expression" dxfId="949" priority="7858">
      <formula>CM23="RB"</formula>
    </cfRule>
    <cfRule type="expression" dxfId="950" priority="7859">
      <formula>CM23="QB"</formula>
    </cfRule>
  </conditionalFormatting>
  <conditionalFormatting sqref="CN26">
    <cfRule type="expression" dxfId="942" priority="7884">
      <formula>CM26="K"</formula>
    </cfRule>
    <cfRule type="expression" dxfId="947" priority="7885">
      <formula>CM26="DEF"</formula>
    </cfRule>
    <cfRule type="expression" dxfId="946" priority="7886">
      <formula>CM26="TE"</formula>
    </cfRule>
    <cfRule type="expression" dxfId="945" priority="7887">
      <formula>CM26="WR"</formula>
    </cfRule>
    <cfRule type="expression" dxfId="944" priority="7888">
      <formula>CM26="RB"</formula>
    </cfRule>
    <cfRule type="expression" dxfId="943" priority="7889">
      <formula>CM26="QB"</formula>
    </cfRule>
  </conditionalFormatting>
  <conditionalFormatting sqref="CN29">
    <cfRule type="expression" dxfId="939" priority="7914">
      <formula>CM29="K"</formula>
    </cfRule>
    <cfRule type="expression" dxfId="938" priority="7915">
      <formula>CM29="DEF"</formula>
    </cfRule>
    <cfRule type="expression" dxfId="940" priority="7916">
      <formula>CM29="TE"</formula>
    </cfRule>
    <cfRule type="expression" dxfId="941" priority="7917">
      <formula>CM29="WR"</formula>
    </cfRule>
    <cfRule type="expression" dxfId="937" priority="7918">
      <formula>CM29="RB"</formula>
    </cfRule>
    <cfRule type="expression" dxfId="936" priority="7919">
      <formula>CM29="QB"</formula>
    </cfRule>
  </conditionalFormatting>
  <conditionalFormatting sqref="CN32">
    <cfRule type="expression" dxfId="934" priority="7944">
      <formula>CM32="K"</formula>
    </cfRule>
    <cfRule type="expression" dxfId="933" priority="7945">
      <formula>CM32="DEF"</formula>
    </cfRule>
    <cfRule type="expression" dxfId="932" priority="7946">
      <formula>CM32="TE"</formula>
    </cfRule>
    <cfRule type="expression" dxfId="931" priority="7947">
      <formula>CM32="WR"</formula>
    </cfRule>
    <cfRule type="expression" dxfId="935" priority="7948">
      <formula>CM32="RB"</formula>
    </cfRule>
    <cfRule type="expression" dxfId="930" priority="7949">
      <formula>CM32="QB"</formula>
    </cfRule>
  </conditionalFormatting>
  <conditionalFormatting sqref="CN35">
    <cfRule type="expression" dxfId="924" priority="7974">
      <formula>CM35="K"</formula>
    </cfRule>
    <cfRule type="expression" dxfId="929" priority="7975">
      <formula>CM35="DEF"</formula>
    </cfRule>
    <cfRule type="expression" dxfId="928" priority="7976">
      <formula>CM35="TE"</formula>
    </cfRule>
    <cfRule type="expression" dxfId="927" priority="7977">
      <formula>CM35="WR"</formula>
    </cfRule>
    <cfRule type="expression" dxfId="926" priority="7978">
      <formula>CM35="RB"</formula>
    </cfRule>
    <cfRule type="expression" dxfId="925" priority="7979">
      <formula>CM35="QB"</formula>
    </cfRule>
  </conditionalFormatting>
  <conditionalFormatting sqref="CN38">
    <cfRule type="expression" dxfId="923" priority="8004">
      <formula>CM38="K"</formula>
    </cfRule>
    <cfRule type="expression" dxfId="918" priority="8005">
      <formula>CM38="DEF"</formula>
    </cfRule>
    <cfRule type="expression" dxfId="922" priority="8006">
      <formula>CM38="TE"</formula>
    </cfRule>
    <cfRule type="expression" dxfId="921" priority="8007">
      <formula>CM38="WR"</formula>
    </cfRule>
    <cfRule type="expression" dxfId="920" priority="8008">
      <formula>CM38="RB"</formula>
    </cfRule>
    <cfRule type="expression" dxfId="919" priority="8009">
      <formula>CM38="QB"</formula>
    </cfRule>
  </conditionalFormatting>
  <conditionalFormatting sqref="CN41">
    <cfRule type="expression" dxfId="917" priority="8034">
      <formula>CM41="K"</formula>
    </cfRule>
    <cfRule type="expression" dxfId="916" priority="8035">
      <formula>CM41="DEF"</formula>
    </cfRule>
    <cfRule type="expression" dxfId="915" priority="8036">
      <formula>CM41="TE"</formula>
    </cfRule>
    <cfRule type="expression" dxfId="914" priority="8037">
      <formula>CM41="WR"</formula>
    </cfRule>
    <cfRule type="expression" dxfId="912" priority="8038">
      <formula>CM41="RB"</formula>
    </cfRule>
    <cfRule type="expression" dxfId="913" priority="8039">
      <formula>CM41="QB"</formula>
    </cfRule>
  </conditionalFormatting>
  <conditionalFormatting sqref="CN44">
    <cfRule type="expression" dxfId="906" priority="8064">
      <formula>CM44="K"</formula>
    </cfRule>
    <cfRule type="expression" dxfId="910" priority="8065">
      <formula>CM44="DEF"</formula>
    </cfRule>
    <cfRule type="expression" dxfId="909" priority="8066">
      <formula>CM44="TE"</formula>
    </cfRule>
    <cfRule type="expression" dxfId="908" priority="8067">
      <formula>CM44="WR"</formula>
    </cfRule>
    <cfRule type="expression" dxfId="907" priority="8068">
      <formula>CM44="RB"</formula>
    </cfRule>
    <cfRule type="expression" dxfId="911" priority="8069">
      <formula>CM44="QB"</formula>
    </cfRule>
  </conditionalFormatting>
  <conditionalFormatting sqref="CN47">
    <cfRule type="expression" dxfId="905" priority="8094">
      <formula>CM47="K"</formula>
    </cfRule>
    <cfRule type="expression" dxfId="904" priority="8095">
      <formula>CM47="DEF"</formula>
    </cfRule>
    <cfRule type="expression" dxfId="903" priority="8096">
      <formula>CM47="TE"</formula>
    </cfRule>
    <cfRule type="expression" dxfId="902" priority="8097">
      <formula>CM47="WR"</formula>
    </cfRule>
    <cfRule type="expression" dxfId="901" priority="8098">
      <formula>CM47="RB"</formula>
    </cfRule>
    <cfRule type="expression" dxfId="900" priority="8099">
      <formula>CM47="QB"</formula>
    </cfRule>
  </conditionalFormatting>
  <conditionalFormatting sqref="CP4">
    <cfRule type="expression" dxfId="899" priority="8101">
      <formula>CR5="DEF"</formula>
    </cfRule>
    <cfRule type="expression" dxfId="898" priority="8102">
      <formula>CR5="TE"</formula>
    </cfRule>
    <cfRule type="expression" dxfId="897" priority="8103">
      <formula>CR5="WR"</formula>
    </cfRule>
    <cfRule type="expression" dxfId="896" priority="8104">
      <formula>CR5="RB"</formula>
    </cfRule>
    <cfRule type="expression" dxfId="895" priority="8105">
      <formula>CR5="QB"</formula>
    </cfRule>
  </conditionalFormatting>
  <conditionalFormatting sqref="CP5">
    <cfRule type="expression" dxfId="894" priority="8106">
      <formula>CR5="K"</formula>
    </cfRule>
    <cfRule type="expression" dxfId="893" priority="8107">
      <formula>CR5="DEF"</formula>
    </cfRule>
    <cfRule type="expression" dxfId="892" priority="8108">
      <formula>CR5="TE"</formula>
    </cfRule>
    <cfRule type="expression" dxfId="891" priority="8109">
      <formula>CR5="WR"</formula>
    </cfRule>
    <cfRule type="expression" dxfId="890" priority="8110">
      <formula>CR5="RB"</formula>
    </cfRule>
    <cfRule type="expression" dxfId="889" priority="8111">
      <formula>CR5="QB"</formula>
    </cfRule>
  </conditionalFormatting>
  <conditionalFormatting sqref="CP7">
    <cfRule type="expression" dxfId="885" priority="8131">
      <formula>CR8="DEF"</formula>
    </cfRule>
    <cfRule type="expression" dxfId="886" priority="8132">
      <formula>CR8="TE"</formula>
    </cfRule>
    <cfRule type="expression" dxfId="887" priority="8133">
      <formula>CR8="WR"</formula>
    </cfRule>
    <cfRule type="expression" dxfId="888" priority="8134">
      <formula>CR8="RB"</formula>
    </cfRule>
    <cfRule type="expression" dxfId="884" priority="8135">
      <formula>CR8="QB"</formula>
    </cfRule>
  </conditionalFormatting>
  <conditionalFormatting sqref="CP8">
    <cfRule type="expression" dxfId="879" priority="8136">
      <formula>CR8="K"</formula>
    </cfRule>
    <cfRule type="expression" dxfId="878" priority="8137">
      <formula>CR8="DEF"</formula>
    </cfRule>
    <cfRule type="expression" dxfId="883" priority="8138">
      <formula>CR8="TE"</formula>
    </cfRule>
    <cfRule type="expression" dxfId="882" priority="8139">
      <formula>CR8="WR"</formula>
    </cfRule>
    <cfRule type="expression" dxfId="881" priority="8140">
      <formula>CR8="RB"</formula>
    </cfRule>
    <cfRule type="expression" dxfId="880" priority="8141">
      <formula>CR8="QB"</formula>
    </cfRule>
  </conditionalFormatting>
  <conditionalFormatting sqref="CP10">
    <cfRule type="expression" dxfId="873" priority="8161">
      <formula>CR11="DEF"</formula>
    </cfRule>
    <cfRule type="expression" dxfId="874" priority="8162">
      <formula>CR11="TE"</formula>
    </cfRule>
    <cfRule type="expression" dxfId="875" priority="8163">
      <formula>CR11="WR"</formula>
    </cfRule>
    <cfRule type="expression" dxfId="876" priority="8164">
      <formula>CR11="RB"</formula>
    </cfRule>
    <cfRule type="expression" dxfId="877" priority="8165">
      <formula>CR11="QB"</formula>
    </cfRule>
  </conditionalFormatting>
  <conditionalFormatting sqref="CP11">
    <cfRule type="expression" dxfId="871" priority="8166">
      <formula>CR11="K"</formula>
    </cfRule>
    <cfRule type="expression" dxfId="870" priority="8167">
      <formula>CR11="DEF"</formula>
    </cfRule>
    <cfRule type="expression" dxfId="872" priority="8168">
      <formula>CR11="TE"</formula>
    </cfRule>
    <cfRule type="expression" dxfId="867" priority="8169">
      <formula>CR11="WR"</formula>
    </cfRule>
    <cfRule type="expression" dxfId="868" priority="8170">
      <formula>CR11="RB"</formula>
    </cfRule>
    <cfRule type="expression" dxfId="869" priority="8171">
      <formula>CR11="QB"</formula>
    </cfRule>
  </conditionalFormatting>
  <conditionalFormatting sqref="CP13">
    <cfRule type="expression" dxfId="865" priority="8191">
      <formula>CR14="DEF"</formula>
    </cfRule>
    <cfRule type="expression" dxfId="864" priority="8192">
      <formula>CR14="TE"</formula>
    </cfRule>
    <cfRule type="expression" dxfId="866" priority="8193">
      <formula>CR14="WR"</formula>
    </cfRule>
    <cfRule type="expression" dxfId="863" priority="8194">
      <formula>CR14="RB"</formula>
    </cfRule>
    <cfRule type="expression" dxfId="862" priority="8195">
      <formula>CR14="QB"</formula>
    </cfRule>
  </conditionalFormatting>
  <conditionalFormatting sqref="CP14">
    <cfRule type="expression" dxfId="857" priority="8196">
      <formula>CR14="K"</formula>
    </cfRule>
    <cfRule type="expression" dxfId="856" priority="8197">
      <formula>CR14="DEF"</formula>
    </cfRule>
    <cfRule type="expression" dxfId="861" priority="8198">
      <formula>CR14="TE"</formula>
    </cfRule>
    <cfRule type="expression" dxfId="860" priority="8199">
      <formula>CR14="WR"</formula>
    </cfRule>
    <cfRule type="expression" dxfId="859" priority="8200">
      <formula>CR14="RB"</formula>
    </cfRule>
    <cfRule type="expression" dxfId="858" priority="8201">
      <formula>CR14="QB"</formula>
    </cfRule>
  </conditionalFormatting>
  <conditionalFormatting sqref="CP16">
    <cfRule type="expression" dxfId="851" priority="8221">
      <formula>CR17="DEF"</formula>
    </cfRule>
    <cfRule type="expression" dxfId="855" priority="8222">
      <formula>CR17="TE"</formula>
    </cfRule>
    <cfRule type="expression" dxfId="854" priority="8223">
      <formula>CR17="WR"</formula>
    </cfRule>
    <cfRule type="expression" dxfId="852" priority="8224">
      <formula>CR17="RB"</formula>
    </cfRule>
    <cfRule type="expression" dxfId="853" priority="8225">
      <formula>CR17="QB"</formula>
    </cfRule>
  </conditionalFormatting>
  <conditionalFormatting sqref="CP17">
    <cfRule type="expression" dxfId="848" priority="8226">
      <formula>CR17="K"</formula>
    </cfRule>
    <cfRule type="expression" dxfId="847" priority="8227">
      <formula>CR17="DEF"</formula>
    </cfRule>
    <cfRule type="expression" dxfId="846" priority="8228">
      <formula>CR17="TE"</formula>
    </cfRule>
    <cfRule type="expression" dxfId="845" priority="8229">
      <formula>CR17="WR"</formula>
    </cfRule>
    <cfRule type="expression" dxfId="849" priority="8230">
      <formula>CR17="RB"</formula>
    </cfRule>
    <cfRule type="expression" dxfId="850" priority="8231">
      <formula>CR17="QB"</formula>
    </cfRule>
  </conditionalFormatting>
  <conditionalFormatting sqref="CP19">
    <cfRule type="expression" dxfId="840" priority="8251">
      <formula>CR20="DEF"</formula>
    </cfRule>
    <cfRule type="expression" dxfId="844" priority="8252">
      <formula>CR20="TE"</formula>
    </cfRule>
    <cfRule type="expression" dxfId="841" priority="8253">
      <formula>CR20="WR"</formula>
    </cfRule>
    <cfRule type="expression" dxfId="843" priority="8254">
      <formula>CR20="RB"</formula>
    </cfRule>
    <cfRule type="expression" dxfId="842" priority="8255">
      <formula>CR20="QB"</formula>
    </cfRule>
  </conditionalFormatting>
  <conditionalFormatting sqref="CP20">
    <cfRule type="expression" dxfId="839" priority="8256">
      <formula>CR20="K"</formula>
    </cfRule>
    <cfRule type="expression" dxfId="838" priority="8257">
      <formula>CR20="DEF"</formula>
    </cfRule>
    <cfRule type="expression" dxfId="837" priority="8258">
      <formula>CR20="TE"</formula>
    </cfRule>
    <cfRule type="expression" dxfId="834" priority="8259">
      <formula>CR20="WR"</formula>
    </cfRule>
    <cfRule type="expression" dxfId="836" priority="8260">
      <formula>CR20="RB"</formula>
    </cfRule>
    <cfRule type="expression" dxfId="835" priority="8261">
      <formula>CR20="QB"</formula>
    </cfRule>
  </conditionalFormatting>
  <conditionalFormatting sqref="CP22">
    <cfRule type="expression" dxfId="830" priority="8281">
      <formula>CR23="DEF"</formula>
    </cfRule>
    <cfRule type="expression" dxfId="829" priority="8282">
      <formula>CR23="TE"</formula>
    </cfRule>
    <cfRule type="expression" dxfId="833" priority="8283">
      <formula>CR23="WR"</formula>
    </cfRule>
    <cfRule type="expression" dxfId="832" priority="8284">
      <formula>CR23="RB"</formula>
    </cfRule>
    <cfRule type="expression" dxfId="831" priority="8285">
      <formula>CR23="QB"</formula>
    </cfRule>
  </conditionalFormatting>
  <conditionalFormatting sqref="CP23">
    <cfRule type="expression" dxfId="825" priority="8286">
      <formula>CR23="K"</formula>
    </cfRule>
    <cfRule type="expression" dxfId="826" priority="8287">
      <formula>CR23="DEF"</formula>
    </cfRule>
    <cfRule type="expression" dxfId="827" priority="8288">
      <formula>CR23="TE"</formula>
    </cfRule>
    <cfRule type="expression" dxfId="828" priority="8289">
      <formula>CR23="WR"</formula>
    </cfRule>
    <cfRule type="expression" dxfId="823" priority="8290">
      <formula>CR23="RB"</formula>
    </cfRule>
    <cfRule type="expression" dxfId="824" priority="8291">
      <formula>CR23="QB"</formula>
    </cfRule>
  </conditionalFormatting>
  <conditionalFormatting sqref="CP25">
    <cfRule type="expression" dxfId="822" priority="8311">
      <formula>CR26="DEF"</formula>
    </cfRule>
    <cfRule type="expression" dxfId="820" priority="8312">
      <formula>CR26="TE"</formula>
    </cfRule>
    <cfRule type="expression" dxfId="818" priority="8313">
      <formula>CR26="WR"</formula>
    </cfRule>
    <cfRule type="expression" dxfId="819" priority="8314">
      <formula>CR26="RB"</formula>
    </cfRule>
    <cfRule type="expression" dxfId="821" priority="8315">
      <formula>CR26="QB"</formula>
    </cfRule>
  </conditionalFormatting>
  <conditionalFormatting sqref="CP26">
    <cfRule type="expression" dxfId="814" priority="8316">
      <formula>CR26="K"</formula>
    </cfRule>
    <cfRule type="expression" dxfId="813" priority="8317">
      <formula>CR26="DEF"</formula>
    </cfRule>
    <cfRule type="expression" dxfId="812" priority="8318">
      <formula>CR26="TE"</formula>
    </cfRule>
    <cfRule type="expression" dxfId="817" priority="8319">
      <formula>CR26="WR"</formula>
    </cfRule>
    <cfRule type="expression" dxfId="816" priority="8320">
      <formula>CR26="RB"</formula>
    </cfRule>
    <cfRule type="expression" dxfId="815" priority="8321">
      <formula>CR26="QB"</formula>
    </cfRule>
  </conditionalFormatting>
  <conditionalFormatting sqref="CP28">
    <cfRule type="expression" dxfId="810" priority="8341">
      <formula>CR29="DEF"</formula>
    </cfRule>
    <cfRule type="expression" dxfId="809" priority="8342">
      <formula>CR29="TE"</formula>
    </cfRule>
    <cfRule type="expression" dxfId="807" priority="8343">
      <formula>CR29="WR"</formula>
    </cfRule>
    <cfRule type="expression" dxfId="808" priority="8344">
      <formula>CR29="RB"</formula>
    </cfRule>
    <cfRule type="expression" dxfId="811" priority="8345">
      <formula>CR29="QB"</formula>
    </cfRule>
  </conditionalFormatting>
  <conditionalFormatting sqref="CP29">
    <cfRule type="expression" dxfId="806" priority="8346">
      <formula>CR29="K"</formula>
    </cfRule>
    <cfRule type="expression" dxfId="804" priority="8347">
      <formula>CR29="DEF"</formula>
    </cfRule>
    <cfRule type="expression" dxfId="803" priority="8348">
      <formula>CR29="TE"</formula>
    </cfRule>
    <cfRule type="expression" dxfId="802" priority="8349">
      <formula>CR29="WR"</formula>
    </cfRule>
    <cfRule type="expression" dxfId="801" priority="8350">
      <formula>CR29="RB"</formula>
    </cfRule>
    <cfRule type="expression" dxfId="805" priority="8351">
      <formula>CR29="QB"</formula>
    </cfRule>
  </conditionalFormatting>
  <conditionalFormatting sqref="CP31">
    <cfRule type="expression" dxfId="798" priority="8371">
      <formula>CR32="DEF"</formula>
    </cfRule>
    <cfRule type="expression" dxfId="799" priority="8372">
      <formula>CR32="TE"</formula>
    </cfRule>
    <cfRule type="expression" dxfId="797" priority="8373">
      <formula>CR32="WR"</formula>
    </cfRule>
    <cfRule type="expression" dxfId="796" priority="8374">
      <formula>CR32="RB"</formula>
    </cfRule>
    <cfRule type="expression" dxfId="800" priority="8375">
      <formula>CR32="QB"</formula>
    </cfRule>
  </conditionalFormatting>
  <conditionalFormatting sqref="CP32">
    <cfRule type="expression" dxfId="794" priority="8376">
      <formula>CR32="K"</formula>
    </cfRule>
    <cfRule type="expression" dxfId="793" priority="8377">
      <formula>CR32="DEF"</formula>
    </cfRule>
    <cfRule type="expression" dxfId="792" priority="8378">
      <formula>CR32="TE"</formula>
    </cfRule>
    <cfRule type="expression" dxfId="795" priority="8379">
      <formula>CR32="WR"</formula>
    </cfRule>
    <cfRule type="expression" dxfId="791" priority="8380">
      <formula>CR32="RB"</formula>
    </cfRule>
    <cfRule type="expression" dxfId="790" priority="8381">
      <formula>CR32="QB"</formula>
    </cfRule>
  </conditionalFormatting>
  <conditionalFormatting sqref="CP34">
    <cfRule type="expression" dxfId="788" priority="8401">
      <formula>CR35="DEF"</formula>
    </cfRule>
    <cfRule type="expression" dxfId="787" priority="8402">
      <formula>CR35="TE"</formula>
    </cfRule>
    <cfRule type="expression" dxfId="786" priority="8403">
      <formula>CR35="WR"</formula>
    </cfRule>
    <cfRule type="expression" dxfId="789" priority="8404">
      <formula>CR35="RB"</formula>
    </cfRule>
    <cfRule type="expression" dxfId="785" priority="8405">
      <formula>CR35="QB"</formula>
    </cfRule>
  </conditionalFormatting>
  <conditionalFormatting sqref="CP35">
    <cfRule type="expression" dxfId="784" priority="8406">
      <formula>CR35="K"</formula>
    </cfRule>
    <cfRule type="expression" dxfId="779" priority="8407">
      <formula>CR35="DEF"</formula>
    </cfRule>
    <cfRule type="expression" dxfId="783" priority="8408">
      <formula>CR35="TE"</formula>
    </cfRule>
    <cfRule type="expression" dxfId="782" priority="8409">
      <formula>CR35="WR"</formula>
    </cfRule>
    <cfRule type="expression" dxfId="781" priority="8410">
      <formula>CR35="RB"</formula>
    </cfRule>
    <cfRule type="expression" dxfId="780" priority="8411">
      <formula>CR35="QB"</formula>
    </cfRule>
  </conditionalFormatting>
  <conditionalFormatting sqref="CP37">
    <cfRule type="expression" dxfId="776" priority="8431">
      <formula>CR38="DEF"</formula>
    </cfRule>
    <cfRule type="expression" dxfId="775" priority="8432">
      <formula>CR38="TE"</formula>
    </cfRule>
    <cfRule type="expression" dxfId="774" priority="8433">
      <formula>CR38="WR"</formula>
    </cfRule>
    <cfRule type="expression" dxfId="777" priority="8434">
      <formula>CR38="RB"</formula>
    </cfRule>
    <cfRule type="expression" dxfId="778" priority="8435">
      <formula>CR38="QB"</formula>
    </cfRule>
  </conditionalFormatting>
  <conditionalFormatting sqref="CP38">
    <cfRule type="expression" dxfId="772" priority="8436">
      <formula>CR38="K"</formula>
    </cfRule>
    <cfRule type="expression" dxfId="773" priority="8437">
      <formula>CR38="DEF"</formula>
    </cfRule>
    <cfRule type="expression" dxfId="768" priority="8438">
      <formula>CR38="TE"</formula>
    </cfRule>
    <cfRule type="expression" dxfId="771" priority="8439">
      <formula>CR38="WR"</formula>
    </cfRule>
    <cfRule type="expression" dxfId="770" priority="8440">
      <formula>CR38="RB"</formula>
    </cfRule>
    <cfRule type="expression" dxfId="769" priority="8441">
      <formula>CR38="QB"</formula>
    </cfRule>
  </conditionalFormatting>
  <conditionalFormatting sqref="CP40">
    <cfRule type="expression" dxfId="767" priority="8461">
      <formula>CR41="DEF"</formula>
    </cfRule>
    <cfRule type="expression" dxfId="763" priority="8462">
      <formula>CR41="TE"</formula>
    </cfRule>
    <cfRule type="expression" dxfId="764" priority="8463">
      <formula>CR41="WR"</formula>
    </cfRule>
    <cfRule type="expression" dxfId="765" priority="8464">
      <formula>CR41="RB"</formula>
    </cfRule>
    <cfRule type="expression" dxfId="766" priority="8465">
      <formula>CR41="QB"</formula>
    </cfRule>
  </conditionalFormatting>
  <conditionalFormatting sqref="CP41">
    <cfRule type="expression" dxfId="757" priority="8466">
      <formula>CR41="K"</formula>
    </cfRule>
    <cfRule type="expression" dxfId="758" priority="8467">
      <formula>CR41="DEF"</formula>
    </cfRule>
    <cfRule type="expression" dxfId="759" priority="8468">
      <formula>CR41="TE"</formula>
    </cfRule>
    <cfRule type="expression" dxfId="760" priority="8469">
      <formula>CR41="WR"</formula>
    </cfRule>
    <cfRule type="expression" dxfId="761" priority="8470">
      <formula>CR41="RB"</formula>
    </cfRule>
    <cfRule type="expression" dxfId="762" priority="8471">
      <formula>CR41="QB"</formula>
    </cfRule>
  </conditionalFormatting>
  <conditionalFormatting sqref="CP43">
    <cfRule type="expression" dxfId="752" priority="8491">
      <formula>CR44="DEF"</formula>
    </cfRule>
    <cfRule type="expression" dxfId="754" priority="8492">
      <formula>CR44="TE"</formula>
    </cfRule>
    <cfRule type="expression" dxfId="753" priority="8493">
      <formula>CR44="WR"</formula>
    </cfRule>
    <cfRule type="expression" dxfId="756" priority="8494">
      <formula>CR44="RB"</formula>
    </cfRule>
    <cfRule type="expression" dxfId="755" priority="8495">
      <formula>CR44="QB"</formula>
    </cfRule>
  </conditionalFormatting>
  <conditionalFormatting sqref="CP44">
    <cfRule type="expression" dxfId="751" priority="8496">
      <formula>CR44="K"</formula>
    </cfRule>
    <cfRule type="expression" dxfId="746" priority="8497">
      <formula>CR44="DEF"</formula>
    </cfRule>
    <cfRule type="expression" dxfId="750" priority="8498">
      <formula>CR44="TE"</formula>
    </cfRule>
    <cfRule type="expression" dxfId="749" priority="8499">
      <formula>CR44="WR"</formula>
    </cfRule>
    <cfRule type="expression" dxfId="748" priority="8500">
      <formula>CR44="RB"</formula>
    </cfRule>
    <cfRule type="expression" dxfId="747" priority="8501">
      <formula>CR44="QB"</formula>
    </cfRule>
  </conditionalFormatting>
  <conditionalFormatting sqref="CP46">
    <cfRule type="expression" dxfId="744" priority="8521">
      <formula>CR47="DEF"</formula>
    </cfRule>
    <cfRule type="expression" dxfId="741" priority="8522">
      <formula>CR47="TE"</formula>
    </cfRule>
    <cfRule type="expression" dxfId="742" priority="8523">
      <formula>CR47="WR"</formula>
    </cfRule>
    <cfRule type="expression" dxfId="743" priority="8524">
      <formula>CR47="RB"</formula>
    </cfRule>
    <cfRule type="expression" dxfId="745" priority="8525">
      <formula>CR47="QB"</formula>
    </cfRule>
  </conditionalFormatting>
  <conditionalFormatting sqref="CP47">
    <cfRule type="expression" dxfId="737" priority="8526">
      <formula>CR47="K"</formula>
    </cfRule>
    <cfRule type="expression" dxfId="736" priority="8527">
      <formula>CR47="DEF"</formula>
    </cfRule>
    <cfRule type="expression" dxfId="735" priority="8528">
      <formula>CR47="TE"</formula>
    </cfRule>
    <cfRule type="expression" dxfId="740" priority="8529">
      <formula>CR47="WR"</formula>
    </cfRule>
    <cfRule type="expression" dxfId="739" priority="8530">
      <formula>CR47="RB"</formula>
    </cfRule>
    <cfRule type="expression" dxfId="738" priority="8531">
      <formula>CR47="QB"</formula>
    </cfRule>
  </conditionalFormatting>
  <conditionalFormatting sqref="CP4:CS4">
    <cfRule type="expression" dxfId="734" priority="8130">
      <formula>CR5="K"</formula>
    </cfRule>
  </conditionalFormatting>
  <conditionalFormatting sqref="CP7:CS7">
    <cfRule type="expression" dxfId="733" priority="8160">
      <formula>CR8="K"</formula>
    </cfRule>
  </conditionalFormatting>
  <conditionalFormatting sqref="CP10:CS10">
    <cfRule type="expression" dxfId="732" priority="8190">
      <formula>CR11="K"</formula>
    </cfRule>
  </conditionalFormatting>
  <conditionalFormatting sqref="CP13:CS13">
    <cfRule type="expression" dxfId="731" priority="8220">
      <formula>CR14="K"</formula>
    </cfRule>
  </conditionalFormatting>
  <conditionalFormatting sqref="CP16:CS16">
    <cfRule type="expression" dxfId="730" priority="8250">
      <formula>CR17="K"</formula>
    </cfRule>
  </conditionalFormatting>
  <conditionalFormatting sqref="CP19:CS19">
    <cfRule type="expression" dxfId="729" priority="8280">
      <formula>CR20="K"</formula>
    </cfRule>
  </conditionalFormatting>
  <conditionalFormatting sqref="CP22:CS22">
    <cfRule type="expression" dxfId="728" priority="8310">
      <formula>CR23="K"</formula>
    </cfRule>
  </conditionalFormatting>
  <conditionalFormatting sqref="CP25:CS25">
    <cfRule type="expression" dxfId="727" priority="8340">
      <formula>CR26="K"</formula>
    </cfRule>
  </conditionalFormatting>
  <conditionalFormatting sqref="CP28:CS28">
    <cfRule type="expression" dxfId="726" priority="8370">
      <formula>CR29="K"</formula>
    </cfRule>
  </conditionalFormatting>
  <conditionalFormatting sqref="CP31:CS31">
    <cfRule type="expression" dxfId="725" priority="8400">
      <formula>CR32="K"</formula>
    </cfRule>
  </conditionalFormatting>
  <conditionalFormatting sqref="CP34:CS34">
    <cfRule type="expression" dxfId="724" priority="8430">
      <formula>CR35="K"</formula>
    </cfRule>
  </conditionalFormatting>
  <conditionalFormatting sqref="CP37:CS37">
    <cfRule type="expression" dxfId="723" priority="8460">
      <formula>CR38="K"</formula>
    </cfRule>
  </conditionalFormatting>
  <conditionalFormatting sqref="CP40:CS40">
    <cfRule type="expression" dxfId="722" priority="8490">
      <formula>CR41="K"</formula>
    </cfRule>
  </conditionalFormatting>
  <conditionalFormatting sqref="CP43:CS43">
    <cfRule type="expression" dxfId="721" priority="8520">
      <formula>CR44="K"</formula>
    </cfRule>
  </conditionalFormatting>
  <conditionalFormatting sqref="CP46:CS46">
    <cfRule type="expression" dxfId="720" priority="8550">
      <formula>CR47="K"</formula>
    </cfRule>
  </conditionalFormatting>
  <conditionalFormatting sqref="CQ5">
    <cfRule type="expression" dxfId="715" priority="8112">
      <formula>CR5="K"</formula>
    </cfRule>
    <cfRule type="expression" dxfId="718" priority="8113">
      <formula>CR5="DEF"</formula>
    </cfRule>
    <cfRule type="expression" dxfId="719" priority="8114">
      <formula>CR5="TE"</formula>
    </cfRule>
    <cfRule type="expression" dxfId="714" priority="8115">
      <formula>CR5="WR"</formula>
    </cfRule>
    <cfRule type="expression" dxfId="716" priority="8116">
      <formula>CR5="RB"</formula>
    </cfRule>
    <cfRule type="expression" dxfId="717" priority="8117">
      <formula>CR5="QB"</formula>
    </cfRule>
  </conditionalFormatting>
  <conditionalFormatting sqref="CQ8">
    <cfRule type="expression" dxfId="708" priority="8142">
      <formula>CR8="K"</formula>
    </cfRule>
    <cfRule type="expression" dxfId="713" priority="8143">
      <formula>CR8="DEF"</formula>
    </cfRule>
    <cfRule type="expression" dxfId="712" priority="8144">
      <formula>CR8="TE"</formula>
    </cfRule>
    <cfRule type="expression" dxfId="711" priority="8145">
      <formula>CR8="WR"</formula>
    </cfRule>
    <cfRule type="expression" dxfId="710" priority="8146">
      <formula>CR8="RB"</formula>
    </cfRule>
    <cfRule type="expression" dxfId="709" priority="8147">
      <formula>CR8="QB"</formula>
    </cfRule>
  </conditionalFormatting>
  <conditionalFormatting sqref="CQ11">
    <cfRule type="expression" dxfId="702" priority="8172">
      <formula>CR11="K"</formula>
    </cfRule>
    <cfRule type="expression" dxfId="703" priority="8173">
      <formula>CR11="DEF"</formula>
    </cfRule>
    <cfRule type="expression" dxfId="707" priority="8174">
      <formula>CR11="TE"</formula>
    </cfRule>
    <cfRule type="expression" dxfId="706" priority="8175">
      <formula>CR11="WR"</formula>
    </cfRule>
    <cfRule type="expression" dxfId="705" priority="8176">
      <formula>CR11="RB"</formula>
    </cfRule>
    <cfRule type="expression" dxfId="704" priority="8177">
      <formula>CR11="QB"</formula>
    </cfRule>
  </conditionalFormatting>
  <conditionalFormatting sqref="CQ14">
    <cfRule type="expression" dxfId="701" priority="8202">
      <formula>CR14="K"</formula>
    </cfRule>
    <cfRule type="expression" dxfId="700" priority="8203">
      <formula>CR14="DEF"</formula>
    </cfRule>
    <cfRule type="expression" dxfId="697" priority="8204">
      <formula>CR14="TE"</formula>
    </cfRule>
    <cfRule type="expression" dxfId="698" priority="8205">
      <formula>CR14="WR"</formula>
    </cfRule>
    <cfRule type="expression" dxfId="696" priority="8206">
      <formula>CR14="RB"</formula>
    </cfRule>
    <cfRule type="expression" dxfId="699" priority="8207">
      <formula>CR14="QB"</formula>
    </cfRule>
  </conditionalFormatting>
  <conditionalFormatting sqref="CQ17">
    <cfRule type="expression" dxfId="695" priority="8232">
      <formula>CR17="K"</formula>
    </cfRule>
    <cfRule type="expression" dxfId="693" priority="8233">
      <formula>CR17="DEF"</formula>
    </cfRule>
    <cfRule type="expression" dxfId="694" priority="8234">
      <formula>CR17="TE"</formula>
    </cfRule>
    <cfRule type="expression" dxfId="692" priority="8235">
      <formula>CR17="WR"</formula>
    </cfRule>
    <cfRule type="expression" dxfId="691" priority="8236">
      <formula>CR17="RB"</formula>
    </cfRule>
    <cfRule type="expression" dxfId="690" priority="8237">
      <formula>CR17="QB"</formula>
    </cfRule>
  </conditionalFormatting>
  <conditionalFormatting sqref="CQ20">
    <cfRule type="expression" dxfId="684" priority="8262">
      <formula>CR20="K"</formula>
    </cfRule>
    <cfRule type="expression" dxfId="685" priority="8263">
      <formula>CR20="DEF"</formula>
    </cfRule>
    <cfRule type="expression" dxfId="686" priority="8264">
      <formula>CR20="TE"</formula>
    </cfRule>
    <cfRule type="expression" dxfId="687" priority="8265">
      <formula>CR20="WR"</formula>
    </cfRule>
    <cfRule type="expression" dxfId="688" priority="8266">
      <formula>CR20="RB"</formula>
    </cfRule>
    <cfRule type="expression" dxfId="689" priority="8267">
      <formula>CR20="QB"</formula>
    </cfRule>
  </conditionalFormatting>
  <conditionalFormatting sqref="CQ23">
    <cfRule type="expression" dxfId="678" priority="8292">
      <formula>CR23="K"</formula>
    </cfRule>
    <cfRule type="expression" dxfId="683" priority="8293">
      <formula>CR23="DEF"</formula>
    </cfRule>
    <cfRule type="expression" dxfId="682" priority="8294">
      <formula>CR23="TE"</formula>
    </cfRule>
    <cfRule type="expression" dxfId="681" priority="8295">
      <formula>CR23="WR"</formula>
    </cfRule>
    <cfRule type="expression" dxfId="680" priority="8296">
      <formula>CR23="RB"</formula>
    </cfRule>
    <cfRule type="expression" dxfId="679" priority="8297">
      <formula>CR23="QB"</formula>
    </cfRule>
  </conditionalFormatting>
  <conditionalFormatting sqref="CQ26">
    <cfRule type="expression" dxfId="674" priority="8322">
      <formula>CR26="K"</formula>
    </cfRule>
    <cfRule type="expression" dxfId="673" priority="8323">
      <formula>CR26="DEF"</formula>
    </cfRule>
    <cfRule type="expression" dxfId="677" priority="8324">
      <formula>CR26="TE"</formula>
    </cfRule>
    <cfRule type="expression" dxfId="676" priority="8325">
      <formula>CR26="WR"</formula>
    </cfRule>
    <cfRule type="expression" dxfId="675" priority="8326">
      <formula>CR26="RB"</formula>
    </cfRule>
    <cfRule type="expression" dxfId="672" priority="8327">
      <formula>CR26="QB"</formula>
    </cfRule>
  </conditionalFormatting>
  <conditionalFormatting sqref="CQ29">
    <cfRule type="expression" dxfId="671" priority="8352">
      <formula>CR29="K"</formula>
    </cfRule>
    <cfRule type="expression" dxfId="670" priority="8353">
      <formula>CR29="DEF"</formula>
    </cfRule>
    <cfRule type="expression" dxfId="669" priority="8354">
      <formula>CR29="TE"</formula>
    </cfRule>
    <cfRule type="expression" dxfId="668" priority="8355">
      <formula>CR29="WR"</formula>
    </cfRule>
    <cfRule type="expression" dxfId="666" priority="8356">
      <formula>CR29="RB"</formula>
    </cfRule>
    <cfRule type="expression" dxfId="667" priority="8357">
      <formula>CR29="QB"</formula>
    </cfRule>
  </conditionalFormatting>
  <conditionalFormatting sqref="CQ32">
    <cfRule type="expression" dxfId="664" priority="8382">
      <formula>CR32="K"</formula>
    </cfRule>
    <cfRule type="expression" dxfId="665" priority="8383">
      <formula>CR32="DEF"</formula>
    </cfRule>
    <cfRule type="expression" dxfId="660" priority="8384">
      <formula>CR32="TE"</formula>
    </cfRule>
    <cfRule type="expression" dxfId="663" priority="8385">
      <formula>CR32="WR"</formula>
    </cfRule>
    <cfRule type="expression" dxfId="662" priority="8386">
      <formula>CR32="RB"</formula>
    </cfRule>
    <cfRule type="expression" dxfId="661" priority="8387">
      <formula>CR32="QB"</formula>
    </cfRule>
  </conditionalFormatting>
  <conditionalFormatting sqref="CQ35">
    <cfRule type="expression" dxfId="658" priority="8412">
      <formula>CR35="K"</formula>
    </cfRule>
    <cfRule type="expression" dxfId="657" priority="8413">
      <formula>CR35="DEF"</formula>
    </cfRule>
    <cfRule type="expression" dxfId="656" priority="8414">
      <formula>CR35="TE"</formula>
    </cfRule>
    <cfRule type="expression" dxfId="655" priority="8415">
      <formula>CR35="WR"</formula>
    </cfRule>
    <cfRule type="expression" dxfId="659" priority="8416">
      <formula>CR35="RB"</formula>
    </cfRule>
    <cfRule type="expression" dxfId="654" priority="8417">
      <formula>CR35="QB"</formula>
    </cfRule>
  </conditionalFormatting>
  <conditionalFormatting sqref="CQ38">
    <cfRule type="expression" dxfId="650" priority="8442">
      <formula>CR38="K"</formula>
    </cfRule>
    <cfRule type="expression" dxfId="649" priority="8443">
      <formula>CR38="DEF"</formula>
    </cfRule>
    <cfRule type="expression" dxfId="648" priority="8444">
      <formula>CR38="TE"</formula>
    </cfRule>
    <cfRule type="expression" dxfId="653" priority="8445">
      <formula>CR38="WR"</formula>
    </cfRule>
    <cfRule type="expression" dxfId="651" priority="8446">
      <formula>CR38="RB"</formula>
    </cfRule>
    <cfRule type="expression" dxfId="652" priority="8447">
      <formula>CR38="QB"</formula>
    </cfRule>
  </conditionalFormatting>
  <conditionalFormatting sqref="CQ41">
    <cfRule type="expression" dxfId="644" priority="8472">
      <formula>CR41="K"</formula>
    </cfRule>
    <cfRule type="expression" dxfId="645" priority="8473">
      <formula>CR41="DEF"</formula>
    </cfRule>
    <cfRule type="expression" dxfId="646" priority="8474">
      <formula>CR41="TE"</formula>
    </cfRule>
    <cfRule type="expression" dxfId="647" priority="8475">
      <formula>CR41="WR"</formula>
    </cfRule>
    <cfRule type="expression" dxfId="642" priority="8476">
      <formula>CR41="RB"</formula>
    </cfRule>
    <cfRule type="expression" dxfId="643" priority="8477">
      <formula>CR41="QB"</formula>
    </cfRule>
  </conditionalFormatting>
  <conditionalFormatting sqref="CQ44">
    <cfRule type="expression" dxfId="637" priority="8502">
      <formula>CR44="K"</formula>
    </cfRule>
    <cfRule type="expression" dxfId="639" priority="8503">
      <formula>CR44="DEF"</formula>
    </cfRule>
    <cfRule type="expression" dxfId="636" priority="8504">
      <formula>CR44="TE"</formula>
    </cfRule>
    <cfRule type="expression" dxfId="638" priority="8505">
      <formula>CR44="WR"</formula>
    </cfRule>
    <cfRule type="expression" dxfId="640" priority="8506">
      <formula>CR44="RB"</formula>
    </cfRule>
    <cfRule type="expression" dxfId="641" priority="8507">
      <formula>CR44="QB"</formula>
    </cfRule>
  </conditionalFormatting>
  <conditionalFormatting sqref="CQ47">
    <cfRule type="expression" dxfId="631" priority="8532">
      <formula>CR47="K"</formula>
    </cfRule>
    <cfRule type="expression" dxfId="630" priority="8533">
      <formula>CR47="DEF"</formula>
    </cfRule>
    <cfRule type="expression" dxfId="635" priority="8534">
      <formula>CR47="TE"</formula>
    </cfRule>
    <cfRule type="expression" dxfId="634" priority="8535">
      <formula>CR47="WR"</formula>
    </cfRule>
    <cfRule type="expression" dxfId="632" priority="8536">
      <formula>CR47="RB"</formula>
    </cfRule>
    <cfRule type="expression" dxfId="633" priority="8537">
      <formula>CR47="QB"</formula>
    </cfRule>
  </conditionalFormatting>
  <conditionalFormatting sqref="CR5">
    <cfRule type="expression" dxfId="625" priority="8118">
      <formula>CR5="K"</formula>
    </cfRule>
    <cfRule type="expression" dxfId="629" priority="8119">
      <formula>CR5="DEF"</formula>
    </cfRule>
    <cfRule type="expression" dxfId="628" priority="8120">
      <formula>CR5="TE"</formula>
    </cfRule>
    <cfRule type="expression" dxfId="627" priority="8121">
      <formula>CR5="WR"</formula>
    </cfRule>
    <cfRule type="expression" dxfId="626" priority="8122">
      <formula>CR5="RB"</formula>
    </cfRule>
    <cfRule type="expression" dxfId="624" priority="8123">
      <formula>CR5="QB"</formula>
    </cfRule>
  </conditionalFormatting>
  <conditionalFormatting sqref="CR8">
    <cfRule type="expression" dxfId="621" priority="8148">
      <formula>CR8="K"</formula>
    </cfRule>
    <cfRule type="expression" dxfId="622" priority="8149">
      <formula>CR8="DEF"</formula>
    </cfRule>
    <cfRule type="expression" dxfId="623" priority="8150">
      <formula>CR8="TE"</formula>
    </cfRule>
    <cfRule type="expression" dxfId="619" priority="8151">
      <formula>CR8="WR"</formula>
    </cfRule>
    <cfRule type="expression" dxfId="618" priority="8152">
      <formula>CR8="RB"</formula>
    </cfRule>
    <cfRule type="expression" dxfId="620" priority="8153">
      <formula>CR8="QB"</formula>
    </cfRule>
  </conditionalFormatting>
  <conditionalFormatting sqref="CR11">
    <cfRule type="expression" dxfId="617" priority="8178">
      <formula>CR11="K"</formula>
    </cfRule>
    <cfRule type="expression" dxfId="616" priority="8179">
      <formula>CR11="DEF"</formula>
    </cfRule>
    <cfRule type="expression" dxfId="613" priority="8180">
      <formula>CR11="TE"</formula>
    </cfRule>
    <cfRule type="expression" dxfId="615" priority="8181">
      <formula>CR11="WR"</formula>
    </cfRule>
    <cfRule type="expression" dxfId="612" priority="8182">
      <formula>CR11="RB"</formula>
    </cfRule>
    <cfRule type="expression" dxfId="614" priority="8183">
      <formula>CR11="QB"</formula>
    </cfRule>
  </conditionalFormatting>
  <conditionalFormatting sqref="CR14">
    <cfRule type="expression" dxfId="610" priority="8208">
      <formula>CR14="K"</formula>
    </cfRule>
    <cfRule type="expression" dxfId="611" priority="8209">
      <formula>CR14="DEF"</formula>
    </cfRule>
    <cfRule type="expression" dxfId="609" priority="8210">
      <formula>CR14="TE"</formula>
    </cfRule>
    <cfRule type="expression" dxfId="607" priority="8211">
      <formula>CR14="WR"</formula>
    </cfRule>
    <cfRule type="expression" dxfId="606" priority="8212">
      <formula>CR14="RB"</formula>
    </cfRule>
    <cfRule type="expression" dxfId="608" priority="8213">
      <formula>CR14="QB"</formula>
    </cfRule>
  </conditionalFormatting>
  <conditionalFormatting sqref="CR17">
    <cfRule type="expression" dxfId="600" priority="8238">
      <formula>CR17="K"</formula>
    </cfRule>
    <cfRule type="expression" dxfId="602" priority="8239">
      <formula>CR17="DEF"</formula>
    </cfRule>
    <cfRule type="expression" dxfId="601" priority="8240">
      <formula>CR17="TE"</formula>
    </cfRule>
    <cfRule type="expression" dxfId="605" priority="8241">
      <formula>CR17="WR"</formula>
    </cfRule>
    <cfRule type="expression" dxfId="604" priority="8242">
      <formula>CR17="RB"</formula>
    </cfRule>
    <cfRule type="expression" dxfId="603" priority="8243">
      <formula>CR17="QB"</formula>
    </cfRule>
  </conditionalFormatting>
  <conditionalFormatting sqref="CR20">
    <cfRule type="expression" dxfId="594" priority="8268">
      <formula>CR20="K"</formula>
    </cfRule>
    <cfRule type="expression" dxfId="599" priority="8269">
      <formula>CR20="DEF"</formula>
    </cfRule>
    <cfRule type="expression" dxfId="598" priority="8270">
      <formula>CR20="TE"</formula>
    </cfRule>
    <cfRule type="expression" dxfId="597" priority="8271">
      <formula>CR20="WR"</formula>
    </cfRule>
    <cfRule type="expression" dxfId="595" priority="8272">
      <formula>CR20="RB"</formula>
    </cfRule>
    <cfRule type="expression" dxfId="596" priority="8273">
      <formula>CR20="QB"</formula>
    </cfRule>
  </conditionalFormatting>
  <conditionalFormatting sqref="CR23">
    <cfRule type="expression" dxfId="592" priority="8298">
      <formula>CR23="K"</formula>
    </cfRule>
    <cfRule type="expression" dxfId="593" priority="8299">
      <formula>CR23="DEF"</formula>
    </cfRule>
    <cfRule type="expression" dxfId="591" priority="8300">
      <formula>CR23="TE"</formula>
    </cfRule>
    <cfRule type="expression" dxfId="590" priority="8301">
      <formula>CR23="WR"</formula>
    </cfRule>
    <cfRule type="expression" dxfId="589" priority="8302">
      <formula>CR23="RB"</formula>
    </cfRule>
    <cfRule type="expression" dxfId="588" priority="8303">
      <formula>CR23="QB"</formula>
    </cfRule>
  </conditionalFormatting>
  <conditionalFormatting sqref="CR26">
    <cfRule type="expression" dxfId="587" priority="8328">
      <formula>CR26="K"</formula>
    </cfRule>
    <cfRule type="expression" dxfId="582" priority="8329">
      <formula>CR26="DEF"</formula>
    </cfRule>
    <cfRule type="expression" dxfId="586" priority="8330">
      <formula>CR26="TE"</formula>
    </cfRule>
    <cfRule type="expression" dxfId="585" priority="8331">
      <formula>CR26="WR"</formula>
    </cfRule>
    <cfRule type="expression" dxfId="584" priority="8332">
      <formula>CR26="RB"</formula>
    </cfRule>
    <cfRule type="expression" dxfId="583" priority="8333">
      <formula>CR26="QB"</formula>
    </cfRule>
  </conditionalFormatting>
  <conditionalFormatting sqref="CR29">
    <cfRule type="expression" dxfId="579" priority="8358">
      <formula>CR29="K"</formula>
    </cfRule>
    <cfRule type="expression" dxfId="578" priority="8359">
      <formula>CR29="DEF"</formula>
    </cfRule>
    <cfRule type="expression" dxfId="576" priority="8360">
      <formula>CR29="TE"</formula>
    </cfRule>
    <cfRule type="expression" dxfId="581" priority="8361">
      <formula>CR29="WR"</formula>
    </cfRule>
    <cfRule type="expression" dxfId="577" priority="8362">
      <formula>CR29="RB"</formula>
    </cfRule>
    <cfRule type="expression" dxfId="580" priority="8363">
      <formula>CR29="QB"</formula>
    </cfRule>
  </conditionalFormatting>
  <conditionalFormatting sqref="CR32">
    <cfRule type="expression" dxfId="574" priority="8388">
      <formula>CR32="K"</formula>
    </cfRule>
    <cfRule type="expression" dxfId="570" priority="8389">
      <formula>CR32="DEF"</formula>
    </cfRule>
    <cfRule type="expression" dxfId="571" priority="8390">
      <formula>CR32="TE"</formula>
    </cfRule>
    <cfRule type="expression" dxfId="572" priority="8391">
      <formula>CR32="WR"</formula>
    </cfRule>
    <cfRule type="expression" dxfId="575" priority="8392">
      <formula>CR32="RB"</formula>
    </cfRule>
    <cfRule type="expression" dxfId="573" priority="8393">
      <formula>CR32="QB"</formula>
    </cfRule>
  </conditionalFormatting>
  <conditionalFormatting sqref="CR35">
    <cfRule type="expression" dxfId="565" priority="8418">
      <formula>CR35="K"</formula>
    </cfRule>
    <cfRule type="expression" dxfId="564" priority="8419">
      <formula>CR35="DEF"</formula>
    </cfRule>
    <cfRule type="expression" dxfId="569" priority="8420">
      <formula>CR35="TE"</formula>
    </cfRule>
    <cfRule type="expression" dxfId="566" priority="8421">
      <formula>CR35="WR"</formula>
    </cfRule>
    <cfRule type="expression" dxfId="568" priority="8422">
      <formula>CR35="RB"</formula>
    </cfRule>
    <cfRule type="expression" dxfId="567" priority="8423">
      <formula>CR35="QB"</formula>
    </cfRule>
  </conditionalFormatting>
  <conditionalFormatting sqref="CR38">
    <cfRule type="expression" dxfId="562" priority="8448">
      <formula>CR38="K"</formula>
    </cfRule>
    <cfRule type="expression" dxfId="563" priority="8449">
      <formula>CR38="DEF"</formula>
    </cfRule>
    <cfRule type="expression" dxfId="558" priority="8450">
      <formula>CR38="TE"</formula>
    </cfRule>
    <cfRule type="expression" dxfId="559" priority="8451">
      <formula>CR38="WR"</formula>
    </cfRule>
    <cfRule type="expression" dxfId="560" priority="8452">
      <formula>CR38="RB"</formula>
    </cfRule>
    <cfRule type="expression" dxfId="561" priority="8453">
      <formula>CR38="QB"</formula>
    </cfRule>
  </conditionalFormatting>
  <conditionalFormatting sqref="CR41">
    <cfRule type="expression" dxfId="554" priority="8478">
      <formula>CR41="K"</formula>
    </cfRule>
    <cfRule type="expression" dxfId="553" priority="8479">
      <formula>CR41="DEF"</formula>
    </cfRule>
    <cfRule type="expression" dxfId="552" priority="8480">
      <formula>CR41="TE"</formula>
    </cfRule>
    <cfRule type="expression" dxfId="557" priority="8481">
      <formula>CR41="WR"</formula>
    </cfRule>
    <cfRule type="expression" dxfId="556" priority="8482">
      <formula>CR41="RB"</formula>
    </cfRule>
    <cfRule type="expression" dxfId="555" priority="8483">
      <formula>CR41="QB"</formula>
    </cfRule>
  </conditionalFormatting>
  <conditionalFormatting sqref="CR44">
    <cfRule type="expression" dxfId="551" priority="8508">
      <formula>CR44="K"</formula>
    </cfRule>
    <cfRule type="expression" dxfId="550" priority="8509">
      <formula>CR44="DEF"</formula>
    </cfRule>
    <cfRule type="expression" dxfId="549" priority="8510">
      <formula>CR44="TE"</formula>
    </cfRule>
    <cfRule type="expression" dxfId="548" priority="8511">
      <formula>CR44="WR"</formula>
    </cfRule>
    <cfRule type="expression" dxfId="547" priority="8512">
      <formula>CR44="RB"</formula>
    </cfRule>
    <cfRule type="expression" dxfId="546" priority="8513">
      <formula>CR44="QB"</formula>
    </cfRule>
  </conditionalFormatting>
  <conditionalFormatting sqref="CR47">
    <cfRule type="expression" dxfId="545" priority="8538">
      <formula>CR47="K"</formula>
    </cfRule>
    <cfRule type="expression" dxfId="544" priority="8539">
      <formula>CR47="DEF"</formula>
    </cfRule>
    <cfRule type="expression" dxfId="543" priority="8540">
      <formula>CR47="TE"</formula>
    </cfRule>
    <cfRule type="expression" dxfId="542" priority="8541">
      <formula>CR47="WR"</formula>
    </cfRule>
    <cfRule type="expression" dxfId="541" priority="8542">
      <formula>CR47="RB"</formula>
    </cfRule>
    <cfRule type="expression" dxfId="540" priority="8543">
      <formula>CR47="QB"</formula>
    </cfRule>
  </conditionalFormatting>
  <conditionalFormatting sqref="CS5">
    <cfRule type="expression" dxfId="536" priority="8124">
      <formula>CR5="K"</formula>
    </cfRule>
    <cfRule type="expression" dxfId="537" priority="8125">
      <formula>CR5="DEF"</formula>
    </cfRule>
    <cfRule type="expression" dxfId="538" priority="8126">
      <formula>CR5="TE"</formula>
    </cfRule>
    <cfRule type="expression" dxfId="539" priority="8127">
      <formula>CR5="WR"</formula>
    </cfRule>
    <cfRule type="expression" dxfId="534" priority="8128">
      <formula>CR5="RB"</formula>
    </cfRule>
    <cfRule type="expression" dxfId="535" priority="8129">
      <formula>CR5="QB"</formula>
    </cfRule>
  </conditionalFormatting>
  <conditionalFormatting sqref="CS8">
    <cfRule type="expression" dxfId="532" priority="8154">
      <formula>CR8="K"</formula>
    </cfRule>
    <cfRule type="expression" dxfId="533" priority="8155">
      <formula>CR8="DEF"</formula>
    </cfRule>
    <cfRule type="expression" dxfId="528" priority="8156">
      <formula>CR8="TE"</formula>
    </cfRule>
    <cfRule type="expression" dxfId="529" priority="8157">
      <formula>CR8="WR"</formula>
    </cfRule>
    <cfRule type="expression" dxfId="530" priority="8158">
      <formula>CR8="RB"</formula>
    </cfRule>
    <cfRule type="expression" dxfId="531" priority="8159">
      <formula>CR8="QB"</formula>
    </cfRule>
  </conditionalFormatting>
  <conditionalFormatting sqref="CS11">
    <cfRule type="expression" dxfId="523" priority="8184">
      <formula>CR11="K"</formula>
    </cfRule>
    <cfRule type="expression" dxfId="524" priority="8185">
      <formula>CR11="DEF"</formula>
    </cfRule>
    <cfRule type="expression" dxfId="525" priority="8186">
      <formula>CR11="TE"</formula>
    </cfRule>
    <cfRule type="expression" dxfId="522" priority="8187">
      <formula>CR11="WR"</formula>
    </cfRule>
    <cfRule type="expression" dxfId="527" priority="8188">
      <formula>CR11="RB"</formula>
    </cfRule>
    <cfRule type="expression" dxfId="526" priority="8189">
      <formula>CR11="QB"</formula>
    </cfRule>
  </conditionalFormatting>
  <conditionalFormatting sqref="CS14">
    <cfRule type="expression" dxfId="517" priority="8214">
      <formula>CR14="K"</formula>
    </cfRule>
    <cfRule type="expression" dxfId="518" priority="8215">
      <formula>CR14="DEF"</formula>
    </cfRule>
    <cfRule type="expression" dxfId="519" priority="8216">
      <formula>CR14="TE"</formula>
    </cfRule>
    <cfRule type="expression" dxfId="520" priority="8217">
      <formula>CR14="WR"</formula>
    </cfRule>
    <cfRule type="expression" dxfId="521" priority="8218">
      <formula>CR14="RB"</formula>
    </cfRule>
    <cfRule type="expression" dxfId="516" priority="8219">
      <formula>CR14="QB"</formula>
    </cfRule>
  </conditionalFormatting>
  <conditionalFormatting sqref="CS17">
    <cfRule type="expression" dxfId="514" priority="8244">
      <formula>CR17="K"</formula>
    </cfRule>
    <cfRule type="expression" dxfId="510" priority="8245">
      <formula>CR17="DEF"</formula>
    </cfRule>
    <cfRule type="expression" dxfId="511" priority="8246">
      <formula>CR17="TE"</formula>
    </cfRule>
    <cfRule type="expression" dxfId="512" priority="8247">
      <formula>CR17="WR"</formula>
    </cfRule>
    <cfRule type="expression" dxfId="515" priority="8248">
      <formula>CR17="RB"</formula>
    </cfRule>
    <cfRule type="expression" dxfId="513" priority="8249">
      <formula>CR17="QB"</formula>
    </cfRule>
  </conditionalFormatting>
  <conditionalFormatting sqref="CS20">
    <cfRule type="expression" dxfId="504" priority="8274">
      <formula>CR20="K"</formula>
    </cfRule>
    <cfRule type="expression" dxfId="505" priority="8275">
      <formula>CR20="DEF"</formula>
    </cfRule>
    <cfRule type="expression" dxfId="506" priority="8276">
      <formula>CR20="TE"</formula>
    </cfRule>
    <cfRule type="expression" dxfId="507" priority="8277">
      <formula>CR20="WR"</formula>
    </cfRule>
    <cfRule type="expression" dxfId="508" priority="8278">
      <formula>CR20="RB"</formula>
    </cfRule>
    <cfRule type="expression" dxfId="509" priority="8279">
      <formula>CR20="QB"</formula>
    </cfRule>
  </conditionalFormatting>
  <conditionalFormatting sqref="CS23">
    <cfRule type="expression" dxfId="502" priority="8304">
      <formula>CR23="K"</formula>
    </cfRule>
    <cfRule type="expression" dxfId="501" priority="8305">
      <formula>CR23="DEF"</formula>
    </cfRule>
    <cfRule type="expression" dxfId="500" priority="8306">
      <formula>CR23="TE"</formula>
    </cfRule>
    <cfRule type="expression" dxfId="499" priority="8307">
      <formula>CR23="WR"</formula>
    </cfRule>
    <cfRule type="expression" dxfId="498" priority="8308">
      <formula>CR23="RB"</formula>
    </cfRule>
    <cfRule type="expression" dxfId="503" priority="8309">
      <formula>CR23="QB"</formula>
    </cfRule>
  </conditionalFormatting>
  <conditionalFormatting sqref="CS26">
    <cfRule type="expression" dxfId="492" priority="8334">
      <formula>CR26="K"</formula>
    </cfRule>
    <cfRule type="expression" dxfId="494" priority="8335">
      <formula>CR26="DEF"</formula>
    </cfRule>
    <cfRule type="expression" dxfId="495" priority="8336">
      <formula>CR26="TE"</formula>
    </cfRule>
    <cfRule type="expression" dxfId="493" priority="8337">
      <formula>CR26="WR"</formula>
    </cfRule>
    <cfRule type="expression" dxfId="496" priority="8338">
      <formula>CR26="RB"</formula>
    </cfRule>
    <cfRule type="expression" dxfId="497" priority="8339">
      <formula>CR26="QB"</formula>
    </cfRule>
  </conditionalFormatting>
  <conditionalFormatting sqref="CS29">
    <cfRule type="expression" dxfId="490" priority="8364">
      <formula>CR29="K"</formula>
    </cfRule>
    <cfRule type="expression" dxfId="491" priority="8365">
      <formula>CR29="DEF"</formula>
    </cfRule>
    <cfRule type="expression" dxfId="489" priority="8366">
      <formula>CR29="TE"</formula>
    </cfRule>
    <cfRule type="expression" dxfId="488" priority="8367">
      <formula>CR29="WR"</formula>
    </cfRule>
    <cfRule type="expression" dxfId="487" priority="8368">
      <formula>CR29="RB"</formula>
    </cfRule>
    <cfRule type="expression" dxfId="486" priority="8369">
      <formula>CR29="QB"</formula>
    </cfRule>
  </conditionalFormatting>
  <conditionalFormatting sqref="CS32">
    <cfRule type="expression" dxfId="481" priority="8394">
      <formula>CR32="K"</formula>
    </cfRule>
    <cfRule type="expression" dxfId="482" priority="8395">
      <formula>CR32="DEF"</formula>
    </cfRule>
    <cfRule type="expression" dxfId="483" priority="8396">
      <formula>CR32="TE"</formula>
    </cfRule>
    <cfRule type="expression" dxfId="484" priority="8397">
      <formula>CR32="WR"</formula>
    </cfRule>
    <cfRule type="expression" dxfId="485" priority="8398">
      <formula>CR32="RB"</formula>
    </cfRule>
    <cfRule type="expression" dxfId="480" priority="8399">
      <formula>CR32="QB"</formula>
    </cfRule>
  </conditionalFormatting>
  <conditionalFormatting sqref="CS35">
    <cfRule type="expression" dxfId="474" priority="8424">
      <formula>CR35="K"</formula>
    </cfRule>
    <cfRule type="expression" dxfId="475" priority="8425">
      <formula>CR35="DEF"</formula>
    </cfRule>
    <cfRule type="expression" dxfId="476" priority="8426">
      <formula>CR35="TE"</formula>
    </cfRule>
    <cfRule type="expression" dxfId="477" priority="8427">
      <formula>CR35="WR"</formula>
    </cfRule>
    <cfRule type="expression" dxfId="478" priority="8428">
      <formula>CR35="RB"</formula>
    </cfRule>
    <cfRule type="expression" dxfId="479" priority="8429">
      <formula>CR35="QB"</formula>
    </cfRule>
  </conditionalFormatting>
  <conditionalFormatting sqref="CS38">
    <cfRule type="expression" dxfId="473" priority="8454">
      <formula>CR38="K"</formula>
    </cfRule>
    <cfRule type="expression" dxfId="472" priority="8455">
      <formula>CR38="DEF"</formula>
    </cfRule>
    <cfRule type="expression" dxfId="471" priority="8456">
      <formula>CR38="TE"</formula>
    </cfRule>
    <cfRule type="expression" dxfId="470" priority="8457">
      <formula>CR38="WR"</formula>
    </cfRule>
    <cfRule type="expression" dxfId="469" priority="8458">
      <formula>CR38="RB"</formula>
    </cfRule>
    <cfRule type="expression" dxfId="468" priority="8459">
      <formula>CR38="QB"</formula>
    </cfRule>
  </conditionalFormatting>
  <conditionalFormatting sqref="CS41">
    <cfRule type="expression" dxfId="462" priority="8484">
      <formula>CR41="K"</formula>
    </cfRule>
    <cfRule type="expression" dxfId="467" priority="8485">
      <formula>CR41="DEF"</formula>
    </cfRule>
    <cfRule type="expression" dxfId="466" priority="8486">
      <formula>CR41="TE"</formula>
    </cfRule>
    <cfRule type="expression" dxfId="465" priority="8487">
      <formula>CR41="WR"</formula>
    </cfRule>
    <cfRule type="expression" dxfId="464" priority="8488">
      <formula>CR41="RB"</formula>
    </cfRule>
    <cfRule type="expression" dxfId="463" priority="8489">
      <formula>CR41="QB"</formula>
    </cfRule>
  </conditionalFormatting>
  <conditionalFormatting sqref="CS44">
    <cfRule type="expression" dxfId="456" priority="8514">
      <formula>CR44="K"</formula>
    </cfRule>
    <cfRule type="expression" dxfId="461" priority="8515">
      <formula>CR44="DEF"</formula>
    </cfRule>
    <cfRule type="expression" dxfId="460" priority="8516">
      <formula>CR44="TE"</formula>
    </cfRule>
    <cfRule type="expression" dxfId="459" priority="8517">
      <formula>CR44="WR"</formula>
    </cfRule>
    <cfRule type="expression" dxfId="458" priority="8518">
      <formula>CR44="RB"</formula>
    </cfRule>
    <cfRule type="expression" dxfId="457" priority="8519">
      <formula>CR44="QB"</formula>
    </cfRule>
  </conditionalFormatting>
  <conditionalFormatting sqref="CS47">
    <cfRule type="expression" dxfId="455" priority="8544">
      <formula>CR47="K"</formula>
    </cfRule>
    <cfRule type="expression" dxfId="454" priority="8545">
      <formula>CR47="DEF"</formula>
    </cfRule>
    <cfRule type="expression" dxfId="453" priority="8546">
      <formula>CR47="TE"</formula>
    </cfRule>
    <cfRule type="expression" dxfId="452" priority="8547">
      <formula>CR47="WR"</formula>
    </cfRule>
    <cfRule type="expression" dxfId="451" priority="8548">
      <formula>CR47="RB"</formula>
    </cfRule>
    <cfRule type="expression" dxfId="450" priority="8549">
      <formula>CR47="QB"</formula>
    </cfRule>
  </conditionalFormatting>
  <conditionalFormatting sqref="CU4">
    <cfRule type="expression" dxfId="449" priority="8551">
      <formula>CW5="DEF"</formula>
    </cfRule>
    <cfRule type="expression" dxfId="448" priority="8552">
      <formula>CW5="TE"</formula>
    </cfRule>
    <cfRule type="expression" dxfId="447" priority="8553">
      <formula>CW5="WR"</formula>
    </cfRule>
    <cfRule type="expression" dxfId="446" priority="8554">
      <formula>CW5="RB"</formula>
    </cfRule>
    <cfRule type="expression" dxfId="445" priority="8555">
      <formula>CW5="QB"</formula>
    </cfRule>
  </conditionalFormatting>
  <conditionalFormatting sqref="CU5">
    <cfRule type="expression" dxfId="444" priority="8556">
      <formula>CW5="K"</formula>
    </cfRule>
    <cfRule type="expression" dxfId="443" priority="8557">
      <formula>CW5="DEF"</formula>
    </cfRule>
    <cfRule type="expression" dxfId="442" priority="8558">
      <formula>CW5="TE"</formula>
    </cfRule>
    <cfRule type="expression" dxfId="441" priority="8559">
      <formula>CW5="WR"</formula>
    </cfRule>
    <cfRule type="expression" dxfId="440" priority="8560">
      <formula>CW5="RB"</formula>
    </cfRule>
    <cfRule type="expression" dxfId="439" priority="8561">
      <formula>CW5="QB"</formula>
    </cfRule>
  </conditionalFormatting>
  <conditionalFormatting sqref="CU7">
    <cfRule type="expression" dxfId="436" priority="8581">
      <formula>CW8="DEF"</formula>
    </cfRule>
    <cfRule type="expression" dxfId="437" priority="8582">
      <formula>CW8="TE"</formula>
    </cfRule>
    <cfRule type="expression" dxfId="438" priority="8583">
      <formula>CW8="WR"</formula>
    </cfRule>
    <cfRule type="expression" dxfId="434" priority="8584">
      <formula>CW8="RB"</formula>
    </cfRule>
    <cfRule type="expression" dxfId="435" priority="8585">
      <formula>CW8="QB"</formula>
    </cfRule>
  </conditionalFormatting>
  <conditionalFormatting sqref="CU8">
    <cfRule type="expression" dxfId="432" priority="8586">
      <formula>CW8="K"</formula>
    </cfRule>
    <cfRule type="expression" dxfId="431" priority="8587">
      <formula>CW8="DEF"</formula>
    </cfRule>
    <cfRule type="expression" dxfId="430" priority="8588">
      <formula>CW8="TE"</formula>
    </cfRule>
    <cfRule type="expression" dxfId="429" priority="8589">
      <formula>CW8="WR"</formula>
    </cfRule>
    <cfRule type="expression" dxfId="433" priority="8590">
      <formula>CW8="RB"</formula>
    </cfRule>
    <cfRule type="expression" dxfId="428" priority="8591">
      <formula>CW8="QB"</formula>
    </cfRule>
  </conditionalFormatting>
  <conditionalFormatting sqref="CU10">
    <cfRule type="expression" dxfId="423" priority="8611">
      <formula>CW11="DEF"</formula>
    </cfRule>
    <cfRule type="expression" dxfId="424" priority="8612">
      <formula>CW11="TE"</formula>
    </cfRule>
    <cfRule type="expression" dxfId="425" priority="8613">
      <formula>CW11="WR"</formula>
    </cfRule>
    <cfRule type="expression" dxfId="426" priority="8614">
      <formula>CW11="RB"</formula>
    </cfRule>
    <cfRule type="expression" dxfId="427" priority="8615">
      <formula>CW11="QB"</formula>
    </cfRule>
  </conditionalFormatting>
  <conditionalFormatting sqref="CU11">
    <cfRule type="expression" dxfId="418" priority="8616">
      <formula>CW11="K"</formula>
    </cfRule>
    <cfRule type="expression" dxfId="422" priority="8617">
      <formula>CW11="DEF"</formula>
    </cfRule>
    <cfRule type="expression" dxfId="419" priority="8618">
      <formula>CW11="TE"</formula>
    </cfRule>
    <cfRule type="expression" dxfId="420" priority="8619">
      <formula>CW11="WR"</formula>
    </cfRule>
    <cfRule type="expression" dxfId="421" priority="8620">
      <formula>CW11="RB"</formula>
    </cfRule>
    <cfRule type="expression" dxfId="417" priority="8621">
      <formula>CW11="QB"</formula>
    </cfRule>
  </conditionalFormatting>
  <conditionalFormatting sqref="CU13">
    <cfRule type="expression" dxfId="412" priority="8641">
      <formula>CW14="DEF"</formula>
    </cfRule>
    <cfRule type="expression" dxfId="414" priority="8642">
      <formula>CW14="TE"</formula>
    </cfRule>
    <cfRule type="expression" dxfId="415" priority="8643">
      <formula>CW14="WR"</formula>
    </cfRule>
    <cfRule type="expression" dxfId="416" priority="8644">
      <formula>CW14="RB"</formula>
    </cfRule>
    <cfRule type="expression" dxfId="413" priority="8645">
      <formula>CW14="QB"</formula>
    </cfRule>
  </conditionalFormatting>
  <conditionalFormatting sqref="CU14">
    <cfRule type="expression" dxfId="409" priority="8646">
      <formula>CW14="K"</formula>
    </cfRule>
    <cfRule type="expression" dxfId="410" priority="8647">
      <formula>CW14="DEF"</formula>
    </cfRule>
    <cfRule type="expression" dxfId="411" priority="8648">
      <formula>CW14="TE"</formula>
    </cfRule>
    <cfRule type="expression" dxfId="408" priority="8649">
      <formula>CW14="WR"</formula>
    </cfRule>
    <cfRule type="expression" dxfId="407" priority="8650">
      <formula>CW14="RB"</formula>
    </cfRule>
    <cfRule type="expression" dxfId="406" priority="8651">
      <formula>CW14="QB"</formula>
    </cfRule>
  </conditionalFormatting>
  <conditionalFormatting sqref="CU16">
    <cfRule type="expression" dxfId="404" priority="8671">
      <formula>CW17="DEF"</formula>
    </cfRule>
    <cfRule type="expression" dxfId="403" priority="8672">
      <formula>CW17="TE"</formula>
    </cfRule>
    <cfRule type="expression" dxfId="402" priority="8673">
      <formula>CW17="WR"</formula>
    </cfRule>
    <cfRule type="expression" dxfId="405" priority="8674">
      <formula>CW17="RB"</formula>
    </cfRule>
    <cfRule type="expression" dxfId="401" priority="8675">
      <formula>CW17="QB"</formula>
    </cfRule>
  </conditionalFormatting>
  <conditionalFormatting sqref="CU17">
    <cfRule type="expression" dxfId="400" priority="8676">
      <formula>CW17="K"</formula>
    </cfRule>
    <cfRule type="expression" dxfId="399" priority="8677">
      <formula>CW17="DEF"</formula>
    </cfRule>
    <cfRule type="expression" dxfId="398" priority="8678">
      <formula>CW17="TE"</formula>
    </cfRule>
    <cfRule type="expression" dxfId="397" priority="8679">
      <formula>CW17="WR"</formula>
    </cfRule>
    <cfRule type="expression" dxfId="396" priority="8680">
      <formula>CW17="RB"</formula>
    </cfRule>
    <cfRule type="expression" dxfId="395" priority="8681">
      <formula>CW17="QB"</formula>
    </cfRule>
  </conditionalFormatting>
  <conditionalFormatting sqref="CU19">
    <cfRule type="expression" dxfId="392" priority="8701">
      <formula>CW20="DEF"</formula>
    </cfRule>
    <cfRule type="expression" dxfId="391" priority="8702">
      <formula>CW20="TE"</formula>
    </cfRule>
    <cfRule type="expression" dxfId="390" priority="8703">
      <formula>CW20="WR"</formula>
    </cfRule>
    <cfRule type="expression" dxfId="394" priority="8704">
      <formula>CW20="RB"</formula>
    </cfRule>
    <cfRule type="expression" dxfId="393" priority="8705">
      <formula>CW20="QB"</formula>
    </cfRule>
  </conditionalFormatting>
  <conditionalFormatting sqref="CU20">
    <cfRule type="expression" dxfId="384" priority="8706">
      <formula>CW20="K"</formula>
    </cfRule>
    <cfRule type="expression" dxfId="389" priority="8707">
      <formula>CW20="DEF"</formula>
    </cfRule>
    <cfRule type="expression" dxfId="388" priority="8708">
      <formula>CW20="TE"</formula>
    </cfRule>
    <cfRule type="expression" dxfId="387" priority="8709">
      <formula>CW20="WR"</formula>
    </cfRule>
    <cfRule type="expression" dxfId="385" priority="8710">
      <formula>CW20="RB"</formula>
    </cfRule>
    <cfRule type="expression" dxfId="386" priority="8711">
      <formula>CW20="QB"</formula>
    </cfRule>
  </conditionalFormatting>
  <conditionalFormatting sqref="CU22">
    <cfRule type="expression" dxfId="383" priority="8731">
      <formula>CW23="DEF"</formula>
    </cfRule>
    <cfRule type="expression" dxfId="379" priority="8732">
      <formula>CW23="TE"</formula>
    </cfRule>
    <cfRule type="expression" dxfId="380" priority="8733">
      <formula>CW23="WR"</formula>
    </cfRule>
    <cfRule type="expression" dxfId="381" priority="8734">
      <formula>CW23="RB"</formula>
    </cfRule>
    <cfRule type="expression" dxfId="382" priority="8735">
      <formula>CW23="QB"</formula>
    </cfRule>
  </conditionalFormatting>
  <conditionalFormatting sqref="CU23">
    <cfRule type="expression" dxfId="373" priority="8736">
      <formula>CW23="K"</formula>
    </cfRule>
    <cfRule type="expression" dxfId="374" priority="8737">
      <formula>CW23="DEF"</formula>
    </cfRule>
    <cfRule type="expression" dxfId="375" priority="8738">
      <formula>CW23="TE"</formula>
    </cfRule>
    <cfRule type="expression" dxfId="376" priority="8739">
      <formula>CW23="WR"</formula>
    </cfRule>
    <cfRule type="expression" dxfId="377" priority="8740">
      <formula>CW23="RB"</formula>
    </cfRule>
    <cfRule type="expression" dxfId="378" priority="8741">
      <formula>CW23="QB"</formula>
    </cfRule>
  </conditionalFormatting>
  <conditionalFormatting sqref="CU25">
    <cfRule type="expression" dxfId="372" priority="8761">
      <formula>CW26="DEF"</formula>
    </cfRule>
    <cfRule type="expression" dxfId="371" priority="8762">
      <formula>CW26="TE"</formula>
    </cfRule>
    <cfRule type="expression" dxfId="370" priority="8763">
      <formula>CW26="WR"</formula>
    </cfRule>
    <cfRule type="expression" dxfId="369" priority="8764">
      <formula>CW26="RB"</formula>
    </cfRule>
    <cfRule type="expression" dxfId="368" priority="8765">
      <formula>CW26="QB"</formula>
    </cfRule>
  </conditionalFormatting>
  <conditionalFormatting sqref="CU26">
    <cfRule type="expression" dxfId="366" priority="8766">
      <formula>CW26="K"</formula>
    </cfRule>
    <cfRule type="expression" dxfId="365" priority="8767">
      <formula>CW26="DEF"</formula>
    </cfRule>
    <cfRule type="expression" dxfId="364" priority="8768">
      <formula>CW26="TE"</formula>
    </cfRule>
    <cfRule type="expression" dxfId="362" priority="8769">
      <formula>CW26="WR"</formula>
    </cfRule>
    <cfRule type="expression" dxfId="363" priority="8770">
      <formula>CW26="RB"</formula>
    </cfRule>
    <cfRule type="expression" dxfId="367" priority="8771">
      <formula>CW26="QB"</formula>
    </cfRule>
  </conditionalFormatting>
  <conditionalFormatting sqref="CU28">
    <cfRule type="expression" dxfId="357" priority="8791">
      <formula>CW29="DEF"</formula>
    </cfRule>
    <cfRule type="expression" dxfId="358" priority="8792">
      <formula>CW29="TE"</formula>
    </cfRule>
    <cfRule type="expression" dxfId="359" priority="8793">
      <formula>CW29="WR"</formula>
    </cfRule>
    <cfRule type="expression" dxfId="360" priority="8794">
      <formula>CW29="RB"</formula>
    </cfRule>
    <cfRule type="expression" dxfId="361" priority="8795">
      <formula>CW29="QB"</formula>
    </cfRule>
  </conditionalFormatting>
  <conditionalFormatting sqref="CU29">
    <cfRule type="expression" dxfId="352" priority="8796">
      <formula>CW29="K"</formula>
    </cfRule>
    <cfRule type="expression" dxfId="353" priority="8797">
      <formula>CW29="DEF"</formula>
    </cfRule>
    <cfRule type="expression" dxfId="354" priority="8798">
      <formula>CW29="TE"</formula>
    </cfRule>
    <cfRule type="expression" dxfId="355" priority="8799">
      <formula>CW29="WR"</formula>
    </cfRule>
    <cfRule type="expression" dxfId="356" priority="8800">
      <formula>CW29="RB"</formula>
    </cfRule>
    <cfRule type="expression" dxfId="351" priority="8801">
      <formula>CW29="QB"</formula>
    </cfRule>
  </conditionalFormatting>
  <conditionalFormatting sqref="CU31">
    <cfRule type="expression" dxfId="347" priority="8821">
      <formula>CW32="DEF"</formula>
    </cfRule>
    <cfRule type="expression" dxfId="348" priority="8822">
      <formula>CW32="TE"</formula>
    </cfRule>
    <cfRule type="expression" dxfId="349" priority="8823">
      <formula>CW32="WR"</formula>
    </cfRule>
    <cfRule type="expression" dxfId="350" priority="8824">
      <formula>CW32="RB"</formula>
    </cfRule>
    <cfRule type="expression" dxfId="346" priority="8825">
      <formula>CW32="QB"</formula>
    </cfRule>
  </conditionalFormatting>
  <conditionalFormatting sqref="CU32">
    <cfRule type="expression" dxfId="343" priority="8826">
      <formula>CW32="K"</formula>
    </cfRule>
    <cfRule type="expression" dxfId="341" priority="8827">
      <formula>CW32="DEF"</formula>
    </cfRule>
    <cfRule type="expression" dxfId="340" priority="8828">
      <formula>CW32="TE"</formula>
    </cfRule>
    <cfRule type="expression" dxfId="342" priority="8829">
      <formula>CW32="WR"</formula>
    </cfRule>
    <cfRule type="expression" dxfId="345" priority="8830">
      <formula>CW32="RB"</formula>
    </cfRule>
    <cfRule type="expression" dxfId="344" priority="8831">
      <formula>CW32="QB"</formula>
    </cfRule>
  </conditionalFormatting>
  <conditionalFormatting sqref="CU34">
    <cfRule type="expression" dxfId="339" priority="8851">
      <formula>CW35="DEF"</formula>
    </cfRule>
    <cfRule type="expression" dxfId="338" priority="8852">
      <formula>CW35="TE"</formula>
    </cfRule>
    <cfRule type="expression" dxfId="337" priority="8853">
      <formula>CW35="WR"</formula>
    </cfRule>
    <cfRule type="expression" dxfId="336" priority="8854">
      <formula>CW35="RB"</formula>
    </cfRule>
    <cfRule type="expression" dxfId="335" priority="8855">
      <formula>CW35="QB"</formula>
    </cfRule>
  </conditionalFormatting>
  <conditionalFormatting sqref="CU35">
    <cfRule type="expression" dxfId="334" priority="8856">
      <formula>CW35="K"</formula>
    </cfRule>
    <cfRule type="expression" dxfId="333" priority="8857">
      <formula>CW35="DEF"</formula>
    </cfRule>
    <cfRule type="expression" dxfId="332" priority="8858">
      <formula>CW35="TE"</formula>
    </cfRule>
    <cfRule type="expression" dxfId="331" priority="8859">
      <formula>CW35="WR"</formula>
    </cfRule>
    <cfRule type="expression" dxfId="330" priority="8860">
      <formula>CW35="RB"</formula>
    </cfRule>
    <cfRule type="expression" dxfId="329" priority="8861">
      <formula>CW35="QB"</formula>
    </cfRule>
  </conditionalFormatting>
  <conditionalFormatting sqref="CU37">
    <cfRule type="expression" dxfId="328" priority="8881">
      <formula>CW38="DEF"</formula>
    </cfRule>
    <cfRule type="expression" dxfId="326" priority="8882">
      <formula>CW38="TE"</formula>
    </cfRule>
    <cfRule type="expression" dxfId="327" priority="8883">
      <formula>CW38="WR"</formula>
    </cfRule>
    <cfRule type="expression" dxfId="325" priority="8884">
      <formula>CW38="RB"</formula>
    </cfRule>
    <cfRule type="expression" dxfId="324" priority="8885">
      <formula>CW38="QB"</formula>
    </cfRule>
  </conditionalFormatting>
  <conditionalFormatting sqref="CU38">
    <cfRule type="expression" dxfId="323" priority="8886">
      <formula>CW38="K"</formula>
    </cfRule>
    <cfRule type="expression" dxfId="322" priority="8887">
      <formula>CW38="DEF"</formula>
    </cfRule>
    <cfRule type="expression" dxfId="321" priority="8888">
      <formula>CW38="TE"</formula>
    </cfRule>
    <cfRule type="expression" dxfId="320" priority="8889">
      <formula>CW38="WR"</formula>
    </cfRule>
    <cfRule type="expression" dxfId="319" priority="8890">
      <formula>CW38="RB"</formula>
    </cfRule>
    <cfRule type="expression" dxfId="318" priority="8891">
      <formula>CW38="QB"</formula>
    </cfRule>
  </conditionalFormatting>
  <conditionalFormatting sqref="CU40">
    <cfRule type="expression" dxfId="317" priority="8911">
      <formula>CW41="DEF"</formula>
    </cfRule>
    <cfRule type="expression" dxfId="313" priority="8912">
      <formula>CW41="TE"</formula>
    </cfRule>
    <cfRule type="expression" dxfId="314" priority="8913">
      <formula>CW41="WR"</formula>
    </cfRule>
    <cfRule type="expression" dxfId="315" priority="8914">
      <formula>CW41="RB"</formula>
    </cfRule>
    <cfRule type="expression" dxfId="316" priority="8915">
      <formula>CW41="QB"</formula>
    </cfRule>
  </conditionalFormatting>
  <conditionalFormatting sqref="CU41">
    <cfRule type="expression" dxfId="307" priority="8916">
      <formula>CW41="K"</formula>
    </cfRule>
    <cfRule type="expression" dxfId="309" priority="8917">
      <formula>CW41="DEF"</formula>
    </cfRule>
    <cfRule type="expression" dxfId="310" priority="8918">
      <formula>CW41="TE"</formula>
    </cfRule>
    <cfRule type="expression" dxfId="311" priority="8919">
      <formula>CW41="WR"</formula>
    </cfRule>
    <cfRule type="expression" dxfId="312" priority="8920">
      <formula>CW41="RB"</formula>
    </cfRule>
    <cfRule type="expression" dxfId="308" priority="8921">
      <formula>CW41="QB"</formula>
    </cfRule>
  </conditionalFormatting>
  <conditionalFormatting sqref="CU43">
    <cfRule type="expression" dxfId="304" priority="8941">
      <formula>CW44="DEF"</formula>
    </cfRule>
    <cfRule type="expression" dxfId="303" priority="8942">
      <formula>CW44="TE"</formula>
    </cfRule>
    <cfRule type="expression" dxfId="305" priority="8943">
      <formula>CW44="WR"</formula>
    </cfRule>
    <cfRule type="expression" dxfId="302" priority="8944">
      <formula>CW44="RB"</formula>
    </cfRule>
    <cfRule type="expression" dxfId="306" priority="8945">
      <formula>CW44="QB"</formula>
    </cfRule>
  </conditionalFormatting>
  <conditionalFormatting sqref="CU44">
    <cfRule type="expression" dxfId="296" priority="8946">
      <formula>CW44="K"</formula>
    </cfRule>
    <cfRule type="expression" dxfId="297" priority="8947">
      <formula>CW44="DEF"</formula>
    </cfRule>
    <cfRule type="expression" dxfId="298" priority="8948">
      <formula>CW44="TE"</formula>
    </cfRule>
    <cfRule type="expression" dxfId="299" priority="8949">
      <formula>CW44="WR"</formula>
    </cfRule>
    <cfRule type="expression" dxfId="301" priority="8950">
      <formula>CW44="RB"</formula>
    </cfRule>
    <cfRule type="expression" dxfId="300" priority="8951">
      <formula>CW44="QB"</formula>
    </cfRule>
  </conditionalFormatting>
  <conditionalFormatting sqref="CU46">
    <cfRule type="expression" dxfId="294" priority="8971">
      <formula>CW47="DEF"</formula>
    </cfRule>
    <cfRule type="expression" dxfId="295" priority="8972">
      <formula>CW47="TE"</formula>
    </cfRule>
    <cfRule type="expression" dxfId="291" priority="8973">
      <formula>CW47="WR"</formula>
    </cfRule>
    <cfRule type="expression" dxfId="292" priority="8974">
      <formula>CW47="RB"</formula>
    </cfRule>
    <cfRule type="expression" dxfId="293" priority="8975">
      <formula>CW47="QB"</formula>
    </cfRule>
  </conditionalFormatting>
  <conditionalFormatting sqref="CU47">
    <cfRule type="expression" dxfId="285" priority="8976">
      <formula>CW47="K"</formula>
    </cfRule>
    <cfRule type="expression" dxfId="286" priority="8977">
      <formula>CW47="DEF"</formula>
    </cfRule>
    <cfRule type="expression" dxfId="287" priority="8978">
      <formula>CW47="TE"</formula>
    </cfRule>
    <cfRule type="expression" dxfId="288" priority="8979">
      <formula>CW47="WR"</formula>
    </cfRule>
    <cfRule type="expression" dxfId="289" priority="8980">
      <formula>CW47="RB"</formula>
    </cfRule>
    <cfRule type="expression" dxfId="290" priority="8981">
      <formula>CW47="QB"</formula>
    </cfRule>
  </conditionalFormatting>
  <conditionalFormatting sqref="CU4:CX4">
    <cfRule type="expression" dxfId="284" priority="8580">
      <formula>CW5="K"</formula>
    </cfRule>
  </conditionalFormatting>
  <conditionalFormatting sqref="CU7:CX7">
    <cfRule type="expression" dxfId="283" priority="8610">
      <formula>CW8="K"</formula>
    </cfRule>
  </conditionalFormatting>
  <conditionalFormatting sqref="CU10:CX10">
    <cfRule type="expression" dxfId="282" priority="8640">
      <formula>CW11="K"</formula>
    </cfRule>
  </conditionalFormatting>
  <conditionalFormatting sqref="CU13:CX13">
    <cfRule type="expression" dxfId="281" priority="8670">
      <formula>CW14="K"</formula>
    </cfRule>
  </conditionalFormatting>
  <conditionalFormatting sqref="CU16:CX16">
    <cfRule type="expression" dxfId="280" priority="8700">
      <formula>CW17="K"</formula>
    </cfRule>
  </conditionalFormatting>
  <conditionalFormatting sqref="CU19:CX19">
    <cfRule type="expression" dxfId="279" priority="8730">
      <formula>CW20="K"</formula>
    </cfRule>
  </conditionalFormatting>
  <conditionalFormatting sqref="CU22:CX22">
    <cfRule type="expression" dxfId="278" priority="8760">
      <formula>CW23="K"</formula>
    </cfRule>
  </conditionalFormatting>
  <conditionalFormatting sqref="CU25:CX25">
    <cfRule type="expression" dxfId="277" priority="8790">
      <formula>CW26="K"</formula>
    </cfRule>
  </conditionalFormatting>
  <conditionalFormatting sqref="CU28:CX28">
    <cfRule type="expression" dxfId="276" priority="8820">
      <formula>CW29="K"</formula>
    </cfRule>
  </conditionalFormatting>
  <conditionalFormatting sqref="CU31:CX31">
    <cfRule type="expression" dxfId="275" priority="8850">
      <formula>CW32="K"</formula>
    </cfRule>
  </conditionalFormatting>
  <conditionalFormatting sqref="CU34:CX34">
    <cfRule type="expression" dxfId="274" priority="8880">
      <formula>CW35="K"</formula>
    </cfRule>
  </conditionalFormatting>
  <conditionalFormatting sqref="CU37:CX37">
    <cfRule type="expression" dxfId="273" priority="8910">
      <formula>CW38="K"</formula>
    </cfRule>
  </conditionalFormatting>
  <conditionalFormatting sqref="CU40:CX40">
    <cfRule type="expression" dxfId="272" priority="8940">
      <formula>CW41="K"</formula>
    </cfRule>
  </conditionalFormatting>
  <conditionalFormatting sqref="CU43:CX43">
    <cfRule type="expression" dxfId="271" priority="8970">
      <formula>CW44="K"</formula>
    </cfRule>
  </conditionalFormatting>
  <conditionalFormatting sqref="CU46:CX46">
    <cfRule type="expression" dxfId="270" priority="9000">
      <formula>CW47="K"</formula>
    </cfRule>
  </conditionalFormatting>
  <conditionalFormatting sqref="CV5">
    <cfRule type="expression" dxfId="264" priority="8562">
      <formula>CW5="K"</formula>
    </cfRule>
    <cfRule type="expression" dxfId="269" priority="8563">
      <formula>CW5="DEF"</formula>
    </cfRule>
    <cfRule type="expression" dxfId="268" priority="8564">
      <formula>CW5="TE"</formula>
    </cfRule>
    <cfRule type="expression" dxfId="267" priority="8565">
      <formula>CW5="WR"</formula>
    </cfRule>
    <cfRule type="expression" dxfId="266" priority="8566">
      <formula>CW5="RB"</formula>
    </cfRule>
    <cfRule type="expression" dxfId="265" priority="8567">
      <formula>CW5="QB"</formula>
    </cfRule>
  </conditionalFormatting>
  <conditionalFormatting sqref="CV8">
    <cfRule type="expression" dxfId="262" priority="8592">
      <formula>CW8="K"</formula>
    </cfRule>
    <cfRule type="expression" dxfId="261" priority="8593">
      <formula>CW8="DEF"</formula>
    </cfRule>
    <cfRule type="expression" dxfId="263" priority="8594">
      <formula>CW8="TE"</formula>
    </cfRule>
    <cfRule type="expression" dxfId="259" priority="8595">
      <formula>CW8="WR"</formula>
    </cfRule>
    <cfRule type="expression" dxfId="260" priority="8596">
      <formula>CW8="RB"</formula>
    </cfRule>
    <cfRule type="expression" dxfId="258" priority="8597">
      <formula>CW8="QB"</formula>
    </cfRule>
  </conditionalFormatting>
  <conditionalFormatting sqref="CV11">
    <cfRule type="expression" dxfId="253" priority="8622">
      <formula>CW11="K"</formula>
    </cfRule>
    <cfRule type="expression" dxfId="257" priority="8623">
      <formula>CW11="DEF"</formula>
    </cfRule>
    <cfRule type="expression" dxfId="256" priority="8624">
      <formula>CW11="TE"</formula>
    </cfRule>
    <cfRule type="expression" dxfId="255" priority="8625">
      <formula>CW11="WR"</formula>
    </cfRule>
    <cfRule type="expression" dxfId="252" priority="8626">
      <formula>CW11="RB"</formula>
    </cfRule>
    <cfRule type="expression" dxfId="254" priority="8627">
      <formula>CW11="QB"</formula>
    </cfRule>
  </conditionalFormatting>
  <conditionalFormatting sqref="CV14">
    <cfRule type="expression" dxfId="251" priority="8652">
      <formula>CW14="K"</formula>
    </cfRule>
    <cfRule type="expression" dxfId="250" priority="8653">
      <formula>CW14="DEF"</formula>
    </cfRule>
    <cfRule type="expression" dxfId="249" priority="8654">
      <formula>CW14="TE"</formula>
    </cfRule>
    <cfRule type="expression" dxfId="248" priority="8655">
      <formula>CW14="WR"</formula>
    </cfRule>
    <cfRule type="expression" dxfId="247" priority="8656">
      <formula>CW14="RB"</formula>
    </cfRule>
    <cfRule type="expression" dxfId="246" priority="8657">
      <formula>CW14="QB"</formula>
    </cfRule>
  </conditionalFormatting>
  <conditionalFormatting sqref="CV17">
    <cfRule type="expression" dxfId="240" priority="8682">
      <formula>CW17="K"</formula>
    </cfRule>
    <cfRule type="expression" dxfId="245" priority="8683">
      <formula>CW17="DEF"</formula>
    </cfRule>
    <cfRule type="expression" dxfId="241" priority="8684">
      <formula>CW17="TE"</formula>
    </cfRule>
    <cfRule type="expression" dxfId="244" priority="8685">
      <formula>CW17="WR"</formula>
    </cfRule>
    <cfRule type="expression" dxfId="242" priority="8686">
      <formula>CW17="RB"</formula>
    </cfRule>
    <cfRule type="expression" dxfId="243" priority="8687">
      <formula>CW17="QB"</formula>
    </cfRule>
  </conditionalFormatting>
  <conditionalFormatting sqref="CV20">
    <cfRule type="expression" dxfId="235" priority="8712">
      <formula>CW20="K"</formula>
    </cfRule>
    <cfRule type="expression" dxfId="239" priority="8713">
      <formula>CW20="DEF"</formula>
    </cfRule>
    <cfRule type="expression" dxfId="234" priority="8714">
      <formula>CW20="TE"</formula>
    </cfRule>
    <cfRule type="expression" dxfId="238" priority="8715">
      <formula>CW20="WR"</formula>
    </cfRule>
    <cfRule type="expression" dxfId="236" priority="8716">
      <formula>CW20="RB"</formula>
    </cfRule>
    <cfRule type="expression" dxfId="237" priority="8717">
      <formula>CW20="QB"</formula>
    </cfRule>
  </conditionalFormatting>
  <conditionalFormatting sqref="CV23">
    <cfRule type="expression" dxfId="233" priority="8742">
      <formula>CW23="K"</formula>
    </cfRule>
    <cfRule type="expression" dxfId="232" priority="8743">
      <formula>CW23="DEF"</formula>
    </cfRule>
    <cfRule type="expression" dxfId="231" priority="8744">
      <formula>CW23="TE"</formula>
    </cfRule>
    <cfRule type="expression" dxfId="230" priority="8745">
      <formula>CW23="WR"</formula>
    </cfRule>
    <cfRule type="expression" dxfId="228" priority="8746">
      <formula>CW23="RB"</formula>
    </cfRule>
    <cfRule type="expression" dxfId="229" priority="8747">
      <formula>CW23="QB"</formula>
    </cfRule>
  </conditionalFormatting>
  <conditionalFormatting sqref="CV26">
    <cfRule type="expression" dxfId="223" priority="8772">
      <formula>CW26="K"</formula>
    </cfRule>
    <cfRule type="expression" dxfId="226" priority="8773">
      <formula>CW26="DEF"</formula>
    </cfRule>
    <cfRule type="expression" dxfId="227" priority="8774">
      <formula>CW26="TE"</formula>
    </cfRule>
    <cfRule type="expression" dxfId="225" priority="8775">
      <formula>CW26="WR"</formula>
    </cfRule>
    <cfRule type="expression" dxfId="222" priority="8776">
      <formula>CW26="RB"</formula>
    </cfRule>
    <cfRule type="expression" dxfId="224" priority="8777">
      <formula>CW26="QB"</formula>
    </cfRule>
  </conditionalFormatting>
  <conditionalFormatting sqref="CV29">
    <cfRule type="expression" dxfId="220" priority="8802">
      <formula>CW29="K"</formula>
    </cfRule>
    <cfRule type="expression" dxfId="219" priority="8803">
      <formula>CW29="DEF"</formula>
    </cfRule>
    <cfRule type="expression" dxfId="216" priority="8804">
      <formula>CW29="TE"</formula>
    </cfRule>
    <cfRule type="expression" dxfId="217" priority="8805">
      <formula>CW29="WR"</formula>
    </cfRule>
    <cfRule type="expression" dxfId="221" priority="8806">
      <formula>CW29="RB"</formula>
    </cfRule>
    <cfRule type="expression" dxfId="218" priority="8807">
      <formula>CW29="QB"</formula>
    </cfRule>
  </conditionalFormatting>
  <conditionalFormatting sqref="CV32">
    <cfRule type="expression" dxfId="215" priority="8832">
      <formula>CW32="K"</formula>
    </cfRule>
    <cfRule type="expression" dxfId="214" priority="8833">
      <formula>CW32="DEF"</formula>
    </cfRule>
    <cfRule type="expression" dxfId="213" priority="8834">
      <formula>CW32="TE"</formula>
    </cfRule>
    <cfRule type="expression" dxfId="212" priority="8835">
      <formula>CW32="WR"</formula>
    </cfRule>
    <cfRule type="expression" dxfId="211" priority="8836">
      <formula>CW32="RB"</formula>
    </cfRule>
    <cfRule type="expression" dxfId="210" priority="8837">
      <formula>CW32="QB"</formula>
    </cfRule>
  </conditionalFormatting>
  <conditionalFormatting sqref="CV35">
    <cfRule type="expression" dxfId="204" priority="8862">
      <formula>CW35="K"</formula>
    </cfRule>
    <cfRule type="expression" dxfId="205" priority="8863">
      <formula>CW35="DEF"</formula>
    </cfRule>
    <cfRule type="expression" dxfId="206" priority="8864">
      <formula>CW35="TE"</formula>
    </cfRule>
    <cfRule type="expression" dxfId="207" priority="8865">
      <formula>CW35="WR"</formula>
    </cfRule>
    <cfRule type="expression" dxfId="208" priority="8866">
      <formula>CW35="RB"</formula>
    </cfRule>
    <cfRule type="expression" dxfId="209" priority="8867">
      <formula>CW35="QB"</formula>
    </cfRule>
  </conditionalFormatting>
  <conditionalFormatting sqref="CV38">
    <cfRule type="expression" dxfId="199" priority="8892">
      <formula>CW38="K"</formula>
    </cfRule>
    <cfRule type="expression" dxfId="200" priority="8893">
      <formula>CW38="DEF"</formula>
    </cfRule>
    <cfRule type="expression" dxfId="198" priority="8894">
      <formula>CW38="TE"</formula>
    </cfRule>
    <cfRule type="expression" dxfId="203" priority="8895">
      <formula>CW38="WR"</formula>
    </cfRule>
    <cfRule type="expression" dxfId="202" priority="8896">
      <formula>CW38="RB"</formula>
    </cfRule>
    <cfRule type="expression" dxfId="201" priority="8897">
      <formula>CW38="QB"</formula>
    </cfRule>
  </conditionalFormatting>
  <conditionalFormatting sqref="CV41">
    <cfRule type="expression" dxfId="197" priority="8922">
      <formula>CW41="K"</formula>
    </cfRule>
    <cfRule type="expression" dxfId="192" priority="8923">
      <formula>CW41="DEF"</formula>
    </cfRule>
    <cfRule type="expression" dxfId="196" priority="8924">
      <formula>CW41="TE"</formula>
    </cfRule>
    <cfRule type="expression" dxfId="195" priority="8925">
      <formula>CW41="WR"</formula>
    </cfRule>
    <cfRule type="expression" dxfId="194" priority="8926">
      <formula>CW41="RB"</formula>
    </cfRule>
    <cfRule type="expression" dxfId="193" priority="8927">
      <formula>CW41="QB"</formula>
    </cfRule>
  </conditionalFormatting>
  <conditionalFormatting sqref="CV44">
    <cfRule type="expression" dxfId="190" priority="8952">
      <formula>CW44="K"</formula>
    </cfRule>
    <cfRule type="expression" dxfId="189" priority="8953">
      <formula>CW44="DEF"</formula>
    </cfRule>
    <cfRule type="expression" dxfId="191" priority="8954">
      <formula>CW44="TE"</formula>
    </cfRule>
    <cfRule type="expression" dxfId="188" priority="8955">
      <formula>CW44="WR"</formula>
    </cfRule>
    <cfRule type="expression" dxfId="187" priority="8956">
      <formula>CW44="RB"</formula>
    </cfRule>
    <cfRule type="expression" dxfId="186" priority="8957">
      <formula>CW44="QB"</formula>
    </cfRule>
  </conditionalFormatting>
  <conditionalFormatting sqref="CV47">
    <cfRule type="expression" dxfId="184" priority="8982">
      <formula>CW47="K"</formula>
    </cfRule>
    <cfRule type="expression" dxfId="185" priority="8983">
      <formula>CW47="DEF"</formula>
    </cfRule>
    <cfRule type="expression" dxfId="180" priority="8984">
      <formula>CW47="TE"</formula>
    </cfRule>
    <cfRule type="expression" dxfId="181" priority="8985">
      <formula>CW47="WR"</formula>
    </cfRule>
    <cfRule type="expression" dxfId="182" priority="8986">
      <formula>CW47="RB"</formula>
    </cfRule>
    <cfRule type="expression" dxfId="183" priority="8987">
      <formula>CW47="QB"</formula>
    </cfRule>
  </conditionalFormatting>
  <conditionalFormatting sqref="CW5">
    <cfRule type="expression" dxfId="174" priority="8568">
      <formula>CW5="K"</formula>
    </cfRule>
    <cfRule type="expression" dxfId="175" priority="8569">
      <formula>CW5="DEF"</formula>
    </cfRule>
    <cfRule type="expression" dxfId="179" priority="8570">
      <formula>CW5="TE"</formula>
    </cfRule>
    <cfRule type="expression" dxfId="176" priority="8571">
      <formula>CW5="WR"</formula>
    </cfRule>
    <cfRule type="expression" dxfId="177" priority="8572">
      <formula>CW5="RB"</formula>
    </cfRule>
    <cfRule type="expression" dxfId="178" priority="8573">
      <formula>CW5="QB"</formula>
    </cfRule>
  </conditionalFormatting>
  <conditionalFormatting sqref="CW8">
    <cfRule type="expression" dxfId="168" priority="8598">
      <formula>CW8="K"</formula>
    </cfRule>
    <cfRule type="expression" dxfId="169" priority="8599">
      <formula>CW8="DEF"</formula>
    </cfRule>
    <cfRule type="expression" dxfId="170" priority="8600">
      <formula>CW8="TE"</formula>
    </cfRule>
    <cfRule type="expression" dxfId="171" priority="8601">
      <formula>CW8="WR"</formula>
    </cfRule>
    <cfRule type="expression" dxfId="172" priority="8602">
      <formula>CW8="RB"</formula>
    </cfRule>
    <cfRule type="expression" dxfId="173" priority="8603">
      <formula>CW8="QB"</formula>
    </cfRule>
  </conditionalFormatting>
  <conditionalFormatting sqref="CW11">
    <cfRule type="expression" dxfId="167" priority="8628">
      <formula>CW11="K"</formula>
    </cfRule>
    <cfRule type="expression" dxfId="166" priority="8629">
      <formula>CW11="DEF"</formula>
    </cfRule>
    <cfRule type="expression" dxfId="162" priority="8630">
      <formula>CW11="TE"</formula>
    </cfRule>
    <cfRule type="expression" dxfId="163" priority="8631">
      <formula>CW11="WR"</formula>
    </cfRule>
    <cfRule type="expression" dxfId="164" priority="8632">
      <formula>CW11="RB"</formula>
    </cfRule>
    <cfRule type="expression" dxfId="165" priority="8633">
      <formula>CW11="QB"</formula>
    </cfRule>
  </conditionalFormatting>
  <conditionalFormatting sqref="CW14">
    <cfRule type="expression" dxfId="157" priority="8658">
      <formula>CW14="K"</formula>
    </cfRule>
    <cfRule type="expression" dxfId="158" priority="8659">
      <formula>CW14="DEF"</formula>
    </cfRule>
    <cfRule type="expression" dxfId="161" priority="8660">
      <formula>CW14="TE"</formula>
    </cfRule>
    <cfRule type="expression" dxfId="159" priority="8661">
      <formula>CW14="WR"</formula>
    </cfRule>
    <cfRule type="expression" dxfId="160" priority="8662">
      <formula>CW14="RB"</formula>
    </cfRule>
    <cfRule type="expression" dxfId="156" priority="8663">
      <formula>CW14="QB"</formula>
    </cfRule>
  </conditionalFormatting>
  <conditionalFormatting sqref="CW17">
    <cfRule type="expression" dxfId="150" priority="8688">
      <formula>CW17="K"</formula>
    </cfRule>
    <cfRule type="expression" dxfId="151" priority="8689">
      <formula>CW17="DEF"</formula>
    </cfRule>
    <cfRule type="expression" dxfId="155" priority="8690">
      <formula>CW17="TE"</formula>
    </cfRule>
    <cfRule type="expression" dxfId="154" priority="8691">
      <formula>CW17="WR"</formula>
    </cfRule>
    <cfRule type="expression" dxfId="153" priority="8692">
      <formula>CW17="RB"</formula>
    </cfRule>
    <cfRule type="expression" dxfId="152" priority="8693">
      <formula>CW17="QB"</formula>
    </cfRule>
  </conditionalFormatting>
  <conditionalFormatting sqref="CW20">
    <cfRule type="expression" dxfId="148" priority="8718">
      <formula>CW20="K"</formula>
    </cfRule>
    <cfRule type="expression" dxfId="144" priority="8719">
      <formula>CW20="DEF"</formula>
    </cfRule>
    <cfRule type="expression" dxfId="149" priority="8720">
      <formula>CW20="TE"</formula>
    </cfRule>
    <cfRule type="expression" dxfId="147" priority="8721">
      <formula>CW20="WR"</formula>
    </cfRule>
    <cfRule type="expression" dxfId="146" priority="8722">
      <formula>CW20="RB"</formula>
    </cfRule>
    <cfRule type="expression" dxfId="145" priority="8723">
      <formula>CW20="QB"</formula>
    </cfRule>
  </conditionalFormatting>
  <conditionalFormatting sqref="CW23">
    <cfRule type="expression" dxfId="143" priority="8748">
      <formula>CW23="K"</formula>
    </cfRule>
    <cfRule type="expression" dxfId="141" priority="8749">
      <formula>CW23="DEF"</formula>
    </cfRule>
    <cfRule type="expression" dxfId="138" priority="8750">
      <formula>CW23="TE"</formula>
    </cfRule>
    <cfRule type="expression" dxfId="142" priority="8751">
      <formula>CW23="WR"</formula>
    </cfRule>
    <cfRule type="expression" dxfId="139" priority="8752">
      <formula>CW23="RB"</formula>
    </cfRule>
    <cfRule type="expression" dxfId="140" priority="8753">
      <formula>CW23="QB"</formula>
    </cfRule>
  </conditionalFormatting>
  <conditionalFormatting sqref="CW26">
    <cfRule type="expression" dxfId="135" priority="8778">
      <formula>CW26="K"</formula>
    </cfRule>
    <cfRule type="expression" dxfId="134" priority="8779">
      <formula>CW26="DEF"</formula>
    </cfRule>
    <cfRule type="expression" dxfId="133" priority="8780">
      <formula>CW26="TE"</formula>
    </cfRule>
    <cfRule type="expression" dxfId="132" priority="8781">
      <formula>CW26="WR"</formula>
    </cfRule>
    <cfRule type="expression" dxfId="136" priority="8782">
      <formula>CW26="RB"</formula>
    </cfRule>
    <cfRule type="expression" dxfId="137" priority="8783">
      <formula>CW26="QB"</formula>
    </cfRule>
  </conditionalFormatting>
  <conditionalFormatting sqref="CW29">
    <cfRule type="expression" dxfId="131" priority="8808">
      <formula>CW29="K"</formula>
    </cfRule>
    <cfRule type="expression" dxfId="130" priority="8809">
      <formula>CW29="DEF"</formula>
    </cfRule>
    <cfRule type="expression" dxfId="129" priority="8810">
      <formula>CW29="TE"</formula>
    </cfRule>
    <cfRule type="expression" dxfId="128" priority="8811">
      <formula>CW29="WR"</formula>
    </cfRule>
    <cfRule type="expression" dxfId="127" priority="8812">
      <formula>CW29="RB"</formula>
    </cfRule>
    <cfRule type="expression" dxfId="126" priority="8813">
      <formula>CW29="QB"</formula>
    </cfRule>
  </conditionalFormatting>
  <conditionalFormatting sqref="CW32">
    <cfRule type="expression" dxfId="125" priority="8838">
      <formula>CW32="K"</formula>
    </cfRule>
    <cfRule type="expression" dxfId="121" priority="8839">
      <formula>CW32="DEF"</formula>
    </cfRule>
    <cfRule type="expression" dxfId="120" priority="8840">
      <formula>CW32="TE"</formula>
    </cfRule>
    <cfRule type="expression" dxfId="124" priority="8841">
      <formula>CW32="WR"</formula>
    </cfRule>
    <cfRule type="expression" dxfId="123" priority="8842">
      <formula>CW32="RB"</formula>
    </cfRule>
    <cfRule type="expression" dxfId="122" priority="8843">
      <formula>CW32="QB"</formula>
    </cfRule>
  </conditionalFormatting>
  <conditionalFormatting sqref="CW35">
    <cfRule type="expression" dxfId="116" priority="8868">
      <formula>CW35="K"</formula>
    </cfRule>
    <cfRule type="expression" dxfId="117" priority="8869">
      <formula>CW35="DEF"</formula>
    </cfRule>
    <cfRule type="expression" dxfId="118" priority="8870">
      <formula>CW35="TE"</formula>
    </cfRule>
    <cfRule type="expression" dxfId="114" priority="8871">
      <formula>CW35="WR"</formula>
    </cfRule>
    <cfRule type="expression" dxfId="115" priority="8872">
      <formula>CW35="RB"</formula>
    </cfRule>
    <cfRule type="expression" dxfId="119" priority="8873">
      <formula>CW35="QB"</formula>
    </cfRule>
  </conditionalFormatting>
  <conditionalFormatting sqref="CW38">
    <cfRule type="expression" dxfId="113" priority="8898">
      <formula>CW38="K"</formula>
    </cfRule>
    <cfRule type="expression" dxfId="112" priority="8899">
      <formula>CW38="DEF"</formula>
    </cfRule>
    <cfRule type="expression" dxfId="111" priority="8900">
      <formula>CW38="TE"</formula>
    </cfRule>
    <cfRule type="expression" dxfId="110" priority="8901">
      <formula>CW38="WR"</formula>
    </cfRule>
    <cfRule type="expression" dxfId="109" priority="8902">
      <formula>CW38="RB"</formula>
    </cfRule>
    <cfRule type="expression" dxfId="108" priority="8903">
      <formula>CW38="QB"</formula>
    </cfRule>
  </conditionalFormatting>
  <conditionalFormatting sqref="CW41">
    <cfRule type="expression" dxfId="104" priority="8928">
      <formula>CW41="K"</formula>
    </cfRule>
    <cfRule type="expression" dxfId="105" priority="8929">
      <formula>CW41="DEF"</formula>
    </cfRule>
    <cfRule type="expression" dxfId="106" priority="8930">
      <formula>CW41="TE"</formula>
    </cfRule>
    <cfRule type="expression" dxfId="107" priority="8931">
      <formula>CW41="WR"</formula>
    </cfRule>
    <cfRule type="expression" dxfId="103" priority="8932">
      <formula>CW41="RB"</formula>
    </cfRule>
    <cfRule type="expression" dxfId="102" priority="8933">
      <formula>CW41="QB"</formula>
    </cfRule>
  </conditionalFormatting>
  <conditionalFormatting sqref="CW44">
    <cfRule type="expression" dxfId="96" priority="8958">
      <formula>CW44="K"</formula>
    </cfRule>
    <cfRule type="expression" dxfId="97" priority="8959">
      <formula>CW44="DEF"</formula>
    </cfRule>
    <cfRule type="expression" dxfId="98" priority="8960">
      <formula>CW44="TE"</formula>
    </cfRule>
    <cfRule type="expression" dxfId="99" priority="8961">
      <formula>CW44="WR"</formula>
    </cfRule>
    <cfRule type="expression" dxfId="100" priority="8962">
      <formula>CW44="RB"</formula>
    </cfRule>
    <cfRule type="expression" dxfId="101" priority="8963">
      <formula>CW44="QB"</formula>
    </cfRule>
  </conditionalFormatting>
  <conditionalFormatting sqref="CW47">
    <cfRule type="expression" dxfId="93" priority="8988">
      <formula>CW47="K"</formula>
    </cfRule>
    <cfRule type="expression" dxfId="94" priority="8989">
      <formula>CW47="DEF"</formula>
    </cfRule>
    <cfRule type="expression" dxfId="95" priority="8990">
      <formula>CW47="TE"</formula>
    </cfRule>
    <cfRule type="expression" dxfId="91" priority="8991">
      <formula>CW47="WR"</formula>
    </cfRule>
    <cfRule type="expression" dxfId="90" priority="8992">
      <formula>CW47="RB"</formula>
    </cfRule>
    <cfRule type="expression" dxfId="92" priority="8993">
      <formula>CW47="QB"</formula>
    </cfRule>
  </conditionalFormatting>
  <conditionalFormatting sqref="CX5">
    <cfRule type="expression" dxfId="86" priority="8574">
      <formula>CW5="K"</formula>
    </cfRule>
    <cfRule type="expression" dxfId="85" priority="8575">
      <formula>CW5="DEF"</formula>
    </cfRule>
    <cfRule type="expression" dxfId="84" priority="8576">
      <formula>CW5="TE"</formula>
    </cfRule>
    <cfRule type="expression" dxfId="89" priority="8577">
      <formula>CW5="WR"</formula>
    </cfRule>
    <cfRule type="expression" dxfId="88" priority="8578">
      <formula>CW5="RB"</formula>
    </cfRule>
    <cfRule type="expression" dxfId="87" priority="8579">
      <formula>CW5="QB"</formula>
    </cfRule>
  </conditionalFormatting>
  <conditionalFormatting sqref="CX8">
    <cfRule type="expression" dxfId="83" priority="8604">
      <formula>CW8="K"</formula>
    </cfRule>
    <cfRule type="expression" dxfId="78" priority="8605">
      <formula>CW8="DEF"</formula>
    </cfRule>
    <cfRule type="expression" dxfId="82" priority="8606">
      <formula>CW8="TE"</formula>
    </cfRule>
    <cfRule type="expression" dxfId="81" priority="8607">
      <formula>CW8="WR"</formula>
    </cfRule>
    <cfRule type="expression" dxfId="80" priority="8608">
      <formula>CW8="RB"</formula>
    </cfRule>
    <cfRule type="expression" dxfId="79" priority="8609">
      <formula>CW8="QB"</formula>
    </cfRule>
  </conditionalFormatting>
  <conditionalFormatting sqref="CX11">
    <cfRule type="expression" dxfId="73" priority="8634">
      <formula>CW11="K"</formula>
    </cfRule>
    <cfRule type="expression" dxfId="74" priority="8635">
      <formula>CW11="DEF"</formula>
    </cfRule>
    <cfRule type="expression" dxfId="75" priority="8636">
      <formula>CW11="TE"</formula>
    </cfRule>
    <cfRule type="expression" dxfId="72" priority="8637">
      <formula>CW11="WR"</formula>
    </cfRule>
    <cfRule type="expression" dxfId="76" priority="8638">
      <formula>CW11="RB"</formula>
    </cfRule>
    <cfRule type="expression" dxfId="77" priority="8639">
      <formula>CW11="QB"</formula>
    </cfRule>
  </conditionalFormatting>
  <conditionalFormatting sqref="CX14">
    <cfRule type="expression" dxfId="67" priority="8664">
      <formula>CW14="K"</formula>
    </cfRule>
    <cfRule type="expression" dxfId="68" priority="8665">
      <formula>CW14="DEF"</formula>
    </cfRule>
    <cfRule type="expression" dxfId="69" priority="8666">
      <formula>CW14="TE"</formula>
    </cfRule>
    <cfRule type="expression" dxfId="70" priority="8667">
      <formula>CW14="WR"</formula>
    </cfRule>
    <cfRule type="expression" dxfId="71" priority="8668">
      <formula>CW14="RB"</formula>
    </cfRule>
    <cfRule type="expression" dxfId="66" priority="8669">
      <formula>CW14="QB"</formula>
    </cfRule>
  </conditionalFormatting>
  <conditionalFormatting sqref="CX17">
    <cfRule type="expression" dxfId="65" priority="8694">
      <formula>CW17="K"</formula>
    </cfRule>
    <cfRule type="expression" dxfId="60" priority="8695">
      <formula>CW17="DEF"</formula>
    </cfRule>
    <cfRule type="expression" dxfId="64" priority="8696">
      <formula>CW17="TE"</formula>
    </cfRule>
    <cfRule type="expression" dxfId="63" priority="8697">
      <formula>CW17="WR"</formula>
    </cfRule>
    <cfRule type="expression" dxfId="62" priority="8698">
      <formula>CW17="RB"</formula>
    </cfRule>
    <cfRule type="expression" dxfId="61" priority="8699">
      <formula>CW17="QB"</formula>
    </cfRule>
  </conditionalFormatting>
  <conditionalFormatting sqref="CX20">
    <cfRule type="expression" dxfId="59" priority="8724">
      <formula>CW20="K"</formula>
    </cfRule>
    <cfRule type="expression" dxfId="54" priority="8725">
      <formula>CW20="DEF"</formula>
    </cfRule>
    <cfRule type="expression" dxfId="56" priority="8726">
      <formula>CW20="TE"</formula>
    </cfRule>
    <cfRule type="expression" dxfId="55" priority="8727">
      <formula>CW20="WR"</formula>
    </cfRule>
    <cfRule type="expression" dxfId="58" priority="8728">
      <formula>CW20="RB"</formula>
    </cfRule>
    <cfRule type="expression" dxfId="57" priority="8729">
      <formula>CW20="QB"</formula>
    </cfRule>
  </conditionalFormatting>
  <conditionalFormatting sqref="CX23">
    <cfRule type="expression" dxfId="49" priority="8754">
      <formula>CW23="K"</formula>
    </cfRule>
    <cfRule type="expression" dxfId="53" priority="8755">
      <formula>CW23="DEF"</formula>
    </cfRule>
    <cfRule type="expression" dxfId="48" priority="8756">
      <formula>CW23="TE"</formula>
    </cfRule>
    <cfRule type="expression" dxfId="52" priority="8757">
      <formula>CW23="WR"</formula>
    </cfRule>
    <cfRule type="expression" dxfId="50" priority="8758">
      <formula>CW23="RB"</formula>
    </cfRule>
    <cfRule type="expression" dxfId="51" priority="8759">
      <formula>CW23="QB"</formula>
    </cfRule>
  </conditionalFormatting>
  <conditionalFormatting sqref="CX26">
    <cfRule type="expression" dxfId="44" priority="8784">
      <formula>CW26="K"</formula>
    </cfRule>
    <cfRule type="expression" dxfId="43" priority="8785">
      <formula>CW26="DEF"</formula>
    </cfRule>
    <cfRule type="expression" dxfId="42" priority="8786">
      <formula>CW26="TE"</formula>
    </cfRule>
    <cfRule type="expression" dxfId="47" priority="8787">
      <formula>CW26="WR"</formula>
    </cfRule>
    <cfRule type="expression" dxfId="46" priority="8788">
      <formula>CW26="RB"</formula>
    </cfRule>
    <cfRule type="expression" dxfId="45" priority="8789">
      <formula>CW26="QB"</formula>
    </cfRule>
  </conditionalFormatting>
  <conditionalFormatting sqref="CX29">
    <cfRule type="expression" dxfId="36" priority="8814">
      <formula>CW29="K"</formula>
    </cfRule>
    <cfRule type="expression" dxfId="37" priority="8815">
      <formula>CW29="DEF"</formula>
    </cfRule>
    <cfRule type="expression" dxfId="38" priority="8816">
      <formula>CW29="TE"</formula>
    </cfRule>
    <cfRule type="expression" dxfId="39" priority="8817">
      <formula>CW29="WR"</formula>
    </cfRule>
    <cfRule type="expression" dxfId="40" priority="8818">
      <formula>CW29="RB"</formula>
    </cfRule>
    <cfRule type="expression" dxfId="41" priority="8819">
      <formula>CW29="QB"</formula>
    </cfRule>
  </conditionalFormatting>
  <conditionalFormatting sqref="CX32">
    <cfRule type="expression" dxfId="31" priority="8844">
      <formula>CW32="K"</formula>
    </cfRule>
    <cfRule type="expression" dxfId="32" priority="8845">
      <formula>CW32="DEF"</formula>
    </cfRule>
    <cfRule type="expression" dxfId="33" priority="8846">
      <formula>CW32="TE"</formula>
    </cfRule>
    <cfRule type="expression" dxfId="30" priority="8847">
      <formula>CW32="WR"</formula>
    </cfRule>
    <cfRule type="expression" dxfId="34" priority="8848">
      <formula>CW32="RB"</formula>
    </cfRule>
    <cfRule type="expression" dxfId="35" priority="8849">
      <formula>CW32="QB"</formula>
    </cfRule>
  </conditionalFormatting>
  <conditionalFormatting sqref="CX35">
    <cfRule type="expression" dxfId="26" priority="8874">
      <formula>CW35="K"</formula>
    </cfRule>
    <cfRule type="expression" dxfId="29" priority="8875">
      <formula>CW35="DEF"</formula>
    </cfRule>
    <cfRule type="expression" dxfId="24" priority="8876">
      <formula>CW35="TE"</formula>
    </cfRule>
    <cfRule type="expression" dxfId="25" priority="8877">
      <formula>CW35="WR"</formula>
    </cfRule>
    <cfRule type="expression" dxfId="28" priority="8878">
      <formula>CW35="RB"</formula>
    </cfRule>
    <cfRule type="expression" dxfId="27" priority="8879">
      <formula>CW35="QB"</formula>
    </cfRule>
  </conditionalFormatting>
  <conditionalFormatting sqref="CX38">
    <cfRule type="expression" dxfId="21" priority="8904">
      <formula>CW38="K"</formula>
    </cfRule>
    <cfRule type="expression" dxfId="22" priority="8905">
      <formula>CW38="DEF"</formula>
    </cfRule>
    <cfRule type="expression" dxfId="20" priority="8906">
      <formula>CW38="TE"</formula>
    </cfRule>
    <cfRule type="expression" dxfId="23" priority="8907">
      <formula>CW38="WR"</formula>
    </cfRule>
    <cfRule type="expression" dxfId="18" priority="8908">
      <formula>CW38="RB"</formula>
    </cfRule>
    <cfRule type="expression" dxfId="19" priority="8909">
      <formula>CW38="QB"</formula>
    </cfRule>
  </conditionalFormatting>
  <conditionalFormatting sqref="CX41">
    <cfRule type="expression" dxfId="16" priority="8934">
      <formula>CW41="K"</formula>
    </cfRule>
    <cfRule type="expression" dxfId="12" priority="8935">
      <formula>CW41="DEF"</formula>
    </cfRule>
    <cfRule type="expression" dxfId="13" priority="8936">
      <formula>CW41="TE"</formula>
    </cfRule>
    <cfRule type="expression" dxfId="17" priority="8937">
      <formula>CW41="WR"</formula>
    </cfRule>
    <cfRule type="expression" dxfId="14" priority="8938">
      <formula>CW41="RB"</formula>
    </cfRule>
    <cfRule type="expression" dxfId="15" priority="8939">
      <formula>CW41="QB"</formula>
    </cfRule>
  </conditionalFormatting>
  <conditionalFormatting sqref="CX44">
    <cfRule type="expression" dxfId="7" priority="8964">
      <formula>CW44="K"</formula>
    </cfRule>
    <cfRule type="expression" dxfId="8" priority="8965">
      <formula>CW44="DEF"</formula>
    </cfRule>
    <cfRule type="expression" dxfId="9" priority="8966">
      <formula>CW44="TE"</formula>
    </cfRule>
    <cfRule type="expression" dxfId="10" priority="8967">
      <formula>CW44="WR"</formula>
    </cfRule>
    <cfRule type="expression" dxfId="6" priority="8968">
      <formula>CW44="RB"</formula>
    </cfRule>
    <cfRule type="expression" dxfId="11" priority="8969">
      <formula>CW44="QB"</formula>
    </cfRule>
  </conditionalFormatting>
  <conditionalFormatting sqref="CX47">
    <cfRule type="expression" dxfId="0" priority="8994">
      <formula>CW47="K"</formula>
    </cfRule>
    <cfRule type="expression" dxfId="5" priority="8995">
      <formula>CW47="DEF"</formula>
    </cfRule>
    <cfRule type="expression" dxfId="4" priority="8996">
      <formula>CW47="TE"</formula>
    </cfRule>
    <cfRule type="expression" dxfId="3" priority="8997">
      <formula>CW47="WR"</formula>
    </cfRule>
    <cfRule type="expression" dxfId="2" priority="8998">
      <formula>CW47="RB"</formula>
    </cfRule>
    <cfRule type="expression" dxfId="1" priority="8999">
      <formula>CW47="QB"</formula>
    </cfRule>
  </conditionalFormatting>
  <dataValidations count="2">
    <dataValidation type="list" allowBlank="1" showErrorMessage="1" sqref="F5 K5 P5 U5 Z5 AE5 AJ5 AO5 AT5 AY5 BD5 BI5 BN5 BS5 BX5 CC5 CH5 CM5 CR5 CW5 F8 K8 P8 U8 Z8 AE8 AJ8 AO8 AT8 AY8 BD8 BI8 BN8 BS8 BX8 CC8 CH8 CM8 CR8 CW8 F11 K11 P11 U11 Z11 AE11 AJ11 AO11 AT11 AY11 BD11 BI11 BN11 BS11 BX11 CC11 CH11 CM11 CR11 CW11 F14 K14 P14 U14 Z14 AE14 AJ14 AO14 AT14 AY14 BD14 BI14 BN14 BS14 BX14 CC14 CH14 CM14 CR14 CW14 F17 K17 P17 U17 Z17 AE17 AJ17 AO17 AT17 AY17 BD17 BI17 BN17 BS17 BX17 CC17 CH17 CM17 CR17 CW17 F20 K20 P20 U20 Z20 AE20 AJ20 AO20 AT20 AY20 BD20 BI20 BN20 BS20 BX20 CC20 CH20 CM20 CR20 CW20 F23 K23 P23 U23 Z23 AE23 AJ23 AO23 AT23 AY23 BD23 BI23 BN23 BS23 BX23 CC23 CH23 CM23 CR23 CW23 F26 K26 P26 U26 Z26 AE26 AJ26 AO26 AT26 AY26 BD26 BI26 BN26 BS26 BX26 CC26 CH26 CM26 CR26 CW26 F29 K29 P29 U29 Z29 AE29 AJ29 AO29 AT29 AY29 BD29 BI29 BN29 BS29 BX29 CC29 CH29 CM29 CR29 CW29 F32 K32 P32 U32 Z32 AE32 AJ32 AO32 AT32 AY32 BD32 BI32 BN32 BS32 BX32 CC32 CH32 CM32 CR32 CW32 F35 K35 P35 U35 Z35 AE35 AJ35 AO35 AT35 AY35 BD35 BI35 BN35 BS35 BX35 CC35 CH35 CM35 CR35 CW35 F38 K38 P38 U38 Z38 AE38 AJ38 AO38 AT38 AY38 BD38 BI38 BN38 BS38 BX38 CC38 CH38 CM38 CR38 CW38 F41 K41 P41 U41 Z41 AE41 AJ41 AO41 AT41 AY41 BD41 BI41 BN41 BS41 BX41 CC41 CH41 CM41 CR41 CW41 F44 K44 P44 U44 Z44 AE44 AJ44 AO44 AT44 AY44 BD44 BI44 BN44 BS44 BX44 CC44 CH44 CM44 CR44 CW44 F47 K47 P47 U47 Z47 AE47 AJ47 AO47 AT47 AY47 BD47 BI47 BN47 BS47 BX47 CC47 CH47 CM47 CR47 CW47" xr:uid="{B9F5832E-1552-4D87-BB41-2E90E3EB7173}">
      <formula1>"QB,RB,WR,TE,DEF,K"</formula1>
    </dataValidation>
    <dataValidation type="list" allowBlank="1" showErrorMessage="1" sqref="D5 I5 N5 S5 X5 AC5 AH5 AM5 AR5 AW5 BB5 BG5 BL5 BQ5 BV5 CA5 CF5 CK5 CP5 CU5 D8 I8 N8 S8 X8 AC8 AH8 AM8 AR8 AW8 BB8 BG8 BL8 BQ8 BV8 CA8 CF8 CK8 CP8 CU8 D11 I11 N11 S11 X11 AC11 AH11 AM11 AR11 AW11 BB11 BG11 BL11 BQ11 BV11 CA11 CF11 CK11 CP11 CU11 D14 I14 N14 S14 X14 AC14 AH14 AM14 AR14 AW14 BB14 BG14 BL14 BQ14 BV14 CA14 CF14 CK14 CP14 CU14 D17 I17 N17 S17 X17 AC17 AH17 AM17 AR17 AW17 BB17 BG17 BL17 BQ17 BV17 CA17 CF17 CK17 CP17 CU17 D20 I20 N20 S20 X20 AC20 AH20 AM20 AR20 AW20 BB20 BG20 BL20 BQ20 BV20 CA20 CF20 CK20 CP20 CU20 D23 I23 N23 S23 X23 AC23 AH23 AM23 AR23 AW23 BB23 BG23 BL23 BQ23 BV23 CA23 CF23 CK23 CP23 CU23 D26 I26 N26 S26 X26 AC26 AH26 AM26 AR26 AW26 BB26 BG26 BL26 BQ26 BV26 CA26 CF26 CK26 CP26 CU26 D29 I29 N29 S29 X29 AC29 AH29 AM29 AR29 AW29 BB29 BG29 BL29 BQ29 BV29 CA29 CF29 CK29 CP29 CU29 D32 I32 N32 S32 X32 AC32 AH32 AM32 AR32 AW32 BB32 BG32 BL32 BQ32 BV32 CA32 CF32 CK32 CP32 CU32 D35 I35 N35 S35 X35 AC35 AH35 AM35 AR35 AW35 BB35 BG35 BL35 BQ35 BV35 CA35 CF35 CK35 CP35 CU35 D38 I38 N38 S38 X38 AC38 AH38 AM38 AR38 AW38 BB38 BG38 BL38 BQ38 BV38 CA38 CF38 CK38 CP38 CU38 D41 I41 N41 S41 X41 AC41 AH41 AM41 AR41 AW41 BB41 BG41 BL41 BQ41 BV41 CA41 CF41 CK41 CP41 CU41 D44 I44 N44 S44 X44 AC44 AH44 AM44 AR44 AW44 BB44 BG44 BL44 BQ44 BV44 CA44 CF44 CK44 CP44 CU44 D47 I47 N47 S47 X47 AC47 AH47 AM47 AR47 AW47 BB47 BG47 BL47 BQ47 BV47 CA47 CF47 CK47 CP47 CU47" xr:uid="{8037F74B-E801-41C4-AC7E-F5AC455008AA}">
      <formula1>"ARI,ATL,BAL,BUF,CAR,CHI,CIN,CLE,DAL,DEN,DET,GB,HOU,IND,JAC,KC,LAC,LAR,LV,MIA,MIN,NE,NO,NYG,NYJ,PHI,PIT,SEA,SF,TB,TEN,WAS"</formula1>
    </dataValidation>
  </dataValidations>
  <pageMargins left="0.7" right="0.7"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showGridLines="0" workbookViewId="0"/>
  </sheetViews>
  <sheetFormatPr baseColWidth="10" defaultColWidth="14.44140625" defaultRowHeight="15" customHeight="1"/>
  <cols>
    <col min="1" max="1" width="15.109375" customWidth="1"/>
    <col min="2" max="2" width="7.33203125" customWidth="1"/>
    <col min="3" max="3" width="28.6640625" customWidth="1"/>
    <col min="4" max="4" width="3.44140625" customWidth="1"/>
    <col min="5" max="5" width="28.6640625" customWidth="1"/>
    <col min="6" max="6" width="7.33203125" customWidth="1"/>
    <col min="7" max="7" width="28.6640625" customWidth="1"/>
    <col min="8" max="8" width="3.44140625" customWidth="1"/>
    <col min="9" max="9" width="28.6640625" customWidth="1"/>
    <col min="10" max="10" width="7.33203125" customWidth="1"/>
    <col min="17" max="17" width="25.33203125" customWidth="1"/>
  </cols>
  <sheetData>
    <row r="1" spans="1:26" ht="15" customHeight="1">
      <c r="A1" s="23" t="s">
        <v>18</v>
      </c>
      <c r="B1" s="14"/>
      <c r="C1" s="14"/>
      <c r="D1" s="14"/>
      <c r="E1" s="14"/>
      <c r="F1" s="14"/>
      <c r="G1" s="14"/>
      <c r="H1" s="14"/>
      <c r="I1" s="14"/>
      <c r="J1" s="14"/>
      <c r="K1" s="14"/>
      <c r="L1" s="14"/>
      <c r="M1" s="14"/>
      <c r="N1" s="14"/>
      <c r="O1" s="14"/>
      <c r="P1" s="14"/>
      <c r="Q1" s="14"/>
      <c r="R1" s="14"/>
      <c r="S1" s="14"/>
      <c r="T1" s="14"/>
      <c r="U1" s="14"/>
      <c r="V1" s="14"/>
      <c r="W1" s="14"/>
      <c r="X1" s="14"/>
      <c r="Y1" s="14"/>
      <c r="Z1" s="14"/>
    </row>
    <row r="2" spans="1:26" ht="15" customHeight="1">
      <c r="A2" s="23" t="s">
        <v>14</v>
      </c>
      <c r="B2" s="14"/>
      <c r="C2" s="24" t="s">
        <v>343</v>
      </c>
      <c r="D2" s="14"/>
      <c r="E2" s="24" t="s">
        <v>344</v>
      </c>
      <c r="F2" s="14"/>
      <c r="G2" s="24" t="s">
        <v>345</v>
      </c>
      <c r="H2" s="14"/>
      <c r="I2" s="24" t="s">
        <v>346</v>
      </c>
      <c r="J2" s="14"/>
      <c r="K2" s="14"/>
      <c r="L2" s="14"/>
      <c r="M2" s="14"/>
      <c r="N2" s="14"/>
      <c r="O2" s="14"/>
      <c r="P2" s="14"/>
      <c r="Q2" s="14"/>
      <c r="R2" s="14"/>
      <c r="S2" s="14"/>
      <c r="T2" s="14"/>
      <c r="U2" s="14"/>
      <c r="V2" s="14"/>
      <c r="W2" s="14"/>
      <c r="X2" s="14"/>
      <c r="Y2" s="14"/>
      <c r="Z2" s="14"/>
    </row>
    <row r="3" spans="1:26" ht="15" customHeight="1">
      <c r="A3" s="23" t="s">
        <v>19</v>
      </c>
      <c r="B3" s="25" t="s">
        <v>347</v>
      </c>
      <c r="C3" s="26" t="s">
        <v>15</v>
      </c>
      <c r="D3" s="25" t="s">
        <v>348</v>
      </c>
      <c r="E3" s="26" t="s">
        <v>6</v>
      </c>
      <c r="F3" s="25" t="s">
        <v>349</v>
      </c>
      <c r="G3" s="26" t="s">
        <v>11</v>
      </c>
      <c r="H3" s="25" t="s">
        <v>350</v>
      </c>
      <c r="I3" s="26" t="s">
        <v>4</v>
      </c>
      <c r="J3" s="14"/>
      <c r="K3" s="14"/>
      <c r="L3" s="14"/>
      <c r="M3" s="14"/>
      <c r="N3" s="14"/>
      <c r="O3" s="14"/>
      <c r="P3" s="14"/>
      <c r="Q3" s="14"/>
      <c r="R3" s="14"/>
      <c r="S3" s="14"/>
      <c r="T3" s="14"/>
      <c r="U3" s="14"/>
      <c r="V3" s="14"/>
      <c r="W3" s="14"/>
      <c r="X3" s="14"/>
      <c r="Y3" s="14"/>
      <c r="Z3" s="14"/>
    </row>
    <row r="4" spans="1:26" ht="15" customHeight="1">
      <c r="A4" s="23" t="s">
        <v>7</v>
      </c>
      <c r="B4" s="25" t="s">
        <v>351</v>
      </c>
      <c r="C4" s="26" t="s">
        <v>10</v>
      </c>
      <c r="D4" s="25" t="s">
        <v>352</v>
      </c>
      <c r="E4" s="26" t="s">
        <v>7</v>
      </c>
      <c r="F4" s="25" t="s">
        <v>353</v>
      </c>
      <c r="G4" s="26" t="s">
        <v>19</v>
      </c>
      <c r="H4" s="25" t="s">
        <v>354</v>
      </c>
      <c r="I4" s="26" t="s">
        <v>20</v>
      </c>
      <c r="J4" s="14"/>
      <c r="K4" s="14"/>
      <c r="L4" s="14"/>
      <c r="M4" s="14"/>
      <c r="N4" s="14"/>
      <c r="O4" s="14"/>
      <c r="P4" s="14"/>
      <c r="Q4" s="14"/>
      <c r="R4" s="14"/>
      <c r="S4" s="14"/>
      <c r="T4" s="14"/>
      <c r="U4" s="14"/>
      <c r="V4" s="14"/>
      <c r="W4" s="14"/>
      <c r="X4" s="14"/>
      <c r="Y4" s="14"/>
      <c r="Z4" s="14"/>
    </row>
    <row r="5" spans="1:26" ht="15" customHeight="1">
      <c r="A5" s="23" t="s">
        <v>9</v>
      </c>
      <c r="B5" s="25" t="s">
        <v>355</v>
      </c>
      <c r="C5" s="26" t="s">
        <v>3</v>
      </c>
      <c r="D5" s="25" t="s">
        <v>356</v>
      </c>
      <c r="E5" s="26" t="s">
        <v>2</v>
      </c>
      <c r="F5" s="25" t="s">
        <v>357</v>
      </c>
      <c r="G5" s="26" t="s">
        <v>14</v>
      </c>
      <c r="H5" s="25" t="s">
        <v>358</v>
      </c>
      <c r="I5" s="26" t="s">
        <v>18</v>
      </c>
      <c r="J5" s="14"/>
      <c r="K5" s="14"/>
      <c r="L5" s="14"/>
      <c r="M5" s="14"/>
      <c r="N5" s="14"/>
      <c r="O5" s="14"/>
      <c r="P5" s="14"/>
      <c r="Q5" s="14"/>
      <c r="R5" s="14"/>
      <c r="S5" s="14"/>
      <c r="T5" s="14"/>
      <c r="U5" s="14"/>
      <c r="V5" s="14"/>
      <c r="W5" s="14"/>
      <c r="X5" s="14"/>
      <c r="Y5" s="14"/>
      <c r="Z5" s="14"/>
    </row>
    <row r="6" spans="1:26" ht="15" customHeight="1">
      <c r="A6" s="23" t="s">
        <v>5</v>
      </c>
      <c r="B6" s="25" t="s">
        <v>359</v>
      </c>
      <c r="C6" s="26" t="s">
        <v>1</v>
      </c>
      <c r="D6" s="25" t="s">
        <v>360</v>
      </c>
      <c r="E6" s="26" t="s">
        <v>9</v>
      </c>
      <c r="F6" s="25" t="s">
        <v>361</v>
      </c>
      <c r="G6" s="26" t="s">
        <v>12</v>
      </c>
      <c r="H6" s="25" t="s">
        <v>362</v>
      </c>
      <c r="I6" s="26" t="s">
        <v>16</v>
      </c>
      <c r="J6" s="14"/>
      <c r="K6" s="14"/>
      <c r="L6" s="14"/>
      <c r="M6" s="14"/>
      <c r="N6" s="14"/>
      <c r="O6" s="14"/>
      <c r="P6" s="14"/>
      <c r="Q6" s="14"/>
      <c r="R6" s="14"/>
      <c r="S6" s="14"/>
      <c r="T6" s="14"/>
      <c r="U6" s="14"/>
      <c r="V6" s="14"/>
      <c r="W6" s="14"/>
      <c r="X6" s="14"/>
      <c r="Y6" s="14"/>
      <c r="Z6" s="14"/>
    </row>
    <row r="7" spans="1:26" ht="15" customHeight="1">
      <c r="A7" s="23" t="s">
        <v>8</v>
      </c>
      <c r="B7" s="25" t="s">
        <v>363</v>
      </c>
      <c r="C7" s="27" t="s">
        <v>17</v>
      </c>
      <c r="D7" s="25" t="s">
        <v>364</v>
      </c>
      <c r="E7" s="27" t="s">
        <v>13</v>
      </c>
      <c r="F7" s="25" t="s">
        <v>365</v>
      </c>
      <c r="G7" s="27" t="s">
        <v>8</v>
      </c>
      <c r="H7" s="25" t="s">
        <v>366</v>
      </c>
      <c r="I7" s="27" t="s">
        <v>5</v>
      </c>
      <c r="J7" s="14"/>
      <c r="K7" s="14"/>
      <c r="L7" s="14"/>
      <c r="M7" s="14"/>
      <c r="N7" s="14"/>
      <c r="O7" s="14"/>
      <c r="P7" s="14"/>
      <c r="Q7" s="14"/>
      <c r="R7" s="14"/>
      <c r="S7" s="14"/>
      <c r="T7" s="14"/>
      <c r="U7" s="14"/>
      <c r="V7" s="14"/>
      <c r="W7" s="14"/>
      <c r="X7" s="14"/>
      <c r="Y7" s="14"/>
      <c r="Z7" s="14"/>
    </row>
    <row r="8" spans="1:26" ht="15" customHeight="1">
      <c r="A8" s="23" t="s">
        <v>3</v>
      </c>
      <c r="B8" s="14"/>
      <c r="C8" s="14"/>
      <c r="D8" s="14"/>
      <c r="E8" s="14"/>
      <c r="F8" s="14"/>
      <c r="G8" s="14"/>
      <c r="H8" s="14"/>
      <c r="I8" s="14"/>
      <c r="J8" s="14"/>
      <c r="K8" s="14"/>
      <c r="L8" s="14"/>
      <c r="M8" s="14"/>
      <c r="N8" s="14"/>
      <c r="O8" s="14"/>
      <c r="P8" s="14"/>
      <c r="Q8" s="14"/>
      <c r="R8" s="14"/>
      <c r="S8" s="14"/>
      <c r="T8" s="14"/>
      <c r="U8" s="14"/>
      <c r="V8" s="14"/>
      <c r="W8" s="14"/>
      <c r="X8" s="14"/>
      <c r="Y8" s="14"/>
      <c r="Z8" s="14"/>
    </row>
    <row r="9" spans="1:26" ht="15" customHeight="1">
      <c r="A9" s="23" t="s">
        <v>15</v>
      </c>
      <c r="B9" s="14"/>
      <c r="C9" s="14"/>
      <c r="D9" s="14"/>
      <c r="E9" s="14"/>
      <c r="F9" s="14"/>
      <c r="G9" s="14"/>
      <c r="H9" s="14"/>
      <c r="I9" s="14"/>
      <c r="J9" s="14"/>
      <c r="K9" s="14"/>
      <c r="L9" s="14"/>
      <c r="M9" s="14"/>
      <c r="N9" s="14"/>
      <c r="O9" s="14"/>
      <c r="P9" s="14"/>
      <c r="Q9" s="14"/>
      <c r="R9" s="14"/>
      <c r="S9" s="14"/>
      <c r="T9" s="14"/>
      <c r="U9" s="14"/>
      <c r="V9" s="14"/>
      <c r="W9" s="14"/>
      <c r="X9" s="14"/>
      <c r="Y9" s="14"/>
      <c r="Z9" s="14"/>
    </row>
    <row r="10" spans="1:26" ht="15" customHeight="1">
      <c r="A10" s="23" t="s">
        <v>11</v>
      </c>
      <c r="B10" s="132" t="s">
        <v>367</v>
      </c>
      <c r="C10" s="28" t="str">
        <f>IF(C3="","",C3)</f>
        <v>Foxboro Forever</v>
      </c>
      <c r="D10" s="29" t="s">
        <v>368</v>
      </c>
      <c r="E10" s="30" t="str">
        <f>IF(C4="","",C4)</f>
        <v>K-Town Devils</v>
      </c>
      <c r="F10" s="15"/>
      <c r="G10" s="31" t="str">
        <f>$E$10</f>
        <v>K-Town Devils</v>
      </c>
      <c r="H10" s="29" t="s">
        <v>368</v>
      </c>
      <c r="I10" s="28" t="str">
        <f>$C$10</f>
        <v>Foxboro Forever</v>
      </c>
      <c r="J10" s="135" t="s">
        <v>369</v>
      </c>
      <c r="K10" s="14"/>
      <c r="L10" s="14"/>
      <c r="M10" s="14"/>
      <c r="N10" s="14"/>
      <c r="O10" s="14"/>
      <c r="P10" s="14"/>
      <c r="Q10" s="14"/>
      <c r="R10" s="14"/>
      <c r="S10" s="14"/>
      <c r="T10" s="14"/>
      <c r="U10" s="14"/>
      <c r="V10" s="14"/>
      <c r="W10" s="14"/>
      <c r="X10" s="14"/>
      <c r="Y10" s="14"/>
      <c r="Z10" s="14"/>
    </row>
    <row r="11" spans="1:26" ht="14.4">
      <c r="A11" s="23" t="s">
        <v>20</v>
      </c>
      <c r="B11" s="133"/>
      <c r="C11" s="32" t="str">
        <f>IF(C5="","",C5)</f>
        <v>Frankfurt Packers</v>
      </c>
      <c r="D11" s="33" t="s">
        <v>368</v>
      </c>
      <c r="E11" s="34" t="str">
        <f>IF(C6="","",C6)</f>
        <v>Wiesbaden Phantoms</v>
      </c>
      <c r="F11" s="15"/>
      <c r="G11" s="35" t="str">
        <f>$E$11</f>
        <v>Wiesbaden Phantoms</v>
      </c>
      <c r="H11" s="33" t="s">
        <v>368</v>
      </c>
      <c r="I11" s="33" t="str">
        <f>$C$11</f>
        <v>Frankfurt Packers</v>
      </c>
      <c r="J11" s="136"/>
      <c r="K11" s="14"/>
      <c r="L11" s="14"/>
      <c r="M11" s="14"/>
      <c r="N11" s="14"/>
      <c r="O11" s="14"/>
      <c r="P11" s="14"/>
      <c r="Q11" s="14"/>
      <c r="R11" s="14"/>
      <c r="S11" s="14"/>
      <c r="T11" s="14"/>
      <c r="U11" s="14"/>
      <c r="V11" s="14"/>
      <c r="W11" s="14"/>
      <c r="X11" s="14"/>
      <c r="Y11" s="14"/>
      <c r="Z11" s="14"/>
    </row>
    <row r="12" spans="1:26" ht="14.4">
      <c r="A12" s="23" t="s">
        <v>10</v>
      </c>
      <c r="B12" s="133"/>
      <c r="C12" s="32" t="str">
        <f>IF(C7="","",C7)</f>
        <v>Pep's Band</v>
      </c>
      <c r="D12" s="33" t="s">
        <v>368</v>
      </c>
      <c r="E12" s="34" t="str">
        <f>IF(G7="","",G7)</f>
        <v>Fighting Farmers</v>
      </c>
      <c r="F12" s="15"/>
      <c r="G12" s="35" t="str">
        <f>$E$12</f>
        <v>Fighting Farmers</v>
      </c>
      <c r="H12" s="33" t="s">
        <v>368</v>
      </c>
      <c r="I12" s="33" t="str">
        <f>$C$12</f>
        <v>Pep's Band</v>
      </c>
      <c r="J12" s="136"/>
      <c r="K12" s="14"/>
      <c r="L12" s="14"/>
      <c r="M12" s="14"/>
      <c r="N12" s="14"/>
      <c r="O12" s="14"/>
      <c r="P12" s="14"/>
      <c r="Q12" s="14"/>
      <c r="R12" s="14"/>
      <c r="S12" s="14"/>
      <c r="T12" s="14"/>
      <c r="U12" s="14"/>
      <c r="V12" s="14"/>
      <c r="W12" s="14"/>
      <c r="X12" s="14"/>
      <c r="Y12" s="14"/>
      <c r="Z12" s="14"/>
    </row>
    <row r="13" spans="1:26" ht="14.4">
      <c r="A13" s="23" t="s">
        <v>17</v>
      </c>
      <c r="B13" s="133"/>
      <c r="C13" s="32" t="str">
        <f>IF(E3="","",E3)</f>
        <v>Bishop Sycamore</v>
      </c>
      <c r="D13" s="33" t="s">
        <v>368</v>
      </c>
      <c r="E13" s="34" t="str">
        <f>IF(E4="","",E4)</f>
        <v>Broken Bembels ULB</v>
      </c>
      <c r="F13" s="15"/>
      <c r="G13" s="35" t="str">
        <f>$E$13</f>
        <v>Broken Bembels ULB</v>
      </c>
      <c r="H13" s="33" t="s">
        <v>368</v>
      </c>
      <c r="I13" s="33" t="str">
        <f>$C$13</f>
        <v>Bishop Sycamore</v>
      </c>
      <c r="J13" s="136"/>
      <c r="K13" s="14"/>
      <c r="L13" s="14"/>
      <c r="M13" s="14"/>
      <c r="N13" s="14"/>
      <c r="O13" s="14"/>
      <c r="P13" s="14"/>
      <c r="Q13" s="14"/>
      <c r="R13" s="14"/>
      <c r="S13" s="14"/>
      <c r="T13" s="14"/>
      <c r="U13" s="14"/>
      <c r="V13" s="14"/>
      <c r="W13" s="14"/>
      <c r="X13" s="14"/>
      <c r="Y13" s="14"/>
      <c r="Z13" s="14"/>
    </row>
    <row r="14" spans="1:26" ht="14.4">
      <c r="A14" s="23" t="s">
        <v>12</v>
      </c>
      <c r="B14" s="133"/>
      <c r="C14" s="32" t="str">
        <f>IF(E5="","",E5)</f>
        <v>the Boys</v>
      </c>
      <c r="D14" s="33" t="s">
        <v>368</v>
      </c>
      <c r="E14" s="34" t="str">
        <f>IF(E6="","",E6)</f>
        <v>Bojangles Pornstars</v>
      </c>
      <c r="F14" s="15"/>
      <c r="G14" s="35" t="str">
        <f>$E$14</f>
        <v>Bojangles Pornstars</v>
      </c>
      <c r="H14" s="33" t="s">
        <v>368</v>
      </c>
      <c r="I14" s="33" t="str">
        <f>$C$14</f>
        <v>the Boys</v>
      </c>
      <c r="J14" s="136"/>
      <c r="K14" s="14"/>
      <c r="L14" s="14"/>
      <c r="M14" s="14"/>
      <c r="N14" s="14"/>
      <c r="O14" s="14"/>
      <c r="P14" s="14"/>
      <c r="Q14" s="14"/>
      <c r="R14" s="14"/>
      <c r="S14" s="14"/>
      <c r="T14" s="14"/>
      <c r="U14" s="14"/>
      <c r="V14" s="14"/>
      <c r="W14" s="14"/>
      <c r="X14" s="14"/>
      <c r="Y14" s="14"/>
      <c r="Z14" s="14"/>
    </row>
    <row r="15" spans="1:26" ht="14.4">
      <c r="A15" s="23" t="s">
        <v>16</v>
      </c>
      <c r="B15" s="133"/>
      <c r="C15" s="32" t="str">
        <f>IF(E7="","",E7)</f>
        <v>Zeugen Ray Lewis</v>
      </c>
      <c r="D15" s="33" t="s">
        <v>368</v>
      </c>
      <c r="E15" s="34" t="str">
        <f>IF(I7="","",I7)</f>
        <v>Brady Gaga</v>
      </c>
      <c r="F15" s="15"/>
      <c r="G15" s="35" t="str">
        <f>$E$15</f>
        <v>Brady Gaga</v>
      </c>
      <c r="H15" s="33" t="s">
        <v>368</v>
      </c>
      <c r="I15" s="33" t="str">
        <f>$C$15</f>
        <v>Zeugen Ray Lewis</v>
      </c>
      <c r="J15" s="136"/>
      <c r="K15" s="14"/>
      <c r="L15" s="14"/>
      <c r="M15" s="14"/>
      <c r="N15" s="14"/>
      <c r="O15" s="14"/>
      <c r="P15" s="14"/>
      <c r="Q15" s="14"/>
      <c r="R15" s="14"/>
      <c r="S15" s="14"/>
      <c r="T15" s="14"/>
      <c r="U15" s="14"/>
      <c r="V15" s="14"/>
      <c r="W15" s="14"/>
      <c r="X15" s="14"/>
      <c r="Y15" s="14"/>
      <c r="Z15" s="14"/>
    </row>
    <row r="16" spans="1:26" ht="14.4">
      <c r="A16" s="23" t="s">
        <v>4</v>
      </c>
      <c r="B16" s="133"/>
      <c r="C16" s="32" t="str">
        <f>IF(G3="","",G3)</f>
        <v>Thunder Ducks</v>
      </c>
      <c r="D16" s="33" t="s">
        <v>368</v>
      </c>
      <c r="E16" s="34" t="str">
        <f>IF(G4="","",G4)</f>
        <v>BearD</v>
      </c>
      <c r="F16" s="15"/>
      <c r="G16" s="35" t="str">
        <f>$E$16</f>
        <v>BearD</v>
      </c>
      <c r="H16" s="33" t="s">
        <v>368</v>
      </c>
      <c r="I16" s="32" t="str">
        <f>$C$16</f>
        <v>Thunder Ducks</v>
      </c>
      <c r="J16" s="136"/>
      <c r="K16" s="14"/>
      <c r="L16" s="14"/>
      <c r="M16" s="14"/>
      <c r="N16" s="14"/>
      <c r="O16" s="14"/>
      <c r="P16" s="14"/>
      <c r="Q16" s="14"/>
      <c r="R16" s="14"/>
      <c r="S16" s="14"/>
      <c r="T16" s="14"/>
      <c r="U16" s="14"/>
      <c r="V16" s="14"/>
      <c r="W16" s="14"/>
      <c r="X16" s="14"/>
      <c r="Y16" s="14"/>
      <c r="Z16" s="14"/>
    </row>
    <row r="17" spans="1:26" ht="14.4">
      <c r="A17" s="23" t="s">
        <v>2</v>
      </c>
      <c r="B17" s="133"/>
      <c r="C17" s="32" t="str">
        <f>IF(G5="","",G5)</f>
        <v>Amity Island Sharks</v>
      </c>
      <c r="D17" s="33" t="s">
        <v>368</v>
      </c>
      <c r="E17" s="34" t="str">
        <f>IF(G6="","",G6)</f>
        <v>Randy Moss LoB Juenger</v>
      </c>
      <c r="F17" s="15"/>
      <c r="G17" s="35" t="str">
        <f>$E$17</f>
        <v>Randy Moss LoB Juenger</v>
      </c>
      <c r="H17" s="33" t="s">
        <v>368</v>
      </c>
      <c r="I17" s="33" t="str">
        <f>$C$17</f>
        <v>Amity Island Sharks</v>
      </c>
      <c r="J17" s="136"/>
      <c r="K17" s="14"/>
      <c r="L17" s="14"/>
      <c r="M17" s="14"/>
      <c r="N17" s="14"/>
      <c r="O17" s="14"/>
      <c r="P17" s="14"/>
      <c r="Q17" s="14"/>
      <c r="R17" s="14"/>
      <c r="S17" s="14"/>
      <c r="T17" s="14"/>
      <c r="U17" s="14"/>
      <c r="V17" s="14"/>
      <c r="W17" s="14"/>
      <c r="X17" s="14"/>
      <c r="Y17" s="14"/>
      <c r="Z17" s="14"/>
    </row>
    <row r="18" spans="1:26" ht="14.4">
      <c r="A18" s="23" t="s">
        <v>6</v>
      </c>
      <c r="B18" s="133"/>
      <c r="C18" s="32" t="str">
        <f>IF(I3="","",I3)</f>
        <v>The 49vengers</v>
      </c>
      <c r="D18" s="33" t="s">
        <v>368</v>
      </c>
      <c r="E18" s="34" t="str">
        <f>IF(I4="","",I4)</f>
        <v>Johnny Manziel and Friends</v>
      </c>
      <c r="F18" s="15"/>
      <c r="G18" s="35" t="str">
        <f>$E$18</f>
        <v>Johnny Manziel and Friends</v>
      </c>
      <c r="H18" s="33" t="s">
        <v>368</v>
      </c>
      <c r="I18" s="33" t="str">
        <f>$C$18</f>
        <v>The 49vengers</v>
      </c>
      <c r="J18" s="136"/>
      <c r="K18" s="14"/>
      <c r="L18" s="14"/>
      <c r="M18" s="14"/>
      <c r="N18" s="14"/>
      <c r="O18" s="14"/>
      <c r="P18" s="14"/>
      <c r="Q18" s="14"/>
      <c r="R18" s="14"/>
      <c r="S18" s="14"/>
      <c r="T18" s="14"/>
      <c r="U18" s="14"/>
      <c r="V18" s="14"/>
      <c r="W18" s="14"/>
      <c r="X18" s="14"/>
      <c r="Y18" s="14"/>
      <c r="Z18" s="14"/>
    </row>
    <row r="19" spans="1:26" ht="14.4">
      <c r="A19" s="23" t="s">
        <v>1</v>
      </c>
      <c r="B19" s="134"/>
      <c r="C19" s="36" t="str">
        <f>IF(I5="","",I5)</f>
        <v>E-Town Elephants</v>
      </c>
      <c r="D19" s="37" t="s">
        <v>368</v>
      </c>
      <c r="E19" s="38" t="str">
        <f>IF(I6="","",I6)</f>
        <v>Steelersnation 7</v>
      </c>
      <c r="F19" s="15"/>
      <c r="G19" s="39" t="str">
        <f>$E$19</f>
        <v>Steelersnation 7</v>
      </c>
      <c r="H19" s="37" t="s">
        <v>368</v>
      </c>
      <c r="I19" s="37" t="str">
        <f>$C$19</f>
        <v>E-Town Elephants</v>
      </c>
      <c r="J19" s="137"/>
      <c r="K19" s="14"/>
      <c r="L19" s="14"/>
      <c r="M19" s="14"/>
      <c r="N19" s="14"/>
      <c r="O19" s="14"/>
      <c r="P19" s="14"/>
      <c r="Q19" s="14"/>
      <c r="R19" s="14"/>
      <c r="S19" s="14"/>
      <c r="T19" s="14"/>
      <c r="U19" s="14"/>
      <c r="V19" s="14"/>
      <c r="W19" s="14"/>
      <c r="X19" s="14"/>
      <c r="Y19" s="14"/>
      <c r="Z19" s="14"/>
    </row>
    <row r="20" spans="1:26" ht="14.4">
      <c r="A20" s="23" t="s">
        <v>13</v>
      </c>
      <c r="B20" s="14"/>
      <c r="C20" s="40"/>
      <c r="D20" s="15"/>
      <c r="E20" s="15"/>
      <c r="F20" s="15"/>
      <c r="G20" s="15"/>
      <c r="H20" s="15"/>
      <c r="I20" s="15"/>
      <c r="J20" s="41"/>
      <c r="K20" s="14"/>
      <c r="L20" s="14"/>
      <c r="M20" s="14"/>
      <c r="N20" s="14"/>
      <c r="O20" s="14"/>
      <c r="P20" s="14"/>
      <c r="Q20" s="14"/>
      <c r="R20" s="14"/>
      <c r="S20" s="14"/>
      <c r="T20" s="14"/>
      <c r="U20" s="14"/>
      <c r="V20" s="14"/>
      <c r="W20" s="14"/>
      <c r="X20" s="14"/>
      <c r="Y20" s="14"/>
      <c r="Z20" s="14"/>
    </row>
    <row r="21" spans="1:26" ht="15.75" customHeight="1">
      <c r="A21" s="42"/>
      <c r="B21" s="132" t="s">
        <v>370</v>
      </c>
      <c r="C21" s="28" t="str">
        <f>C10</f>
        <v>Foxboro Forever</v>
      </c>
      <c r="D21" s="29" t="s">
        <v>368</v>
      </c>
      <c r="E21" s="43" t="str">
        <f>$C$11</f>
        <v>Frankfurt Packers</v>
      </c>
      <c r="F21" s="15"/>
      <c r="G21" s="44" t="str">
        <f>$C$11</f>
        <v>Frankfurt Packers</v>
      </c>
      <c r="H21" s="29" t="s">
        <v>368</v>
      </c>
      <c r="I21" s="28" t="str">
        <f>$C$10</f>
        <v>Foxboro Forever</v>
      </c>
      <c r="J21" s="135" t="s">
        <v>371</v>
      </c>
      <c r="K21" s="14"/>
      <c r="L21" s="14"/>
      <c r="M21" s="14"/>
      <c r="N21" s="14"/>
      <c r="O21" s="14"/>
      <c r="P21" s="14"/>
      <c r="Q21" s="45"/>
      <c r="R21" s="14"/>
      <c r="S21" s="14"/>
      <c r="T21" s="14"/>
      <c r="U21" s="14"/>
      <c r="V21" s="14"/>
      <c r="W21" s="14"/>
      <c r="X21" s="14"/>
      <c r="Y21" s="14"/>
      <c r="Z21" s="14"/>
    </row>
    <row r="22" spans="1:26" ht="15.75" customHeight="1">
      <c r="A22" s="46"/>
      <c r="B22" s="133"/>
      <c r="C22" s="32" t="str">
        <f>$E$11</f>
        <v>Wiesbaden Phantoms</v>
      </c>
      <c r="D22" s="33" t="s">
        <v>368</v>
      </c>
      <c r="E22" s="47" t="str">
        <f>$C$12</f>
        <v>Pep's Band</v>
      </c>
      <c r="F22" s="15"/>
      <c r="G22" s="48" t="str">
        <f>$C$12</f>
        <v>Pep's Band</v>
      </c>
      <c r="H22" s="33" t="s">
        <v>368</v>
      </c>
      <c r="I22" s="32" t="str">
        <f>$E$11</f>
        <v>Wiesbaden Phantoms</v>
      </c>
      <c r="J22" s="136"/>
      <c r="K22" s="14"/>
      <c r="L22" s="14"/>
      <c r="M22" s="14"/>
      <c r="N22" s="14"/>
      <c r="O22" s="14"/>
      <c r="P22" s="14"/>
      <c r="Q22" s="45"/>
      <c r="R22" s="14"/>
      <c r="S22" s="14"/>
      <c r="T22" s="14"/>
      <c r="U22" s="14"/>
      <c r="V22" s="14"/>
      <c r="W22" s="14"/>
      <c r="X22" s="14"/>
      <c r="Y22" s="14"/>
      <c r="Z22" s="14"/>
    </row>
    <row r="23" spans="1:26" ht="15.75" customHeight="1">
      <c r="A23" s="46"/>
      <c r="B23" s="133"/>
      <c r="C23" s="32" t="str">
        <f>$E$10</f>
        <v>K-Town Devils</v>
      </c>
      <c r="D23" s="33" t="s">
        <v>368</v>
      </c>
      <c r="E23" s="47" t="str">
        <f>$E$16</f>
        <v>BearD</v>
      </c>
      <c r="F23" s="15"/>
      <c r="G23" s="35" t="str">
        <f>$E$16</f>
        <v>BearD</v>
      </c>
      <c r="H23" s="33" t="s">
        <v>368</v>
      </c>
      <c r="I23" s="32" t="str">
        <f>$E$10</f>
        <v>K-Town Devils</v>
      </c>
      <c r="J23" s="136"/>
      <c r="K23" s="14"/>
      <c r="L23" s="14"/>
      <c r="M23" s="14"/>
      <c r="N23" s="14"/>
      <c r="O23" s="14"/>
      <c r="P23" s="14"/>
      <c r="Q23" s="45"/>
      <c r="R23" s="14"/>
      <c r="S23" s="14"/>
      <c r="T23" s="14"/>
      <c r="U23" s="14"/>
      <c r="V23" s="14"/>
      <c r="W23" s="14"/>
      <c r="X23" s="14"/>
      <c r="Y23" s="14"/>
      <c r="Z23" s="14"/>
    </row>
    <row r="24" spans="1:26" ht="15.75" customHeight="1">
      <c r="A24" s="46"/>
      <c r="B24" s="133"/>
      <c r="C24" s="32" t="str">
        <f>$C$13</f>
        <v>Bishop Sycamore</v>
      </c>
      <c r="D24" s="33" t="s">
        <v>368</v>
      </c>
      <c r="E24" s="47" t="str">
        <f>$C$14</f>
        <v>the Boys</v>
      </c>
      <c r="F24" s="15"/>
      <c r="G24" s="35" t="str">
        <f>$C$14</f>
        <v>the Boys</v>
      </c>
      <c r="H24" s="33" t="s">
        <v>368</v>
      </c>
      <c r="I24" s="33" t="str">
        <f>$C$13</f>
        <v>Bishop Sycamore</v>
      </c>
      <c r="J24" s="136"/>
      <c r="K24" s="14"/>
      <c r="L24" s="14"/>
      <c r="M24" s="14"/>
      <c r="N24" s="14"/>
      <c r="O24" s="14"/>
      <c r="P24" s="14"/>
      <c r="Q24" s="45"/>
      <c r="R24" s="14"/>
      <c r="S24" s="14"/>
      <c r="T24" s="14"/>
      <c r="U24" s="14"/>
      <c r="V24" s="14"/>
      <c r="W24" s="14"/>
      <c r="X24" s="14"/>
      <c r="Y24" s="14"/>
      <c r="Z24" s="14"/>
    </row>
    <row r="25" spans="1:26" ht="15.75" customHeight="1">
      <c r="A25" s="46"/>
      <c r="B25" s="133"/>
      <c r="C25" s="32" t="str">
        <f>$E$14</f>
        <v>Bojangles Pornstars</v>
      </c>
      <c r="D25" s="33" t="s">
        <v>368</v>
      </c>
      <c r="E25" s="47" t="str">
        <f>$C$15</f>
        <v>Zeugen Ray Lewis</v>
      </c>
      <c r="F25" s="15"/>
      <c r="G25" s="35" t="str">
        <f>$C$15</f>
        <v>Zeugen Ray Lewis</v>
      </c>
      <c r="H25" s="33" t="s">
        <v>368</v>
      </c>
      <c r="I25" s="33" t="str">
        <f>$E$14</f>
        <v>Bojangles Pornstars</v>
      </c>
      <c r="J25" s="136"/>
      <c r="K25" s="14"/>
      <c r="L25" s="14"/>
      <c r="M25" s="14"/>
      <c r="N25" s="14"/>
      <c r="O25" s="14"/>
      <c r="P25" s="14"/>
      <c r="Q25" s="45"/>
      <c r="R25" s="14"/>
      <c r="S25" s="14"/>
      <c r="T25" s="14"/>
      <c r="U25" s="14"/>
      <c r="V25" s="14"/>
      <c r="W25" s="14"/>
      <c r="X25" s="14"/>
      <c r="Y25" s="14"/>
      <c r="Z25" s="14"/>
    </row>
    <row r="26" spans="1:26" ht="15.75" customHeight="1">
      <c r="A26" s="46"/>
      <c r="B26" s="133"/>
      <c r="C26" s="32" t="str">
        <f>$E$13</f>
        <v>Broken Bembels ULB</v>
      </c>
      <c r="D26" s="33" t="s">
        <v>368</v>
      </c>
      <c r="E26" s="47" t="str">
        <f>$E$18</f>
        <v>Johnny Manziel and Friends</v>
      </c>
      <c r="F26" s="15"/>
      <c r="G26" s="35" t="str">
        <f>$E$18</f>
        <v>Johnny Manziel and Friends</v>
      </c>
      <c r="H26" s="33" t="s">
        <v>368</v>
      </c>
      <c r="I26" s="33" t="str">
        <f>$E$13</f>
        <v>Broken Bembels ULB</v>
      </c>
      <c r="J26" s="136"/>
      <c r="K26" s="14"/>
      <c r="L26" s="14"/>
      <c r="M26" s="14"/>
      <c r="N26" s="14"/>
      <c r="O26" s="14"/>
      <c r="P26" s="14"/>
      <c r="Q26" s="45"/>
      <c r="R26" s="14"/>
      <c r="S26" s="14"/>
      <c r="T26" s="14"/>
      <c r="U26" s="14"/>
      <c r="V26" s="14"/>
      <c r="W26" s="14"/>
      <c r="X26" s="14"/>
      <c r="Y26" s="14"/>
      <c r="Z26" s="14"/>
    </row>
    <row r="27" spans="1:26" ht="15.75" customHeight="1">
      <c r="A27" s="14"/>
      <c r="B27" s="133"/>
      <c r="C27" s="32" t="str">
        <f>$C$16</f>
        <v>Thunder Ducks</v>
      </c>
      <c r="D27" s="33" t="s">
        <v>368</v>
      </c>
      <c r="E27" s="47" t="str">
        <f>$C$17</f>
        <v>Amity Island Sharks</v>
      </c>
      <c r="F27" s="15"/>
      <c r="G27" s="35" t="str">
        <f>$C$17</f>
        <v>Amity Island Sharks</v>
      </c>
      <c r="H27" s="33" t="s">
        <v>368</v>
      </c>
      <c r="I27" s="32" t="str">
        <f>$C$16</f>
        <v>Thunder Ducks</v>
      </c>
      <c r="J27" s="136"/>
      <c r="K27" s="14"/>
      <c r="L27" s="14"/>
      <c r="M27" s="14"/>
      <c r="N27" s="14"/>
      <c r="O27" s="14"/>
      <c r="P27" s="14"/>
      <c r="Q27" s="45"/>
      <c r="R27" s="14"/>
      <c r="S27" s="14"/>
      <c r="T27" s="14"/>
      <c r="U27" s="14"/>
      <c r="V27" s="14"/>
      <c r="W27" s="14"/>
      <c r="X27" s="14"/>
      <c r="Y27" s="14"/>
      <c r="Z27" s="14"/>
    </row>
    <row r="28" spans="1:26" ht="15.75" customHeight="1">
      <c r="A28" s="14"/>
      <c r="B28" s="133"/>
      <c r="C28" s="32" t="str">
        <f>$E$17</f>
        <v>Randy Moss LoB Juenger</v>
      </c>
      <c r="D28" s="33" t="s">
        <v>368</v>
      </c>
      <c r="E28" s="47" t="str">
        <f>$E$12</f>
        <v>Fighting Farmers</v>
      </c>
      <c r="F28" s="15"/>
      <c r="G28" s="35" t="str">
        <f>$E$12</f>
        <v>Fighting Farmers</v>
      </c>
      <c r="H28" s="33" t="s">
        <v>368</v>
      </c>
      <c r="I28" s="33" t="str">
        <f>$E$17</f>
        <v>Randy Moss LoB Juenger</v>
      </c>
      <c r="J28" s="136"/>
      <c r="K28" s="14"/>
      <c r="L28" s="14"/>
      <c r="M28" s="14"/>
      <c r="N28" s="14"/>
      <c r="O28" s="14"/>
      <c r="P28" s="14"/>
      <c r="Q28" s="45"/>
      <c r="R28" s="14"/>
      <c r="S28" s="14"/>
      <c r="T28" s="14"/>
      <c r="U28" s="14"/>
      <c r="V28" s="14"/>
      <c r="W28" s="14"/>
      <c r="X28" s="14"/>
      <c r="Y28" s="14"/>
      <c r="Z28" s="14"/>
    </row>
    <row r="29" spans="1:26" ht="15.75" customHeight="1">
      <c r="A29" s="14"/>
      <c r="B29" s="133"/>
      <c r="C29" s="32" t="str">
        <f>$C$18</f>
        <v>The 49vengers</v>
      </c>
      <c r="D29" s="33" t="s">
        <v>368</v>
      </c>
      <c r="E29" s="47" t="str">
        <f>$C$19</f>
        <v>E-Town Elephants</v>
      </c>
      <c r="F29" s="15"/>
      <c r="G29" s="35" t="str">
        <f>$C$19</f>
        <v>E-Town Elephants</v>
      </c>
      <c r="H29" s="33" t="s">
        <v>368</v>
      </c>
      <c r="I29" s="33" t="str">
        <f>$C$18</f>
        <v>The 49vengers</v>
      </c>
      <c r="J29" s="136"/>
      <c r="K29" s="14"/>
      <c r="L29" s="14"/>
      <c r="M29" s="14"/>
      <c r="N29" s="14"/>
      <c r="O29" s="14"/>
      <c r="P29" s="14"/>
      <c r="Q29" s="45"/>
      <c r="R29" s="14"/>
      <c r="S29" s="14"/>
      <c r="T29" s="14"/>
      <c r="U29" s="14"/>
      <c r="V29" s="14"/>
      <c r="W29" s="14"/>
      <c r="X29" s="14"/>
      <c r="Y29" s="14"/>
      <c r="Z29" s="14"/>
    </row>
    <row r="30" spans="1:26" ht="15.75" customHeight="1">
      <c r="A30" s="14"/>
      <c r="B30" s="134"/>
      <c r="C30" s="36" t="str">
        <f>$E$19</f>
        <v>Steelersnation 7</v>
      </c>
      <c r="D30" s="37" t="s">
        <v>368</v>
      </c>
      <c r="E30" s="49" t="str">
        <f>$E$15</f>
        <v>Brady Gaga</v>
      </c>
      <c r="F30" s="15"/>
      <c r="G30" s="39" t="str">
        <f>$E$15</f>
        <v>Brady Gaga</v>
      </c>
      <c r="H30" s="37" t="s">
        <v>368</v>
      </c>
      <c r="I30" s="37" t="str">
        <f>$E$19</f>
        <v>Steelersnation 7</v>
      </c>
      <c r="J30" s="137"/>
      <c r="K30" s="14"/>
      <c r="L30" s="14"/>
      <c r="M30" s="14"/>
      <c r="N30" s="14"/>
      <c r="O30" s="14"/>
      <c r="P30" s="14"/>
      <c r="Q30" s="45"/>
      <c r="R30" s="14"/>
      <c r="S30" s="14"/>
      <c r="T30" s="14"/>
      <c r="U30" s="14"/>
      <c r="V30" s="14"/>
      <c r="W30" s="14"/>
      <c r="X30" s="14"/>
      <c r="Y30" s="14"/>
      <c r="Z30" s="14"/>
    </row>
    <row r="31" spans="1:26" ht="15.75" customHeight="1">
      <c r="A31" s="14"/>
      <c r="B31" s="14"/>
      <c r="C31" s="40"/>
      <c r="D31" s="15"/>
      <c r="E31" s="15"/>
      <c r="F31" s="15"/>
      <c r="G31" s="15"/>
      <c r="H31" s="15"/>
      <c r="I31" s="15"/>
      <c r="J31" s="41"/>
      <c r="K31" s="14"/>
      <c r="L31" s="14"/>
      <c r="M31" s="14"/>
      <c r="N31" s="14"/>
      <c r="O31" s="14"/>
      <c r="P31" s="14"/>
      <c r="Q31" s="45"/>
      <c r="R31" s="14"/>
      <c r="S31" s="14"/>
      <c r="T31" s="14"/>
      <c r="U31" s="14"/>
      <c r="V31" s="14"/>
      <c r="W31" s="14"/>
      <c r="X31" s="14"/>
      <c r="Y31" s="14"/>
      <c r="Z31" s="14"/>
    </row>
    <row r="32" spans="1:26" ht="15.75" customHeight="1">
      <c r="A32" s="14"/>
      <c r="B32" s="132" t="s">
        <v>372</v>
      </c>
      <c r="C32" s="28" t="str">
        <f>$C$10</f>
        <v>Foxboro Forever</v>
      </c>
      <c r="D32" s="29" t="s">
        <v>368</v>
      </c>
      <c r="E32" s="30" t="str">
        <f>$E$11</f>
        <v>Wiesbaden Phantoms</v>
      </c>
      <c r="F32" s="15"/>
      <c r="G32" s="31" t="str">
        <f>$E$11</f>
        <v>Wiesbaden Phantoms</v>
      </c>
      <c r="H32" s="29" t="s">
        <v>368</v>
      </c>
      <c r="I32" s="28" t="str">
        <f>$C$10</f>
        <v>Foxboro Forever</v>
      </c>
      <c r="J32" s="135" t="s">
        <v>373</v>
      </c>
      <c r="K32" s="14"/>
      <c r="L32" s="14"/>
      <c r="M32" s="14"/>
      <c r="N32" s="14"/>
      <c r="O32" s="14"/>
      <c r="P32" s="14"/>
      <c r="Q32" s="45"/>
      <c r="R32" s="14"/>
      <c r="S32" s="14"/>
      <c r="T32" s="14"/>
      <c r="U32" s="14"/>
      <c r="V32" s="14"/>
      <c r="W32" s="14"/>
      <c r="X32" s="14"/>
      <c r="Y32" s="14"/>
      <c r="Z32" s="14"/>
    </row>
    <row r="33" spans="1:26" ht="15.75" customHeight="1">
      <c r="A33" s="14"/>
      <c r="B33" s="133"/>
      <c r="C33" s="33" t="str">
        <f>$C$12</f>
        <v>Pep's Band</v>
      </c>
      <c r="D33" s="33" t="s">
        <v>368</v>
      </c>
      <c r="E33" s="34" t="str">
        <f>$E$10</f>
        <v>K-Town Devils</v>
      </c>
      <c r="F33" s="15"/>
      <c r="G33" s="35" t="str">
        <f>$C$12</f>
        <v>Pep's Band</v>
      </c>
      <c r="H33" s="33" t="s">
        <v>368</v>
      </c>
      <c r="I33" s="32" t="str">
        <f>$E$10</f>
        <v>K-Town Devils</v>
      </c>
      <c r="J33" s="136"/>
      <c r="K33" s="14"/>
      <c r="L33" s="14"/>
      <c r="M33" s="14"/>
      <c r="N33" s="14"/>
      <c r="O33" s="14"/>
      <c r="P33" s="14"/>
      <c r="Q33" s="45"/>
      <c r="R33" s="14"/>
      <c r="S33" s="14"/>
      <c r="T33" s="14"/>
      <c r="U33" s="14"/>
      <c r="V33" s="14"/>
      <c r="W33" s="14"/>
      <c r="X33" s="14"/>
      <c r="Y33" s="14"/>
      <c r="Z33" s="14"/>
    </row>
    <row r="34" spans="1:26" ht="15.75" customHeight="1">
      <c r="A34" s="14"/>
      <c r="B34" s="133"/>
      <c r="C34" s="33" t="str">
        <f>$C$11</f>
        <v>Frankfurt Packers</v>
      </c>
      <c r="D34" s="33" t="s">
        <v>368</v>
      </c>
      <c r="E34" s="47" t="str">
        <f>$C$17</f>
        <v>Amity Island Sharks</v>
      </c>
      <c r="F34" s="15"/>
      <c r="G34" s="35" t="str">
        <f>$C$17</f>
        <v>Amity Island Sharks</v>
      </c>
      <c r="H34" s="33" t="s">
        <v>368</v>
      </c>
      <c r="I34" s="33" t="str">
        <f>$C$11</f>
        <v>Frankfurt Packers</v>
      </c>
      <c r="J34" s="136"/>
      <c r="K34" s="14"/>
      <c r="L34" s="14"/>
      <c r="M34" s="14"/>
      <c r="N34" s="14"/>
      <c r="O34" s="14"/>
      <c r="P34" s="14"/>
      <c r="Q34" s="45"/>
      <c r="R34" s="14"/>
      <c r="S34" s="14"/>
      <c r="T34" s="14"/>
      <c r="U34" s="14"/>
      <c r="V34" s="14"/>
      <c r="W34" s="14"/>
      <c r="X34" s="14"/>
      <c r="Y34" s="14"/>
      <c r="Z34" s="14"/>
    </row>
    <row r="35" spans="1:26" ht="15.75" customHeight="1">
      <c r="A35" s="14"/>
      <c r="B35" s="133"/>
      <c r="C35" s="32" t="str">
        <f>$C$13</f>
        <v>Bishop Sycamore</v>
      </c>
      <c r="D35" s="33" t="s">
        <v>368</v>
      </c>
      <c r="E35" s="47" t="str">
        <f>$E$14</f>
        <v>Bojangles Pornstars</v>
      </c>
      <c r="F35" s="15"/>
      <c r="G35" s="35" t="str">
        <f>$E$14</f>
        <v>Bojangles Pornstars</v>
      </c>
      <c r="H35" s="33" t="s">
        <v>368</v>
      </c>
      <c r="I35" s="33" t="str">
        <f>$C$13</f>
        <v>Bishop Sycamore</v>
      </c>
      <c r="J35" s="136"/>
      <c r="K35" s="14"/>
      <c r="L35" s="14"/>
      <c r="M35" s="14"/>
      <c r="N35" s="14"/>
      <c r="O35" s="14"/>
      <c r="P35" s="14"/>
      <c r="Q35" s="45"/>
      <c r="R35" s="14"/>
      <c r="S35" s="14"/>
      <c r="T35" s="14"/>
      <c r="U35" s="14"/>
      <c r="V35" s="14"/>
      <c r="W35" s="14"/>
      <c r="X35" s="14"/>
      <c r="Y35" s="14"/>
      <c r="Z35" s="14"/>
    </row>
    <row r="36" spans="1:26" ht="15.75" customHeight="1">
      <c r="A36" s="14"/>
      <c r="B36" s="133"/>
      <c r="C36" s="32" t="str">
        <f>$C$15</f>
        <v>Zeugen Ray Lewis</v>
      </c>
      <c r="D36" s="33" t="s">
        <v>368</v>
      </c>
      <c r="E36" s="47" t="str">
        <f>$E$13</f>
        <v>Broken Bembels ULB</v>
      </c>
      <c r="F36" s="15"/>
      <c r="G36" s="35" t="str">
        <f>$E$13</f>
        <v>Broken Bembels ULB</v>
      </c>
      <c r="H36" s="33" t="s">
        <v>368</v>
      </c>
      <c r="I36" s="33" t="str">
        <f>$C$15</f>
        <v>Zeugen Ray Lewis</v>
      </c>
      <c r="J36" s="136"/>
      <c r="K36" s="14"/>
      <c r="L36" s="14"/>
      <c r="M36" s="14"/>
      <c r="N36" s="14"/>
      <c r="O36" s="14"/>
      <c r="P36" s="14"/>
      <c r="Q36" s="45"/>
      <c r="R36" s="14"/>
      <c r="S36" s="14"/>
      <c r="T36" s="14"/>
      <c r="U36" s="14"/>
      <c r="V36" s="14"/>
      <c r="W36" s="14"/>
      <c r="X36" s="14"/>
      <c r="Y36" s="14"/>
      <c r="Z36" s="14"/>
    </row>
    <row r="37" spans="1:26" ht="15.75" customHeight="1">
      <c r="A37" s="14"/>
      <c r="B37" s="133"/>
      <c r="C37" s="32" t="str">
        <f>$C$14</f>
        <v>the Boys</v>
      </c>
      <c r="D37" s="33" t="s">
        <v>368</v>
      </c>
      <c r="E37" s="47" t="str">
        <f>$C$19</f>
        <v>E-Town Elephants</v>
      </c>
      <c r="F37" s="15"/>
      <c r="G37" s="35" t="str">
        <f>$C$19</f>
        <v>E-Town Elephants</v>
      </c>
      <c r="H37" s="33" t="s">
        <v>368</v>
      </c>
      <c r="I37" s="33" t="str">
        <f>$C$14</f>
        <v>the Boys</v>
      </c>
      <c r="J37" s="136"/>
      <c r="K37" s="14"/>
      <c r="L37" s="14"/>
      <c r="M37" s="14"/>
      <c r="N37" s="14"/>
      <c r="O37" s="14"/>
      <c r="P37" s="14"/>
      <c r="Q37" s="45"/>
      <c r="R37" s="14"/>
      <c r="S37" s="14"/>
      <c r="T37" s="14"/>
      <c r="U37" s="14"/>
      <c r="V37" s="14"/>
      <c r="W37" s="14"/>
      <c r="X37" s="14"/>
      <c r="Y37" s="14"/>
      <c r="Z37" s="14"/>
    </row>
    <row r="38" spans="1:26" ht="15.75" customHeight="1">
      <c r="A38" s="14"/>
      <c r="B38" s="133"/>
      <c r="C38" s="32" t="str">
        <f>$C$16</f>
        <v>Thunder Ducks</v>
      </c>
      <c r="D38" s="33" t="s">
        <v>368</v>
      </c>
      <c r="E38" s="47" t="str">
        <f>$E$17</f>
        <v>Randy Moss LoB Juenger</v>
      </c>
      <c r="F38" s="15"/>
      <c r="G38" s="35" t="str">
        <f>$E$17</f>
        <v>Randy Moss LoB Juenger</v>
      </c>
      <c r="H38" s="33" t="s">
        <v>368</v>
      </c>
      <c r="I38" s="32" t="str">
        <f>$C$16</f>
        <v>Thunder Ducks</v>
      </c>
      <c r="J38" s="136"/>
      <c r="K38" s="14"/>
      <c r="L38" s="14"/>
      <c r="M38" s="14"/>
      <c r="N38" s="14"/>
      <c r="O38" s="14"/>
      <c r="P38" s="14"/>
      <c r="Q38" s="45"/>
      <c r="R38" s="14"/>
      <c r="S38" s="14"/>
      <c r="T38" s="14"/>
      <c r="U38" s="14"/>
      <c r="V38" s="14"/>
      <c r="W38" s="14"/>
      <c r="X38" s="14"/>
      <c r="Y38" s="14"/>
      <c r="Z38" s="14"/>
    </row>
    <row r="39" spans="1:26" ht="15.75" customHeight="1">
      <c r="A39" s="14"/>
      <c r="B39" s="133"/>
      <c r="C39" s="32" t="str">
        <f>$E$12</f>
        <v>Fighting Farmers</v>
      </c>
      <c r="D39" s="33" t="s">
        <v>368</v>
      </c>
      <c r="E39" s="47" t="str">
        <f>$E$16</f>
        <v>BearD</v>
      </c>
      <c r="F39" s="15"/>
      <c r="G39" s="35" t="str">
        <f>$E$16</f>
        <v>BearD</v>
      </c>
      <c r="H39" s="33" t="s">
        <v>368</v>
      </c>
      <c r="I39" s="33" t="str">
        <f>$E$12</f>
        <v>Fighting Farmers</v>
      </c>
      <c r="J39" s="136"/>
      <c r="K39" s="14"/>
      <c r="L39" s="14"/>
      <c r="M39" s="14"/>
      <c r="N39" s="14"/>
      <c r="O39" s="14"/>
      <c r="P39" s="14"/>
      <c r="Q39" s="45"/>
      <c r="R39" s="14"/>
      <c r="S39" s="14"/>
      <c r="T39" s="14"/>
      <c r="U39" s="14"/>
      <c r="V39" s="14"/>
      <c r="W39" s="14"/>
      <c r="X39" s="14"/>
      <c r="Y39" s="14"/>
      <c r="Z39" s="14"/>
    </row>
    <row r="40" spans="1:26" ht="15.75" customHeight="1">
      <c r="A40" s="14"/>
      <c r="B40" s="133"/>
      <c r="C40" s="32" t="str">
        <f>$C$18</f>
        <v>The 49vengers</v>
      </c>
      <c r="D40" s="33" t="s">
        <v>368</v>
      </c>
      <c r="E40" s="47" t="str">
        <f>$E$19</f>
        <v>Steelersnation 7</v>
      </c>
      <c r="F40" s="15"/>
      <c r="G40" s="35" t="str">
        <f>$E$19</f>
        <v>Steelersnation 7</v>
      </c>
      <c r="H40" s="33" t="s">
        <v>368</v>
      </c>
      <c r="I40" s="33" t="str">
        <f>$C$18</f>
        <v>The 49vengers</v>
      </c>
      <c r="J40" s="136"/>
      <c r="K40" s="14"/>
      <c r="L40" s="14"/>
      <c r="M40" s="14"/>
      <c r="N40" s="14"/>
      <c r="O40" s="14"/>
      <c r="P40" s="14"/>
      <c r="Q40" s="45"/>
      <c r="R40" s="14"/>
      <c r="S40" s="14"/>
      <c r="T40" s="14"/>
      <c r="U40" s="14"/>
      <c r="V40" s="14"/>
      <c r="W40" s="14"/>
      <c r="X40" s="14"/>
      <c r="Y40" s="14"/>
      <c r="Z40" s="14"/>
    </row>
    <row r="41" spans="1:26" ht="15.75" customHeight="1">
      <c r="A41" s="14"/>
      <c r="B41" s="134"/>
      <c r="C41" s="36" t="str">
        <f>$E$15</f>
        <v>Brady Gaga</v>
      </c>
      <c r="D41" s="37" t="s">
        <v>368</v>
      </c>
      <c r="E41" s="49" t="str">
        <f>$E$18</f>
        <v>Johnny Manziel and Friends</v>
      </c>
      <c r="F41" s="15"/>
      <c r="G41" s="39" t="str">
        <f>$E$18</f>
        <v>Johnny Manziel and Friends</v>
      </c>
      <c r="H41" s="37" t="s">
        <v>368</v>
      </c>
      <c r="I41" s="37" t="str">
        <f>$E$15</f>
        <v>Brady Gaga</v>
      </c>
      <c r="J41" s="137"/>
      <c r="K41" s="14"/>
      <c r="L41" s="14"/>
      <c r="M41" s="14"/>
      <c r="N41" s="14"/>
      <c r="O41" s="14"/>
      <c r="P41" s="14"/>
      <c r="Q41" s="45"/>
      <c r="R41" s="14"/>
      <c r="S41" s="14"/>
      <c r="T41" s="14"/>
      <c r="U41" s="14"/>
      <c r="V41" s="14"/>
      <c r="W41" s="14"/>
      <c r="X41" s="14"/>
      <c r="Y41" s="14"/>
      <c r="Z41" s="14"/>
    </row>
    <row r="42" spans="1:26" ht="15.75" customHeight="1">
      <c r="A42" s="14"/>
      <c r="B42" s="14"/>
      <c r="C42" s="40"/>
      <c r="D42" s="15"/>
      <c r="E42" s="15"/>
      <c r="F42" s="15"/>
      <c r="G42" s="15"/>
      <c r="H42" s="15"/>
      <c r="I42" s="15"/>
      <c r="J42" s="41"/>
      <c r="K42" s="14"/>
      <c r="L42" s="14"/>
      <c r="M42" s="14"/>
      <c r="N42" s="14"/>
      <c r="O42" s="14"/>
      <c r="P42" s="14"/>
      <c r="Q42" s="45"/>
      <c r="R42" s="14"/>
      <c r="S42" s="14"/>
      <c r="T42" s="14"/>
      <c r="U42" s="14"/>
      <c r="V42" s="14"/>
      <c r="W42" s="14"/>
      <c r="X42" s="14"/>
      <c r="Y42" s="14"/>
      <c r="Z42" s="14"/>
    </row>
    <row r="43" spans="1:26" ht="15.75" customHeight="1">
      <c r="A43" s="14"/>
      <c r="B43" s="132" t="s">
        <v>374</v>
      </c>
      <c r="C43" s="28" t="str">
        <f>$C$10</f>
        <v>Foxboro Forever</v>
      </c>
      <c r="D43" s="29" t="s">
        <v>368</v>
      </c>
      <c r="E43" s="43" t="str">
        <f>$C$12</f>
        <v>Pep's Band</v>
      </c>
      <c r="F43" s="15"/>
      <c r="G43" s="44" t="str">
        <f>$C$12</f>
        <v>Pep's Band</v>
      </c>
      <c r="H43" s="29" t="s">
        <v>368</v>
      </c>
      <c r="I43" s="28" t="str">
        <f>$C$10</f>
        <v>Foxboro Forever</v>
      </c>
      <c r="J43" s="135" t="s">
        <v>375</v>
      </c>
      <c r="K43" s="14"/>
      <c r="L43" s="14"/>
      <c r="M43" s="14"/>
      <c r="N43" s="14"/>
      <c r="O43" s="14"/>
      <c r="P43" s="14"/>
      <c r="Q43" s="45"/>
      <c r="R43" s="14"/>
      <c r="S43" s="14"/>
      <c r="T43" s="14"/>
      <c r="U43" s="14"/>
      <c r="V43" s="14"/>
      <c r="W43" s="14"/>
      <c r="X43" s="14"/>
      <c r="Y43" s="14"/>
      <c r="Z43" s="14"/>
    </row>
    <row r="44" spans="1:26" ht="15.75" customHeight="1">
      <c r="A44" s="14"/>
      <c r="B44" s="133"/>
      <c r="C44" s="32" t="str">
        <f>$E$10</f>
        <v>K-Town Devils</v>
      </c>
      <c r="D44" s="33" t="s">
        <v>368</v>
      </c>
      <c r="E44" s="47" t="str">
        <f>$C$11</f>
        <v>Frankfurt Packers</v>
      </c>
      <c r="F44" s="15"/>
      <c r="G44" s="48" t="str">
        <f>$C$11</f>
        <v>Frankfurt Packers</v>
      </c>
      <c r="H44" s="33" t="s">
        <v>368</v>
      </c>
      <c r="I44" s="32" t="str">
        <f>$E$10</f>
        <v>K-Town Devils</v>
      </c>
      <c r="J44" s="136"/>
      <c r="K44" s="14"/>
      <c r="L44" s="14"/>
      <c r="M44" s="14"/>
      <c r="N44" s="14"/>
      <c r="O44" s="14"/>
      <c r="P44" s="14"/>
      <c r="Q44" s="45"/>
      <c r="R44" s="14"/>
      <c r="S44" s="14"/>
      <c r="T44" s="14"/>
      <c r="U44" s="14"/>
      <c r="V44" s="14"/>
      <c r="W44" s="14"/>
      <c r="X44" s="14"/>
      <c r="Y44" s="14"/>
      <c r="Z44" s="14"/>
    </row>
    <row r="45" spans="1:26" ht="15.75" customHeight="1">
      <c r="A45" s="14"/>
      <c r="B45" s="133"/>
      <c r="C45" s="32" t="str">
        <f>$E$11</f>
        <v>Wiesbaden Phantoms</v>
      </c>
      <c r="D45" s="33" t="s">
        <v>368</v>
      </c>
      <c r="E45" s="47" t="str">
        <f>$E$17</f>
        <v>Randy Moss LoB Juenger</v>
      </c>
      <c r="F45" s="15"/>
      <c r="G45" s="35" t="str">
        <f>$E$17</f>
        <v>Randy Moss LoB Juenger</v>
      </c>
      <c r="H45" s="33" t="s">
        <v>368</v>
      </c>
      <c r="I45" s="32" t="str">
        <f>$E$11</f>
        <v>Wiesbaden Phantoms</v>
      </c>
      <c r="J45" s="136"/>
      <c r="K45" s="14"/>
      <c r="L45" s="14"/>
      <c r="M45" s="14"/>
      <c r="N45" s="14"/>
      <c r="O45" s="14"/>
      <c r="P45" s="14"/>
      <c r="Q45" s="45"/>
      <c r="R45" s="14"/>
      <c r="S45" s="14"/>
      <c r="T45" s="14"/>
      <c r="U45" s="14"/>
      <c r="V45" s="14"/>
      <c r="W45" s="14"/>
      <c r="X45" s="14"/>
      <c r="Y45" s="14"/>
      <c r="Z45" s="14"/>
    </row>
    <row r="46" spans="1:26" ht="15.75" customHeight="1">
      <c r="A46" s="14"/>
      <c r="B46" s="133"/>
      <c r="C46" s="32" t="str">
        <f>$C$13</f>
        <v>Bishop Sycamore</v>
      </c>
      <c r="D46" s="33" t="s">
        <v>368</v>
      </c>
      <c r="E46" s="47" t="str">
        <f>$C$15</f>
        <v>Zeugen Ray Lewis</v>
      </c>
      <c r="F46" s="15"/>
      <c r="G46" s="35" t="str">
        <f>$C$15</f>
        <v>Zeugen Ray Lewis</v>
      </c>
      <c r="H46" s="33" t="s">
        <v>368</v>
      </c>
      <c r="I46" s="33" t="str">
        <f>$C$13</f>
        <v>Bishop Sycamore</v>
      </c>
      <c r="J46" s="136"/>
      <c r="K46" s="14"/>
      <c r="L46" s="14"/>
      <c r="M46" s="14"/>
      <c r="N46" s="14"/>
      <c r="O46" s="14"/>
      <c r="P46" s="14"/>
      <c r="Q46" s="45"/>
      <c r="R46" s="14"/>
      <c r="S46" s="14"/>
      <c r="T46" s="14"/>
      <c r="U46" s="14"/>
      <c r="V46" s="14"/>
      <c r="W46" s="14"/>
      <c r="X46" s="14"/>
      <c r="Y46" s="14"/>
      <c r="Z46" s="14"/>
    </row>
    <row r="47" spans="1:26" ht="15.75" customHeight="1">
      <c r="A47" s="14"/>
      <c r="B47" s="133"/>
      <c r="C47" s="32" t="str">
        <f>$E$13</f>
        <v>Broken Bembels ULB</v>
      </c>
      <c r="D47" s="33" t="s">
        <v>368</v>
      </c>
      <c r="E47" s="47" t="str">
        <f>$C$14</f>
        <v>the Boys</v>
      </c>
      <c r="F47" s="15"/>
      <c r="G47" s="35" t="str">
        <f>$C$14</f>
        <v>the Boys</v>
      </c>
      <c r="H47" s="33" t="s">
        <v>368</v>
      </c>
      <c r="I47" s="33" t="str">
        <f>$E$13</f>
        <v>Broken Bembels ULB</v>
      </c>
      <c r="J47" s="136"/>
      <c r="K47" s="14"/>
      <c r="L47" s="14"/>
      <c r="M47" s="14"/>
      <c r="N47" s="14"/>
      <c r="O47" s="14"/>
      <c r="P47" s="14"/>
      <c r="Q47" s="45"/>
      <c r="R47" s="14"/>
      <c r="S47" s="14"/>
      <c r="T47" s="14"/>
      <c r="U47" s="14"/>
      <c r="V47" s="14"/>
      <c r="W47" s="14"/>
      <c r="X47" s="14"/>
      <c r="Y47" s="14"/>
      <c r="Z47" s="14"/>
    </row>
    <row r="48" spans="1:26" ht="15.75" customHeight="1">
      <c r="A48" s="14"/>
      <c r="B48" s="133"/>
      <c r="C48" s="32" t="str">
        <f>$E$14</f>
        <v>Bojangles Pornstars</v>
      </c>
      <c r="D48" s="33" t="s">
        <v>368</v>
      </c>
      <c r="E48" s="47" t="str">
        <f>$E$19</f>
        <v>Steelersnation 7</v>
      </c>
      <c r="F48" s="15"/>
      <c r="G48" s="35" t="str">
        <f>$E$19</f>
        <v>Steelersnation 7</v>
      </c>
      <c r="H48" s="33" t="s">
        <v>368</v>
      </c>
      <c r="I48" s="33" t="str">
        <f>$E$14</f>
        <v>Bojangles Pornstars</v>
      </c>
      <c r="J48" s="136"/>
      <c r="K48" s="14"/>
      <c r="L48" s="14"/>
      <c r="M48" s="14"/>
      <c r="N48" s="14"/>
      <c r="O48" s="14"/>
      <c r="P48" s="14"/>
      <c r="Q48" s="45"/>
      <c r="R48" s="14"/>
      <c r="S48" s="14"/>
      <c r="T48" s="14"/>
      <c r="U48" s="14"/>
      <c r="V48" s="14"/>
      <c r="W48" s="14"/>
      <c r="X48" s="14"/>
      <c r="Y48" s="14"/>
      <c r="Z48" s="14"/>
    </row>
    <row r="49" spans="1:26" ht="15.75" customHeight="1">
      <c r="A49" s="14"/>
      <c r="B49" s="133"/>
      <c r="C49" s="32" t="str">
        <f>$C$16</f>
        <v>Thunder Ducks</v>
      </c>
      <c r="D49" s="33" t="s">
        <v>368</v>
      </c>
      <c r="E49" s="47" t="str">
        <f>$E$12</f>
        <v>Fighting Farmers</v>
      </c>
      <c r="F49" s="15"/>
      <c r="G49" s="35" t="str">
        <f>$E$12</f>
        <v>Fighting Farmers</v>
      </c>
      <c r="H49" s="33" t="s">
        <v>368</v>
      </c>
      <c r="I49" s="33" t="str">
        <f>C16</f>
        <v>Thunder Ducks</v>
      </c>
      <c r="J49" s="136"/>
      <c r="K49" s="14"/>
      <c r="L49" s="14"/>
      <c r="M49" s="14"/>
      <c r="N49" s="14"/>
      <c r="O49" s="14"/>
      <c r="P49" s="14"/>
      <c r="Q49" s="45"/>
      <c r="R49" s="14"/>
      <c r="S49" s="14"/>
      <c r="T49" s="14"/>
      <c r="U49" s="14"/>
      <c r="V49" s="14"/>
      <c r="W49" s="14"/>
      <c r="X49" s="14"/>
      <c r="Y49" s="14"/>
      <c r="Z49" s="14"/>
    </row>
    <row r="50" spans="1:26" ht="15.75" customHeight="1">
      <c r="A50" s="14"/>
      <c r="B50" s="133"/>
      <c r="C50" s="32" t="str">
        <f>$E$16</f>
        <v>BearD</v>
      </c>
      <c r="D50" s="33" t="s">
        <v>368</v>
      </c>
      <c r="E50" s="47" t="str">
        <f>$C$17</f>
        <v>Amity Island Sharks</v>
      </c>
      <c r="F50" s="15"/>
      <c r="G50" s="35" t="str">
        <f>$C$17</f>
        <v>Amity Island Sharks</v>
      </c>
      <c r="H50" s="33" t="s">
        <v>368</v>
      </c>
      <c r="I50" s="33" t="str">
        <f>$E$16</f>
        <v>BearD</v>
      </c>
      <c r="J50" s="136"/>
      <c r="K50" s="14"/>
      <c r="L50" s="14"/>
      <c r="M50" s="14"/>
      <c r="N50" s="14"/>
      <c r="O50" s="14"/>
      <c r="P50" s="14"/>
      <c r="Q50" s="45"/>
      <c r="R50" s="14"/>
      <c r="S50" s="14"/>
      <c r="T50" s="14"/>
      <c r="U50" s="14"/>
      <c r="V50" s="14"/>
      <c r="W50" s="14"/>
      <c r="X50" s="14"/>
      <c r="Y50" s="14"/>
      <c r="Z50" s="14"/>
    </row>
    <row r="51" spans="1:26" ht="15.75" customHeight="1">
      <c r="A51" s="14"/>
      <c r="B51" s="133"/>
      <c r="C51" s="32" t="str">
        <f>$C$18</f>
        <v>The 49vengers</v>
      </c>
      <c r="D51" s="33" t="s">
        <v>368</v>
      </c>
      <c r="E51" s="47" t="str">
        <f>$E$15</f>
        <v>Brady Gaga</v>
      </c>
      <c r="F51" s="15"/>
      <c r="G51" s="35" t="str">
        <f>$E$15</f>
        <v>Brady Gaga</v>
      </c>
      <c r="H51" s="33" t="s">
        <v>368</v>
      </c>
      <c r="I51" s="33" t="str">
        <f>$C$18</f>
        <v>The 49vengers</v>
      </c>
      <c r="J51" s="136"/>
      <c r="K51" s="14"/>
      <c r="L51" s="14"/>
      <c r="M51" s="14"/>
      <c r="N51" s="14"/>
      <c r="O51" s="14"/>
      <c r="P51" s="14"/>
      <c r="Q51" s="45"/>
      <c r="R51" s="14"/>
      <c r="S51" s="14"/>
      <c r="T51" s="14"/>
      <c r="U51" s="14"/>
      <c r="V51" s="14"/>
      <c r="W51" s="14"/>
      <c r="X51" s="14"/>
      <c r="Y51" s="14"/>
      <c r="Z51" s="14"/>
    </row>
    <row r="52" spans="1:26" ht="15.75" customHeight="1">
      <c r="A52" s="14"/>
      <c r="B52" s="134"/>
      <c r="C52" s="36" t="str">
        <f>$E$18</f>
        <v>Johnny Manziel and Friends</v>
      </c>
      <c r="D52" s="37" t="s">
        <v>368</v>
      </c>
      <c r="E52" s="49" t="str">
        <f>$C$19</f>
        <v>E-Town Elephants</v>
      </c>
      <c r="F52" s="15"/>
      <c r="G52" s="39" t="str">
        <f>$C$19</f>
        <v>E-Town Elephants</v>
      </c>
      <c r="H52" s="37" t="s">
        <v>368</v>
      </c>
      <c r="I52" s="37" t="str">
        <f>$E$18</f>
        <v>Johnny Manziel and Friends</v>
      </c>
      <c r="J52" s="137"/>
      <c r="K52" s="14"/>
      <c r="L52" s="14"/>
      <c r="M52" s="14"/>
      <c r="N52" s="14"/>
      <c r="O52" s="14"/>
      <c r="P52" s="14"/>
      <c r="Q52" s="45"/>
      <c r="R52" s="14"/>
      <c r="S52" s="14"/>
      <c r="T52" s="14"/>
      <c r="U52" s="14"/>
      <c r="V52" s="14"/>
      <c r="W52" s="14"/>
      <c r="X52" s="14"/>
      <c r="Y52" s="14"/>
      <c r="Z52" s="14"/>
    </row>
    <row r="53" spans="1:26" ht="15.75" customHeight="1">
      <c r="A53" s="14"/>
      <c r="B53" s="14"/>
      <c r="C53" s="40"/>
      <c r="D53" s="15"/>
      <c r="E53" s="15"/>
      <c r="F53" s="15"/>
      <c r="G53" s="15"/>
      <c r="H53" s="15"/>
      <c r="I53" s="15"/>
      <c r="J53" s="41"/>
      <c r="K53" s="14"/>
      <c r="L53" s="14"/>
      <c r="M53" s="14"/>
      <c r="N53" s="14"/>
      <c r="O53" s="14"/>
      <c r="P53" s="14"/>
      <c r="Q53" s="45"/>
      <c r="R53" s="14"/>
      <c r="S53" s="14"/>
      <c r="T53" s="14"/>
      <c r="U53" s="14"/>
      <c r="V53" s="14"/>
      <c r="W53" s="14"/>
      <c r="X53" s="14"/>
      <c r="Y53" s="14"/>
      <c r="Z53" s="14"/>
    </row>
    <row r="54" spans="1:26" ht="15.75" customHeight="1">
      <c r="A54" s="14"/>
      <c r="B54" s="132" t="s">
        <v>376</v>
      </c>
      <c r="C54" s="29" t="str">
        <f>$C$11</f>
        <v>Frankfurt Packers</v>
      </c>
      <c r="D54" s="29" t="s">
        <v>368</v>
      </c>
      <c r="E54" s="43" t="str">
        <f>$C$12</f>
        <v>Pep's Band</v>
      </c>
      <c r="F54" s="15"/>
      <c r="G54" s="44" t="str">
        <f>$C$12</f>
        <v>Pep's Band</v>
      </c>
      <c r="H54" s="29" t="s">
        <v>368</v>
      </c>
      <c r="I54" s="29" t="str">
        <f>$C$11</f>
        <v>Frankfurt Packers</v>
      </c>
      <c r="J54" s="135" t="s">
        <v>377</v>
      </c>
      <c r="K54" s="14"/>
      <c r="L54" s="14"/>
      <c r="M54" s="14"/>
      <c r="N54" s="14"/>
      <c r="O54" s="14"/>
      <c r="P54" s="14"/>
      <c r="Q54" s="45"/>
      <c r="R54" s="14"/>
      <c r="S54" s="14"/>
      <c r="T54" s="14"/>
      <c r="U54" s="14"/>
      <c r="V54" s="14"/>
      <c r="W54" s="14"/>
      <c r="X54" s="14"/>
      <c r="Y54" s="14"/>
      <c r="Z54" s="14"/>
    </row>
    <row r="55" spans="1:26" ht="15.75" customHeight="1">
      <c r="A55" s="14"/>
      <c r="B55" s="133"/>
      <c r="C55" s="32" t="str">
        <f>$E$10</f>
        <v>K-Town Devils</v>
      </c>
      <c r="D55" s="33" t="s">
        <v>368</v>
      </c>
      <c r="E55" s="34" t="str">
        <f>$E$11</f>
        <v>Wiesbaden Phantoms</v>
      </c>
      <c r="F55" s="15"/>
      <c r="G55" s="35" t="str">
        <f>$E$11</f>
        <v>Wiesbaden Phantoms</v>
      </c>
      <c r="H55" s="33" t="s">
        <v>368</v>
      </c>
      <c r="I55" s="32" t="str">
        <f>$E$10</f>
        <v>K-Town Devils</v>
      </c>
      <c r="J55" s="136"/>
      <c r="K55" s="14"/>
      <c r="L55" s="14"/>
      <c r="M55" s="14"/>
      <c r="N55" s="14"/>
      <c r="O55" s="14"/>
      <c r="P55" s="14"/>
      <c r="Q55" s="45"/>
      <c r="R55" s="14"/>
      <c r="S55" s="14"/>
      <c r="T55" s="14"/>
      <c r="U55" s="14"/>
      <c r="V55" s="14"/>
      <c r="W55" s="14"/>
      <c r="X55" s="14"/>
      <c r="Y55" s="14"/>
      <c r="Z55" s="14"/>
    </row>
    <row r="56" spans="1:26" ht="15.75" customHeight="1">
      <c r="A56" s="14"/>
      <c r="B56" s="133"/>
      <c r="C56" s="32" t="str">
        <f>$C$10</f>
        <v>Foxboro Forever</v>
      </c>
      <c r="D56" s="33" t="s">
        <v>368</v>
      </c>
      <c r="E56" s="47" t="str">
        <f>C16</f>
        <v>Thunder Ducks</v>
      </c>
      <c r="F56" s="15"/>
      <c r="G56" s="35" t="str">
        <f>$C$16</f>
        <v>Thunder Ducks</v>
      </c>
      <c r="H56" s="33" t="s">
        <v>368</v>
      </c>
      <c r="I56" s="32" t="str">
        <f>$C$10</f>
        <v>Foxboro Forever</v>
      </c>
      <c r="J56" s="136"/>
      <c r="K56" s="14"/>
      <c r="L56" s="14"/>
      <c r="M56" s="14"/>
      <c r="N56" s="14"/>
      <c r="O56" s="14"/>
      <c r="P56" s="14"/>
      <c r="Q56" s="45"/>
      <c r="R56" s="14"/>
      <c r="S56" s="14"/>
      <c r="T56" s="14"/>
      <c r="U56" s="14"/>
      <c r="V56" s="14"/>
      <c r="W56" s="14"/>
      <c r="X56" s="14"/>
      <c r="Y56" s="14"/>
      <c r="Z56" s="14"/>
    </row>
    <row r="57" spans="1:26" ht="15.75" customHeight="1">
      <c r="A57" s="14"/>
      <c r="B57" s="133"/>
      <c r="C57" s="32" t="str">
        <f>$C$14</f>
        <v>the Boys</v>
      </c>
      <c r="D57" s="33" t="s">
        <v>368</v>
      </c>
      <c r="E57" s="47" t="str">
        <f>$C$15</f>
        <v>Zeugen Ray Lewis</v>
      </c>
      <c r="F57" s="15"/>
      <c r="G57" s="35" t="str">
        <f>$C$15</f>
        <v>Zeugen Ray Lewis</v>
      </c>
      <c r="H57" s="33" t="s">
        <v>368</v>
      </c>
      <c r="I57" s="33" t="str">
        <f>$C$14</f>
        <v>the Boys</v>
      </c>
      <c r="J57" s="136"/>
      <c r="K57" s="14"/>
      <c r="L57" s="14"/>
      <c r="M57" s="14"/>
      <c r="N57" s="14"/>
      <c r="O57" s="14"/>
      <c r="P57" s="14"/>
      <c r="Q57" s="45"/>
      <c r="R57" s="14"/>
      <c r="S57" s="14"/>
      <c r="T57" s="14"/>
      <c r="U57" s="14"/>
      <c r="V57" s="14"/>
      <c r="W57" s="14"/>
      <c r="X57" s="14"/>
      <c r="Y57" s="14"/>
      <c r="Z57" s="14"/>
    </row>
    <row r="58" spans="1:26" ht="15.75" customHeight="1">
      <c r="A58" s="14"/>
      <c r="B58" s="133"/>
      <c r="C58" s="32" t="str">
        <f>$E$13</f>
        <v>Broken Bembels ULB</v>
      </c>
      <c r="D58" s="33" t="s">
        <v>368</v>
      </c>
      <c r="E58" s="47" t="str">
        <f>$E$14</f>
        <v>Bojangles Pornstars</v>
      </c>
      <c r="F58" s="15"/>
      <c r="G58" s="35" t="str">
        <f>$E$14</f>
        <v>Bojangles Pornstars</v>
      </c>
      <c r="H58" s="33" t="s">
        <v>368</v>
      </c>
      <c r="I58" s="33" t="str">
        <f>$E$13</f>
        <v>Broken Bembels ULB</v>
      </c>
      <c r="J58" s="136"/>
      <c r="K58" s="14"/>
      <c r="L58" s="14"/>
      <c r="M58" s="14"/>
      <c r="N58" s="14"/>
      <c r="O58" s="14"/>
      <c r="P58" s="14"/>
      <c r="Q58" s="45"/>
      <c r="R58" s="14"/>
      <c r="S58" s="14"/>
      <c r="T58" s="14"/>
      <c r="U58" s="14"/>
      <c r="V58" s="14"/>
      <c r="W58" s="14"/>
      <c r="X58" s="14"/>
      <c r="Y58" s="14"/>
      <c r="Z58" s="14"/>
    </row>
    <row r="59" spans="1:26" ht="15.75" customHeight="1">
      <c r="A59" s="14"/>
      <c r="B59" s="133"/>
      <c r="C59" s="32" t="str">
        <f>$C$13</f>
        <v>Bishop Sycamore</v>
      </c>
      <c r="D59" s="33" t="s">
        <v>368</v>
      </c>
      <c r="E59" s="47" t="str">
        <f>$C$18</f>
        <v>The 49vengers</v>
      </c>
      <c r="F59" s="15"/>
      <c r="G59" s="35" t="str">
        <f>$C$18</f>
        <v>The 49vengers</v>
      </c>
      <c r="H59" s="33" t="s">
        <v>368</v>
      </c>
      <c r="I59" s="33" t="str">
        <f>$C$13</f>
        <v>Bishop Sycamore</v>
      </c>
      <c r="J59" s="136"/>
      <c r="K59" s="14"/>
      <c r="L59" s="14"/>
      <c r="M59" s="14"/>
      <c r="N59" s="14"/>
      <c r="O59" s="14"/>
      <c r="P59" s="14"/>
      <c r="Q59" s="45"/>
      <c r="R59" s="14"/>
      <c r="S59" s="14"/>
      <c r="T59" s="14"/>
      <c r="U59" s="14"/>
      <c r="V59" s="14"/>
      <c r="W59" s="14"/>
      <c r="X59" s="14"/>
      <c r="Y59" s="14"/>
      <c r="Z59" s="14"/>
    </row>
    <row r="60" spans="1:26" ht="15.75" customHeight="1">
      <c r="A60" s="14"/>
      <c r="B60" s="133"/>
      <c r="C60" s="32" t="str">
        <f>$C$17</f>
        <v>Amity Island Sharks</v>
      </c>
      <c r="D60" s="33" t="s">
        <v>368</v>
      </c>
      <c r="E60" s="47" t="str">
        <f>$E$12</f>
        <v>Fighting Farmers</v>
      </c>
      <c r="F60" s="15"/>
      <c r="G60" s="35" t="str">
        <f>$E$12</f>
        <v>Fighting Farmers</v>
      </c>
      <c r="H60" s="33" t="s">
        <v>368</v>
      </c>
      <c r="I60" s="33" t="str">
        <f>$C$17</f>
        <v>Amity Island Sharks</v>
      </c>
      <c r="J60" s="136"/>
      <c r="K60" s="14"/>
      <c r="L60" s="14"/>
      <c r="M60" s="14"/>
      <c r="N60" s="14"/>
      <c r="O60" s="14"/>
      <c r="P60" s="14"/>
      <c r="Q60" s="45"/>
      <c r="R60" s="14"/>
      <c r="S60" s="14"/>
      <c r="T60" s="14"/>
      <c r="U60" s="14"/>
      <c r="V60" s="14"/>
      <c r="W60" s="14"/>
      <c r="X60" s="14"/>
      <c r="Y60" s="14"/>
      <c r="Z60" s="14"/>
    </row>
    <row r="61" spans="1:26" ht="15.75" customHeight="1">
      <c r="A61" s="14"/>
      <c r="B61" s="133"/>
      <c r="C61" s="32" t="str">
        <f>$E$17</f>
        <v>Randy Moss LoB Juenger</v>
      </c>
      <c r="D61" s="33" t="s">
        <v>368</v>
      </c>
      <c r="E61" s="47" t="str">
        <f>$E$16</f>
        <v>BearD</v>
      </c>
      <c r="F61" s="15"/>
      <c r="G61" s="35" t="str">
        <f>$E$17</f>
        <v>Randy Moss LoB Juenger</v>
      </c>
      <c r="H61" s="33" t="s">
        <v>368</v>
      </c>
      <c r="I61" s="33" t="str">
        <f>$E$16</f>
        <v>BearD</v>
      </c>
      <c r="J61" s="136"/>
      <c r="K61" s="14"/>
      <c r="L61" s="14"/>
      <c r="M61" s="14"/>
      <c r="N61" s="14"/>
      <c r="O61" s="14"/>
      <c r="P61" s="14"/>
      <c r="Q61" s="45"/>
      <c r="R61" s="14"/>
      <c r="S61" s="14"/>
      <c r="T61" s="14"/>
      <c r="U61" s="14"/>
      <c r="V61" s="14"/>
      <c r="W61" s="14"/>
      <c r="X61" s="14"/>
      <c r="Y61" s="14"/>
      <c r="Z61" s="14"/>
    </row>
    <row r="62" spans="1:26" ht="15.75" customHeight="1">
      <c r="A62" s="14"/>
      <c r="B62" s="133"/>
      <c r="C62" s="32" t="str">
        <f>$C$19</f>
        <v>E-Town Elephants</v>
      </c>
      <c r="D62" s="33" t="s">
        <v>368</v>
      </c>
      <c r="E62" s="47" t="str">
        <f>$E$15</f>
        <v>Brady Gaga</v>
      </c>
      <c r="F62" s="15"/>
      <c r="G62" s="35" t="str">
        <f>$E$15</f>
        <v>Brady Gaga</v>
      </c>
      <c r="H62" s="33" t="s">
        <v>368</v>
      </c>
      <c r="I62" s="33" t="str">
        <f>$C$19</f>
        <v>E-Town Elephants</v>
      </c>
      <c r="J62" s="136"/>
      <c r="K62" s="14"/>
      <c r="L62" s="14"/>
      <c r="M62" s="14"/>
      <c r="N62" s="14"/>
      <c r="O62" s="14"/>
      <c r="P62" s="14"/>
      <c r="Q62" s="45"/>
      <c r="R62" s="14"/>
      <c r="S62" s="14"/>
      <c r="T62" s="14"/>
      <c r="U62" s="14"/>
      <c r="V62" s="14"/>
      <c r="W62" s="14"/>
      <c r="X62" s="14"/>
      <c r="Y62" s="14"/>
      <c r="Z62" s="14"/>
    </row>
    <row r="63" spans="1:26" ht="15.75" customHeight="1">
      <c r="A63" s="14"/>
      <c r="B63" s="134"/>
      <c r="C63" s="36" t="str">
        <f>$E$19</f>
        <v>Steelersnation 7</v>
      </c>
      <c r="D63" s="37" t="s">
        <v>368</v>
      </c>
      <c r="E63" s="49" t="str">
        <f>$E$18</f>
        <v>Johnny Manziel and Friends</v>
      </c>
      <c r="F63" s="15"/>
      <c r="G63" s="39" t="str">
        <f>$E$19</f>
        <v>Steelersnation 7</v>
      </c>
      <c r="H63" s="37" t="s">
        <v>368</v>
      </c>
      <c r="I63" s="37" t="str">
        <f>$E$18</f>
        <v>Johnny Manziel and Friends</v>
      </c>
      <c r="J63" s="137"/>
      <c r="K63" s="14"/>
      <c r="L63" s="14"/>
      <c r="M63" s="14"/>
      <c r="N63" s="14"/>
      <c r="O63" s="14"/>
      <c r="P63" s="14"/>
      <c r="Q63" s="45"/>
      <c r="R63" s="14"/>
      <c r="S63" s="14"/>
      <c r="T63" s="14"/>
      <c r="U63" s="14"/>
      <c r="V63" s="14"/>
      <c r="W63" s="14"/>
      <c r="X63" s="14"/>
      <c r="Y63" s="14"/>
      <c r="Z63" s="14"/>
    </row>
    <row r="64" spans="1:26" ht="15.75" customHeight="1">
      <c r="A64" s="14"/>
      <c r="B64" s="14"/>
      <c r="C64" s="40"/>
      <c r="D64" s="15"/>
      <c r="E64" s="15"/>
      <c r="F64" s="15"/>
      <c r="G64" s="15"/>
      <c r="H64" s="15"/>
      <c r="I64" s="15"/>
      <c r="J64" s="41"/>
      <c r="K64" s="14"/>
      <c r="L64" s="14"/>
      <c r="M64" s="14"/>
      <c r="N64" s="14"/>
      <c r="O64" s="14"/>
      <c r="P64" s="14"/>
      <c r="Q64" s="45"/>
      <c r="R64" s="14"/>
      <c r="S64" s="14"/>
      <c r="T64" s="14"/>
      <c r="U64" s="14"/>
      <c r="V64" s="14"/>
      <c r="W64" s="14"/>
      <c r="X64" s="14"/>
      <c r="Y64" s="14"/>
      <c r="Z64" s="14"/>
    </row>
    <row r="65" spans="1:26" ht="15.75" customHeight="1">
      <c r="A65" s="14"/>
      <c r="B65" s="132" t="s">
        <v>378</v>
      </c>
      <c r="C65" s="28" t="str">
        <f>$C$10</f>
        <v>Foxboro Forever</v>
      </c>
      <c r="D65" s="29" t="s">
        <v>368</v>
      </c>
      <c r="E65" s="43" t="str">
        <f>$C$13</f>
        <v>Bishop Sycamore</v>
      </c>
      <c r="F65" s="15"/>
      <c r="G65" s="31" t="str">
        <f>$C$13</f>
        <v>Bishop Sycamore</v>
      </c>
      <c r="H65" s="29" t="s">
        <v>368</v>
      </c>
      <c r="I65" s="28" t="str">
        <f>$C$10</f>
        <v>Foxboro Forever</v>
      </c>
      <c r="J65" s="135" t="s">
        <v>379</v>
      </c>
      <c r="K65" s="14"/>
      <c r="L65" s="14"/>
      <c r="M65" s="14"/>
      <c r="N65" s="14"/>
      <c r="O65" s="14"/>
      <c r="P65" s="14"/>
      <c r="Q65" s="45"/>
      <c r="R65" s="14"/>
      <c r="S65" s="14"/>
      <c r="T65" s="14"/>
      <c r="U65" s="14"/>
      <c r="V65" s="14"/>
      <c r="W65" s="14"/>
      <c r="X65" s="14"/>
      <c r="Y65" s="14"/>
      <c r="Z65" s="14"/>
    </row>
    <row r="66" spans="1:26" ht="15.75" customHeight="1">
      <c r="A66" s="14"/>
      <c r="B66" s="133"/>
      <c r="C66" s="32" t="str">
        <f>$E$10</f>
        <v>K-Town Devils</v>
      </c>
      <c r="D66" s="33" t="s">
        <v>368</v>
      </c>
      <c r="E66" s="47" t="str">
        <f>$E$13</f>
        <v>Broken Bembels ULB</v>
      </c>
      <c r="F66" s="15"/>
      <c r="G66" s="35" t="str">
        <f>$E$13</f>
        <v>Broken Bembels ULB</v>
      </c>
      <c r="H66" s="33" t="s">
        <v>368</v>
      </c>
      <c r="I66" s="32" t="str">
        <f>$E$10</f>
        <v>K-Town Devils</v>
      </c>
      <c r="J66" s="136"/>
      <c r="K66" s="14"/>
      <c r="L66" s="14"/>
      <c r="M66" s="14"/>
      <c r="N66" s="14"/>
      <c r="O66" s="14"/>
      <c r="P66" s="14"/>
      <c r="Q66" s="45"/>
      <c r="R66" s="14"/>
      <c r="S66" s="14"/>
      <c r="T66" s="14"/>
      <c r="U66" s="14"/>
      <c r="V66" s="14"/>
      <c r="W66" s="14"/>
      <c r="X66" s="14"/>
      <c r="Y66" s="14"/>
      <c r="Z66" s="14"/>
    </row>
    <row r="67" spans="1:26" ht="15.75" customHeight="1">
      <c r="A67" s="14"/>
      <c r="B67" s="133"/>
      <c r="C67" s="33" t="str">
        <f>$C$11</f>
        <v>Frankfurt Packers</v>
      </c>
      <c r="D67" s="33" t="s">
        <v>368</v>
      </c>
      <c r="E67" s="47" t="str">
        <f>$C$14</f>
        <v>the Boys</v>
      </c>
      <c r="F67" s="15"/>
      <c r="G67" s="35" t="str">
        <f>$C$14</f>
        <v>the Boys</v>
      </c>
      <c r="H67" s="33" t="s">
        <v>368</v>
      </c>
      <c r="I67" s="33" t="str">
        <f>$C$11</f>
        <v>Frankfurt Packers</v>
      </c>
      <c r="J67" s="136"/>
      <c r="K67" s="14"/>
      <c r="L67" s="14"/>
      <c r="M67" s="14"/>
      <c r="N67" s="14"/>
      <c r="O67" s="14"/>
      <c r="P67" s="14"/>
      <c r="Q67" s="45"/>
      <c r="R67" s="14"/>
      <c r="S67" s="14"/>
      <c r="T67" s="14"/>
      <c r="U67" s="14"/>
      <c r="V67" s="14"/>
      <c r="W67" s="14"/>
      <c r="X67" s="14"/>
      <c r="Y67" s="14"/>
      <c r="Z67" s="14"/>
    </row>
    <row r="68" spans="1:26" ht="15.75" customHeight="1">
      <c r="A68" s="14"/>
      <c r="B68" s="133"/>
      <c r="C68" s="32" t="str">
        <f>$E$11</f>
        <v>Wiesbaden Phantoms</v>
      </c>
      <c r="D68" s="33" t="s">
        <v>368</v>
      </c>
      <c r="E68" s="47" t="str">
        <f>$E$14</f>
        <v>Bojangles Pornstars</v>
      </c>
      <c r="F68" s="15"/>
      <c r="G68" s="35" t="str">
        <f>$E$14</f>
        <v>Bojangles Pornstars</v>
      </c>
      <c r="H68" s="33" t="s">
        <v>368</v>
      </c>
      <c r="I68" s="32" t="str">
        <f>$E$11</f>
        <v>Wiesbaden Phantoms</v>
      </c>
      <c r="J68" s="136"/>
      <c r="K68" s="14"/>
      <c r="L68" s="14"/>
      <c r="M68" s="14"/>
      <c r="N68" s="14"/>
      <c r="O68" s="14"/>
      <c r="P68" s="14"/>
      <c r="Q68" s="45"/>
      <c r="R68" s="14"/>
      <c r="S68" s="14"/>
      <c r="T68" s="14"/>
      <c r="U68" s="14"/>
      <c r="V68" s="14"/>
      <c r="W68" s="14"/>
      <c r="X68" s="14"/>
      <c r="Y68" s="14"/>
      <c r="Z68" s="14"/>
    </row>
    <row r="69" spans="1:26" ht="15.75" customHeight="1">
      <c r="A69" s="14"/>
      <c r="B69" s="133"/>
      <c r="C69" s="33" t="str">
        <f>$C$12</f>
        <v>Pep's Band</v>
      </c>
      <c r="D69" s="33" t="s">
        <v>368</v>
      </c>
      <c r="E69" s="47" t="str">
        <f>$C$15</f>
        <v>Zeugen Ray Lewis</v>
      </c>
      <c r="F69" s="15"/>
      <c r="G69" s="35" t="str">
        <f>$C$15</f>
        <v>Zeugen Ray Lewis</v>
      </c>
      <c r="H69" s="33" t="s">
        <v>368</v>
      </c>
      <c r="I69" s="33" t="str">
        <f>$C$12</f>
        <v>Pep's Band</v>
      </c>
      <c r="J69" s="136"/>
      <c r="K69" s="14"/>
      <c r="L69" s="14"/>
      <c r="M69" s="14"/>
      <c r="N69" s="14"/>
      <c r="O69" s="14"/>
      <c r="P69" s="14"/>
      <c r="Q69" s="45"/>
      <c r="R69" s="14"/>
      <c r="S69" s="14"/>
      <c r="T69" s="14"/>
      <c r="U69" s="14"/>
      <c r="V69" s="14"/>
      <c r="W69" s="14"/>
      <c r="X69" s="14"/>
      <c r="Y69" s="14"/>
      <c r="Z69" s="14"/>
    </row>
    <row r="70" spans="1:26" ht="15.75" customHeight="1">
      <c r="A70" s="14"/>
      <c r="B70" s="133"/>
      <c r="C70" s="32" t="str">
        <f>$C$16</f>
        <v>Thunder Ducks</v>
      </c>
      <c r="D70" s="33" t="s">
        <v>368</v>
      </c>
      <c r="E70" s="47" t="str">
        <f>$C$18</f>
        <v>The 49vengers</v>
      </c>
      <c r="F70" s="15"/>
      <c r="G70" s="35" t="str">
        <f>$C$18</f>
        <v>The 49vengers</v>
      </c>
      <c r="H70" s="33" t="s">
        <v>368</v>
      </c>
      <c r="I70" s="32" t="str">
        <f>$C$16</f>
        <v>Thunder Ducks</v>
      </c>
      <c r="J70" s="136"/>
      <c r="K70" s="14"/>
      <c r="L70" s="14"/>
      <c r="M70" s="14"/>
      <c r="N70" s="14"/>
      <c r="O70" s="14"/>
      <c r="P70" s="14"/>
      <c r="Q70" s="45"/>
      <c r="R70" s="14"/>
      <c r="S70" s="14"/>
      <c r="T70" s="14"/>
      <c r="U70" s="14"/>
      <c r="V70" s="14"/>
      <c r="W70" s="14"/>
      <c r="X70" s="14"/>
      <c r="Y70" s="14"/>
      <c r="Z70" s="14"/>
    </row>
    <row r="71" spans="1:26" ht="15.75" customHeight="1">
      <c r="A71" s="14"/>
      <c r="B71" s="133"/>
      <c r="C71" s="32" t="str">
        <f>$E$16</f>
        <v>BearD</v>
      </c>
      <c r="D71" s="33" t="s">
        <v>368</v>
      </c>
      <c r="E71" s="47" t="str">
        <f>$E$18</f>
        <v>Johnny Manziel and Friends</v>
      </c>
      <c r="F71" s="15"/>
      <c r="G71" s="35" t="str">
        <f>$E$18</f>
        <v>Johnny Manziel and Friends</v>
      </c>
      <c r="H71" s="33" t="s">
        <v>368</v>
      </c>
      <c r="I71" s="33" t="str">
        <f>$E$16</f>
        <v>BearD</v>
      </c>
      <c r="J71" s="136"/>
      <c r="K71" s="14"/>
      <c r="L71" s="14"/>
      <c r="M71" s="14"/>
      <c r="N71" s="14"/>
      <c r="O71" s="14"/>
      <c r="P71" s="14"/>
      <c r="Q71" s="45"/>
      <c r="R71" s="14"/>
      <c r="S71" s="14"/>
      <c r="T71" s="14"/>
      <c r="U71" s="14"/>
      <c r="V71" s="14"/>
      <c r="W71" s="14"/>
      <c r="X71" s="14"/>
      <c r="Y71" s="14"/>
      <c r="Z71" s="14"/>
    </row>
    <row r="72" spans="1:26" ht="15.75" customHeight="1">
      <c r="A72" s="14"/>
      <c r="B72" s="133"/>
      <c r="C72" s="32" t="str">
        <f>$C$17</f>
        <v>Amity Island Sharks</v>
      </c>
      <c r="D72" s="33" t="s">
        <v>368</v>
      </c>
      <c r="E72" s="47" t="str">
        <f>$C$19</f>
        <v>E-Town Elephants</v>
      </c>
      <c r="F72" s="15"/>
      <c r="G72" s="35" t="str">
        <f>$C$19</f>
        <v>E-Town Elephants</v>
      </c>
      <c r="H72" s="33" t="s">
        <v>368</v>
      </c>
      <c r="I72" s="33" t="str">
        <f>$C$17</f>
        <v>Amity Island Sharks</v>
      </c>
      <c r="J72" s="136"/>
      <c r="K72" s="14"/>
      <c r="L72" s="14"/>
      <c r="M72" s="14"/>
      <c r="N72" s="14"/>
      <c r="O72" s="14"/>
      <c r="P72" s="14"/>
      <c r="Q72" s="45"/>
      <c r="R72" s="14"/>
      <c r="S72" s="14"/>
      <c r="T72" s="14"/>
      <c r="U72" s="14"/>
      <c r="V72" s="14"/>
      <c r="W72" s="14"/>
      <c r="X72" s="14"/>
      <c r="Y72" s="14"/>
      <c r="Z72" s="14"/>
    </row>
    <row r="73" spans="1:26" ht="15.75" customHeight="1">
      <c r="A73" s="14"/>
      <c r="B73" s="133"/>
      <c r="C73" s="32" t="str">
        <f>$E$17</f>
        <v>Randy Moss LoB Juenger</v>
      </c>
      <c r="D73" s="33" t="s">
        <v>368</v>
      </c>
      <c r="E73" s="47" t="str">
        <f>$E$19</f>
        <v>Steelersnation 7</v>
      </c>
      <c r="F73" s="15"/>
      <c r="G73" s="35" t="str">
        <f>$E$19</f>
        <v>Steelersnation 7</v>
      </c>
      <c r="H73" s="33" t="s">
        <v>368</v>
      </c>
      <c r="I73" s="33" t="str">
        <f>$E$17</f>
        <v>Randy Moss LoB Juenger</v>
      </c>
      <c r="J73" s="136"/>
      <c r="K73" s="14"/>
      <c r="L73" s="14"/>
      <c r="M73" s="14"/>
      <c r="N73" s="14"/>
      <c r="O73" s="14"/>
      <c r="P73" s="14"/>
      <c r="Q73" s="45"/>
      <c r="R73" s="14"/>
      <c r="S73" s="14"/>
      <c r="T73" s="14"/>
      <c r="U73" s="14"/>
      <c r="V73" s="14"/>
      <c r="W73" s="14"/>
      <c r="X73" s="14"/>
      <c r="Y73" s="14"/>
      <c r="Z73" s="14"/>
    </row>
    <row r="74" spans="1:26" ht="15.75" customHeight="1">
      <c r="A74" s="14"/>
      <c r="B74" s="134"/>
      <c r="C74" s="36" t="str">
        <f>$E$12</f>
        <v>Fighting Farmers</v>
      </c>
      <c r="D74" s="37" t="s">
        <v>368</v>
      </c>
      <c r="E74" s="49" t="str">
        <f>$E$15</f>
        <v>Brady Gaga</v>
      </c>
      <c r="F74" s="15"/>
      <c r="G74" s="39" t="str">
        <f>$E$15</f>
        <v>Brady Gaga</v>
      </c>
      <c r="H74" s="37" t="s">
        <v>368</v>
      </c>
      <c r="I74" s="37" t="str">
        <f>$E$12</f>
        <v>Fighting Farmers</v>
      </c>
      <c r="J74" s="137"/>
      <c r="K74" s="14"/>
      <c r="L74" s="14"/>
      <c r="M74" s="14"/>
      <c r="N74" s="14"/>
      <c r="O74" s="14"/>
      <c r="P74" s="14"/>
      <c r="Q74" s="45"/>
      <c r="R74" s="14"/>
      <c r="S74" s="14"/>
      <c r="T74" s="14"/>
      <c r="U74" s="14"/>
      <c r="V74" s="14"/>
      <c r="W74" s="14"/>
      <c r="X74" s="14"/>
      <c r="Y74" s="14"/>
      <c r="Z74" s="14"/>
    </row>
    <row r="75" spans="1:26" ht="15.75" customHeight="1">
      <c r="A75" s="14"/>
      <c r="B75" s="14"/>
      <c r="C75" s="40"/>
      <c r="D75" s="15"/>
      <c r="E75" s="15"/>
      <c r="F75" s="15"/>
      <c r="G75" s="15"/>
      <c r="H75" s="15"/>
      <c r="I75" s="15"/>
      <c r="J75" s="41"/>
      <c r="K75" s="14"/>
      <c r="L75" s="14"/>
      <c r="M75" s="14"/>
      <c r="N75" s="14"/>
      <c r="O75" s="14"/>
      <c r="P75" s="14"/>
      <c r="Q75" s="45"/>
      <c r="R75" s="14"/>
      <c r="S75" s="14"/>
      <c r="T75" s="14"/>
      <c r="U75" s="14"/>
      <c r="V75" s="14"/>
      <c r="W75" s="14"/>
      <c r="X75" s="14"/>
      <c r="Y75" s="14"/>
      <c r="Z75" s="14"/>
    </row>
    <row r="76" spans="1:26" ht="15.75" customHeight="1">
      <c r="A76" s="14"/>
      <c r="B76" s="132" t="s">
        <v>380</v>
      </c>
      <c r="C76" s="28" t="str">
        <f>$C$10</f>
        <v>Foxboro Forever</v>
      </c>
      <c r="D76" s="29" t="s">
        <v>368</v>
      </c>
      <c r="E76" s="43" t="str">
        <f>$C$18</f>
        <v>The 49vengers</v>
      </c>
      <c r="F76" s="15"/>
      <c r="G76" s="31" t="str">
        <f>$C$18</f>
        <v>The 49vengers</v>
      </c>
      <c r="H76" s="29" t="s">
        <v>368</v>
      </c>
      <c r="I76" s="28" t="str">
        <f>$C$10</f>
        <v>Foxboro Forever</v>
      </c>
      <c r="J76" s="135" t="s">
        <v>381</v>
      </c>
      <c r="K76" s="14"/>
      <c r="L76" s="14"/>
      <c r="M76" s="14"/>
      <c r="N76" s="14"/>
      <c r="O76" s="14"/>
      <c r="P76" s="14"/>
      <c r="Q76" s="45"/>
      <c r="R76" s="14"/>
      <c r="S76" s="14"/>
      <c r="T76" s="14"/>
      <c r="U76" s="14"/>
      <c r="V76" s="14"/>
      <c r="W76" s="14"/>
      <c r="X76" s="14"/>
      <c r="Y76" s="14"/>
      <c r="Z76" s="14"/>
    </row>
    <row r="77" spans="1:26" ht="15.75" customHeight="1">
      <c r="A77" s="14"/>
      <c r="B77" s="133"/>
      <c r="C77" s="32" t="str">
        <f>$E$10</f>
        <v>K-Town Devils</v>
      </c>
      <c r="D77" s="33" t="s">
        <v>368</v>
      </c>
      <c r="E77" s="47" t="str">
        <f>$E$18</f>
        <v>Johnny Manziel and Friends</v>
      </c>
      <c r="F77" s="15"/>
      <c r="G77" s="35" t="str">
        <f>$E$18</f>
        <v>Johnny Manziel and Friends</v>
      </c>
      <c r="H77" s="33" t="s">
        <v>368</v>
      </c>
      <c r="I77" s="32" t="str">
        <f>$E$10</f>
        <v>K-Town Devils</v>
      </c>
      <c r="J77" s="136"/>
      <c r="K77" s="14"/>
      <c r="L77" s="14"/>
      <c r="M77" s="14"/>
      <c r="N77" s="14"/>
      <c r="O77" s="14"/>
      <c r="P77" s="14"/>
      <c r="Q77" s="45"/>
      <c r="R77" s="14"/>
      <c r="S77" s="14"/>
      <c r="T77" s="14"/>
      <c r="U77" s="14"/>
      <c r="V77" s="14"/>
      <c r="W77" s="14"/>
      <c r="X77" s="14"/>
      <c r="Y77" s="14"/>
      <c r="Z77" s="14"/>
    </row>
    <row r="78" spans="1:26" ht="15.75" customHeight="1">
      <c r="A78" s="14"/>
      <c r="B78" s="133"/>
      <c r="C78" s="33" t="str">
        <f>$C$11</f>
        <v>Frankfurt Packers</v>
      </c>
      <c r="D78" s="33" t="s">
        <v>368</v>
      </c>
      <c r="E78" s="47" t="str">
        <f>$C$19</f>
        <v>E-Town Elephants</v>
      </c>
      <c r="F78" s="15"/>
      <c r="G78" s="35" t="str">
        <f>$C$19</f>
        <v>E-Town Elephants</v>
      </c>
      <c r="H78" s="33" t="s">
        <v>368</v>
      </c>
      <c r="I78" s="33" t="str">
        <f>$C$11</f>
        <v>Frankfurt Packers</v>
      </c>
      <c r="J78" s="136"/>
      <c r="K78" s="14"/>
      <c r="L78" s="14"/>
      <c r="M78" s="14"/>
      <c r="N78" s="14"/>
      <c r="O78" s="14"/>
      <c r="P78" s="14"/>
      <c r="Q78" s="45"/>
      <c r="R78" s="14"/>
      <c r="S78" s="14"/>
      <c r="T78" s="14"/>
      <c r="U78" s="14"/>
      <c r="V78" s="14"/>
      <c r="W78" s="14"/>
      <c r="X78" s="14"/>
      <c r="Y78" s="14"/>
      <c r="Z78" s="14"/>
    </row>
    <row r="79" spans="1:26" ht="15.75" customHeight="1">
      <c r="A79" s="14"/>
      <c r="B79" s="133"/>
      <c r="C79" s="32" t="str">
        <f>$E$11</f>
        <v>Wiesbaden Phantoms</v>
      </c>
      <c r="D79" s="33" t="s">
        <v>368</v>
      </c>
      <c r="E79" s="47" t="str">
        <f>$E$19</f>
        <v>Steelersnation 7</v>
      </c>
      <c r="F79" s="15"/>
      <c r="G79" s="35" t="str">
        <f>$E$19</f>
        <v>Steelersnation 7</v>
      </c>
      <c r="H79" s="33" t="s">
        <v>368</v>
      </c>
      <c r="I79" s="32" t="str">
        <f>$E$11</f>
        <v>Wiesbaden Phantoms</v>
      </c>
      <c r="J79" s="136"/>
      <c r="K79" s="14"/>
      <c r="L79" s="14"/>
      <c r="M79" s="14"/>
      <c r="N79" s="14"/>
      <c r="O79" s="14"/>
      <c r="P79" s="14"/>
      <c r="Q79" s="45"/>
      <c r="R79" s="14"/>
      <c r="S79" s="14"/>
      <c r="T79" s="14"/>
      <c r="U79" s="14"/>
      <c r="V79" s="14"/>
      <c r="W79" s="14"/>
      <c r="X79" s="14"/>
      <c r="Y79" s="14"/>
      <c r="Z79" s="14"/>
    </row>
    <row r="80" spans="1:26" ht="15.75" customHeight="1">
      <c r="A80" s="14"/>
      <c r="B80" s="133"/>
      <c r="C80" s="33" t="str">
        <f>$C$12</f>
        <v>Pep's Band</v>
      </c>
      <c r="D80" s="33" t="s">
        <v>368</v>
      </c>
      <c r="E80" s="47" t="str">
        <f>$E$15</f>
        <v>Brady Gaga</v>
      </c>
      <c r="F80" s="15"/>
      <c r="G80" s="35" t="str">
        <f>$E$15</f>
        <v>Brady Gaga</v>
      </c>
      <c r="H80" s="33" t="s">
        <v>368</v>
      </c>
      <c r="I80" s="33" t="str">
        <f>$C$12</f>
        <v>Pep's Band</v>
      </c>
      <c r="J80" s="136"/>
      <c r="K80" s="14"/>
      <c r="L80" s="14"/>
      <c r="M80" s="14"/>
      <c r="N80" s="14"/>
      <c r="O80" s="14"/>
      <c r="P80" s="14"/>
      <c r="Q80" s="45"/>
      <c r="R80" s="14"/>
      <c r="S80" s="14"/>
      <c r="T80" s="14"/>
      <c r="U80" s="14"/>
      <c r="V80" s="14"/>
      <c r="W80" s="14"/>
      <c r="X80" s="14"/>
      <c r="Y80" s="14"/>
      <c r="Z80" s="14"/>
    </row>
    <row r="81" spans="1:26" ht="15.75" customHeight="1">
      <c r="A81" s="14"/>
      <c r="B81" s="133"/>
      <c r="C81" s="32" t="str">
        <f>$C$13</f>
        <v>Bishop Sycamore</v>
      </c>
      <c r="D81" s="33" t="s">
        <v>368</v>
      </c>
      <c r="E81" s="34" t="str">
        <f>$C$16</f>
        <v>Thunder Ducks</v>
      </c>
      <c r="F81" s="15"/>
      <c r="G81" s="35" t="str">
        <f>$C$16</f>
        <v>Thunder Ducks</v>
      </c>
      <c r="H81" s="33" t="s">
        <v>368</v>
      </c>
      <c r="I81" s="33" t="str">
        <f>$C$13</f>
        <v>Bishop Sycamore</v>
      </c>
      <c r="J81" s="136"/>
      <c r="K81" s="14"/>
      <c r="L81" s="14"/>
      <c r="M81" s="14"/>
      <c r="N81" s="14"/>
      <c r="O81" s="14"/>
      <c r="P81" s="14"/>
      <c r="Q81" s="45"/>
      <c r="R81" s="14"/>
      <c r="S81" s="14"/>
      <c r="T81" s="14"/>
      <c r="U81" s="14"/>
      <c r="V81" s="14"/>
      <c r="W81" s="14"/>
      <c r="X81" s="14"/>
      <c r="Y81" s="14"/>
      <c r="Z81" s="14"/>
    </row>
    <row r="82" spans="1:26" ht="15.75" customHeight="1">
      <c r="A82" s="14"/>
      <c r="B82" s="133"/>
      <c r="C82" s="32" t="str">
        <f>$E$13</f>
        <v>Broken Bembels ULB</v>
      </c>
      <c r="D82" s="33" t="s">
        <v>368</v>
      </c>
      <c r="E82" s="47" t="str">
        <f>$E$16</f>
        <v>BearD</v>
      </c>
      <c r="F82" s="15"/>
      <c r="G82" s="35" t="str">
        <f>$E$16</f>
        <v>BearD</v>
      </c>
      <c r="H82" s="33" t="s">
        <v>368</v>
      </c>
      <c r="I82" s="33" t="str">
        <f>$E$13</f>
        <v>Broken Bembels ULB</v>
      </c>
      <c r="J82" s="136"/>
      <c r="K82" s="14"/>
      <c r="L82" s="14"/>
      <c r="M82" s="14"/>
      <c r="N82" s="14"/>
      <c r="O82" s="14"/>
      <c r="P82" s="14"/>
      <c r="Q82" s="45"/>
      <c r="R82" s="14"/>
      <c r="S82" s="14"/>
      <c r="T82" s="14"/>
      <c r="U82" s="14"/>
      <c r="V82" s="14"/>
      <c r="W82" s="14"/>
      <c r="X82" s="14"/>
      <c r="Y82" s="14"/>
      <c r="Z82" s="14"/>
    </row>
    <row r="83" spans="1:26" ht="15.75" customHeight="1">
      <c r="A83" s="14"/>
      <c r="B83" s="133"/>
      <c r="C83" s="32" t="str">
        <f>$C$14</f>
        <v>the Boys</v>
      </c>
      <c r="D83" s="33" t="s">
        <v>368</v>
      </c>
      <c r="E83" s="47" t="str">
        <f>$C$17</f>
        <v>Amity Island Sharks</v>
      </c>
      <c r="F83" s="15"/>
      <c r="G83" s="35" t="str">
        <f>$C$17</f>
        <v>Amity Island Sharks</v>
      </c>
      <c r="H83" s="33" t="s">
        <v>368</v>
      </c>
      <c r="I83" s="33" t="str">
        <f>$C$14</f>
        <v>the Boys</v>
      </c>
      <c r="J83" s="136"/>
      <c r="K83" s="14"/>
      <c r="L83" s="14"/>
      <c r="M83" s="14"/>
      <c r="N83" s="14"/>
      <c r="O83" s="14"/>
      <c r="P83" s="14"/>
      <c r="Q83" s="45"/>
      <c r="R83" s="14"/>
      <c r="S83" s="14"/>
      <c r="T83" s="14"/>
      <c r="U83" s="14"/>
      <c r="V83" s="14"/>
      <c r="W83" s="14"/>
      <c r="X83" s="14"/>
      <c r="Y83" s="14"/>
      <c r="Z83" s="14"/>
    </row>
    <row r="84" spans="1:26" ht="15.75" customHeight="1">
      <c r="A84" s="14"/>
      <c r="B84" s="133"/>
      <c r="C84" s="32" t="str">
        <f>$E$14</f>
        <v>Bojangles Pornstars</v>
      </c>
      <c r="D84" s="33" t="s">
        <v>368</v>
      </c>
      <c r="E84" s="47" t="str">
        <f>$E$17</f>
        <v>Randy Moss LoB Juenger</v>
      </c>
      <c r="F84" s="15"/>
      <c r="G84" s="35" t="str">
        <f>$E$17</f>
        <v>Randy Moss LoB Juenger</v>
      </c>
      <c r="H84" s="33" t="s">
        <v>368</v>
      </c>
      <c r="I84" s="33" t="str">
        <f>$E$14</f>
        <v>Bojangles Pornstars</v>
      </c>
      <c r="J84" s="136"/>
      <c r="K84" s="14"/>
      <c r="L84" s="14"/>
      <c r="M84" s="14"/>
      <c r="N84" s="14"/>
      <c r="O84" s="14"/>
      <c r="P84" s="14"/>
      <c r="Q84" s="45"/>
      <c r="R84" s="14"/>
      <c r="S84" s="14"/>
      <c r="T84" s="14"/>
      <c r="U84" s="14"/>
      <c r="V84" s="14"/>
      <c r="W84" s="14"/>
      <c r="X84" s="14"/>
      <c r="Y84" s="14"/>
      <c r="Z84" s="14"/>
    </row>
    <row r="85" spans="1:26" ht="15.75" customHeight="1">
      <c r="A85" s="14"/>
      <c r="B85" s="134"/>
      <c r="C85" s="36" t="str">
        <f>$C$15</f>
        <v>Zeugen Ray Lewis</v>
      </c>
      <c r="D85" s="37" t="s">
        <v>368</v>
      </c>
      <c r="E85" s="49" t="str">
        <f>$E$12</f>
        <v>Fighting Farmers</v>
      </c>
      <c r="F85" s="15"/>
      <c r="G85" s="39" t="str">
        <f>$E$12</f>
        <v>Fighting Farmers</v>
      </c>
      <c r="H85" s="37" t="s">
        <v>368</v>
      </c>
      <c r="I85" s="37" t="str">
        <f>$C$15</f>
        <v>Zeugen Ray Lewis</v>
      </c>
      <c r="J85" s="137"/>
      <c r="K85" s="14"/>
      <c r="L85" s="14"/>
      <c r="M85" s="14"/>
      <c r="N85" s="14"/>
      <c r="O85" s="14"/>
      <c r="P85" s="14"/>
      <c r="Q85" s="45"/>
      <c r="R85" s="14"/>
      <c r="S85" s="14"/>
      <c r="T85" s="14"/>
      <c r="U85" s="14"/>
      <c r="V85" s="14"/>
      <c r="W85" s="14"/>
      <c r="X85" s="14"/>
      <c r="Y85" s="14"/>
      <c r="Z85" s="14"/>
    </row>
    <row r="86" spans="1:26" ht="15.75" customHeight="1">
      <c r="A86" s="14"/>
      <c r="B86" s="14"/>
      <c r="C86" s="46"/>
      <c r="D86" s="14"/>
      <c r="E86" s="14"/>
      <c r="F86" s="14"/>
      <c r="G86" s="14"/>
      <c r="H86" s="14"/>
      <c r="I86" s="14"/>
      <c r="J86" s="14"/>
      <c r="K86" s="14"/>
      <c r="L86" s="14"/>
      <c r="M86" s="14"/>
      <c r="N86" s="14"/>
      <c r="O86" s="14"/>
      <c r="P86" s="14"/>
      <c r="Q86" s="45"/>
      <c r="R86" s="14"/>
      <c r="S86" s="14"/>
      <c r="T86" s="14"/>
      <c r="U86" s="14"/>
      <c r="V86" s="14"/>
      <c r="W86" s="14"/>
      <c r="X86" s="14"/>
      <c r="Y86" s="14"/>
      <c r="Z86" s="14"/>
    </row>
    <row r="87" spans="1:26" ht="15.75" customHeight="1">
      <c r="A87" s="14"/>
      <c r="B87" s="14"/>
      <c r="C87" s="46"/>
      <c r="D87" s="14"/>
      <c r="E87" s="14"/>
      <c r="F87" s="14"/>
      <c r="G87" s="14"/>
      <c r="H87" s="14"/>
      <c r="I87" s="14"/>
      <c r="J87" s="14"/>
      <c r="K87" s="14"/>
      <c r="L87" s="14"/>
      <c r="M87" s="14"/>
      <c r="N87" s="14"/>
      <c r="O87" s="14"/>
      <c r="P87" s="14"/>
      <c r="Q87" s="45"/>
      <c r="R87" s="14"/>
      <c r="S87" s="14"/>
      <c r="T87" s="14"/>
      <c r="U87" s="14"/>
      <c r="V87" s="14"/>
      <c r="W87" s="14"/>
      <c r="X87" s="14"/>
      <c r="Y87" s="14"/>
      <c r="Z87" s="14"/>
    </row>
    <row r="88" spans="1:26" ht="15.75" customHeight="1">
      <c r="A88" s="14"/>
      <c r="B88" s="14"/>
      <c r="C88" s="46"/>
      <c r="D88" s="14"/>
      <c r="E88" s="14"/>
      <c r="F88" s="14"/>
      <c r="G88" s="14"/>
      <c r="H88" s="14"/>
      <c r="I88" s="14"/>
      <c r="J88" s="14"/>
      <c r="K88" s="14"/>
      <c r="L88" s="14"/>
      <c r="M88" s="14"/>
      <c r="N88" s="14"/>
      <c r="O88" s="14"/>
      <c r="P88" s="14"/>
      <c r="Q88" s="45"/>
      <c r="R88" s="14"/>
      <c r="S88" s="14"/>
      <c r="T88" s="14"/>
      <c r="U88" s="14"/>
      <c r="V88" s="14"/>
      <c r="W88" s="14"/>
      <c r="X88" s="14"/>
      <c r="Y88" s="14"/>
      <c r="Z88" s="14"/>
    </row>
    <row r="89" spans="1:26" ht="15.75" customHeight="1">
      <c r="A89" s="14"/>
      <c r="B89" s="14"/>
      <c r="C89" s="46"/>
      <c r="D89" s="14"/>
      <c r="E89" s="14"/>
      <c r="F89" s="14"/>
      <c r="G89" s="14"/>
      <c r="H89" s="14"/>
      <c r="I89" s="14"/>
      <c r="J89" s="14"/>
      <c r="K89" s="14"/>
      <c r="L89" s="14"/>
      <c r="M89" s="14"/>
      <c r="N89" s="14"/>
      <c r="O89" s="14"/>
      <c r="P89" s="14"/>
      <c r="Q89" s="45"/>
      <c r="R89" s="14"/>
      <c r="S89" s="14"/>
      <c r="T89" s="14"/>
      <c r="U89" s="14"/>
      <c r="V89" s="14"/>
      <c r="W89" s="14"/>
      <c r="X89" s="14"/>
      <c r="Y89" s="14"/>
      <c r="Z89" s="14"/>
    </row>
    <row r="90" spans="1:26" ht="15.75" customHeight="1">
      <c r="A90" s="14"/>
      <c r="B90" s="14"/>
      <c r="C90" s="46"/>
      <c r="D90" s="14"/>
      <c r="E90" s="14"/>
      <c r="F90" s="14"/>
      <c r="G90" s="14"/>
      <c r="H90" s="14"/>
      <c r="I90" s="14"/>
      <c r="J90" s="14"/>
      <c r="K90" s="14"/>
      <c r="L90" s="14"/>
      <c r="M90" s="14"/>
      <c r="N90" s="14"/>
      <c r="O90" s="14"/>
      <c r="P90" s="14"/>
      <c r="Q90" s="45"/>
      <c r="R90" s="14"/>
      <c r="S90" s="14"/>
      <c r="T90" s="14"/>
      <c r="U90" s="14"/>
      <c r="V90" s="14"/>
      <c r="W90" s="14"/>
      <c r="X90" s="14"/>
      <c r="Y90" s="14"/>
      <c r="Z90" s="14"/>
    </row>
    <row r="91" spans="1:26" ht="15.75" customHeight="1">
      <c r="A91" s="14"/>
      <c r="B91" s="14"/>
      <c r="C91" s="46"/>
      <c r="D91" s="14"/>
      <c r="E91" s="14"/>
      <c r="F91" s="14"/>
      <c r="G91" s="14"/>
      <c r="H91" s="14"/>
      <c r="I91" s="14"/>
      <c r="J91" s="14"/>
      <c r="K91" s="14"/>
      <c r="L91" s="14"/>
      <c r="M91" s="14"/>
      <c r="N91" s="14"/>
      <c r="O91" s="14"/>
      <c r="P91" s="14"/>
      <c r="Q91" s="45"/>
      <c r="R91" s="14"/>
      <c r="S91" s="14"/>
      <c r="T91" s="14"/>
      <c r="U91" s="14"/>
      <c r="V91" s="14"/>
      <c r="W91" s="14"/>
      <c r="X91" s="14"/>
      <c r="Y91" s="14"/>
      <c r="Z91" s="14"/>
    </row>
    <row r="92" spans="1:26" ht="15.75" customHeight="1">
      <c r="A92" s="14"/>
      <c r="B92" s="14"/>
      <c r="C92" s="46"/>
      <c r="D92" s="14"/>
      <c r="E92" s="14"/>
      <c r="F92" s="14"/>
      <c r="G92" s="14"/>
      <c r="H92" s="14"/>
      <c r="I92" s="14"/>
      <c r="J92" s="14"/>
      <c r="K92" s="14"/>
      <c r="L92" s="14"/>
      <c r="M92" s="14"/>
      <c r="N92" s="14"/>
      <c r="O92" s="14"/>
      <c r="P92" s="14"/>
      <c r="Q92" s="45"/>
      <c r="R92" s="14"/>
      <c r="S92" s="14"/>
      <c r="T92" s="14"/>
      <c r="U92" s="14"/>
      <c r="V92" s="14"/>
      <c r="W92" s="14"/>
      <c r="X92" s="14"/>
      <c r="Y92" s="14"/>
      <c r="Z92" s="14"/>
    </row>
    <row r="93" spans="1:26" ht="15.75" customHeight="1">
      <c r="A93" s="14"/>
      <c r="B93" s="14"/>
      <c r="C93" s="46"/>
      <c r="D93" s="14"/>
      <c r="E93" s="14"/>
      <c r="F93" s="14"/>
      <c r="G93" s="14"/>
      <c r="H93" s="14"/>
      <c r="I93" s="14"/>
      <c r="J93" s="14"/>
      <c r="K93" s="14"/>
      <c r="L93" s="14"/>
      <c r="M93" s="14"/>
      <c r="N93" s="14"/>
      <c r="O93" s="14"/>
      <c r="P93" s="14"/>
      <c r="Q93" s="45"/>
      <c r="R93" s="14"/>
      <c r="S93" s="14"/>
      <c r="T93" s="14"/>
      <c r="U93" s="14"/>
      <c r="V93" s="14"/>
      <c r="W93" s="14"/>
      <c r="X93" s="14"/>
      <c r="Y93" s="14"/>
      <c r="Z93" s="14"/>
    </row>
    <row r="94" spans="1:26" ht="15.75" customHeight="1">
      <c r="A94" s="14"/>
      <c r="B94" s="14"/>
      <c r="C94" s="46"/>
      <c r="D94" s="14"/>
      <c r="E94" s="14"/>
      <c r="F94" s="14"/>
      <c r="G94" s="14"/>
      <c r="H94" s="14"/>
      <c r="I94" s="14"/>
      <c r="J94" s="14"/>
      <c r="K94" s="14"/>
      <c r="L94" s="14"/>
      <c r="M94" s="14"/>
      <c r="N94" s="14"/>
      <c r="O94" s="14"/>
      <c r="P94" s="14"/>
      <c r="Q94" s="45"/>
      <c r="R94" s="14"/>
      <c r="S94" s="14"/>
      <c r="T94" s="14"/>
      <c r="U94" s="14"/>
      <c r="V94" s="14"/>
      <c r="W94" s="14"/>
      <c r="X94" s="14"/>
      <c r="Y94" s="14"/>
      <c r="Z94" s="14"/>
    </row>
    <row r="95" spans="1:26" ht="15.75" customHeight="1">
      <c r="A95" s="14"/>
      <c r="B95" s="14"/>
      <c r="C95" s="46"/>
      <c r="D95" s="14"/>
      <c r="E95" s="14"/>
      <c r="F95" s="14"/>
      <c r="G95" s="14"/>
      <c r="H95" s="14"/>
      <c r="I95" s="14"/>
      <c r="J95" s="14"/>
      <c r="K95" s="14"/>
      <c r="L95" s="14"/>
      <c r="M95" s="14"/>
      <c r="N95" s="14"/>
      <c r="O95" s="14"/>
      <c r="P95" s="14"/>
      <c r="Q95" s="45"/>
      <c r="R95" s="14"/>
      <c r="S95" s="14"/>
      <c r="T95" s="14"/>
      <c r="U95" s="14"/>
      <c r="V95" s="14"/>
      <c r="W95" s="14"/>
      <c r="X95" s="14"/>
      <c r="Y95" s="14"/>
      <c r="Z95" s="14"/>
    </row>
    <row r="96" spans="1:26" ht="15.75" customHeight="1">
      <c r="A96" s="14"/>
      <c r="B96" s="14"/>
      <c r="C96" s="46"/>
      <c r="D96" s="14"/>
      <c r="E96" s="14"/>
      <c r="F96" s="14"/>
      <c r="G96" s="14"/>
      <c r="H96" s="14"/>
      <c r="I96" s="14"/>
      <c r="J96" s="14"/>
      <c r="K96" s="14"/>
      <c r="L96" s="14"/>
      <c r="M96" s="14"/>
      <c r="N96" s="14"/>
      <c r="O96" s="14"/>
      <c r="P96" s="14"/>
      <c r="Q96" s="45"/>
      <c r="R96" s="14"/>
      <c r="S96" s="14"/>
      <c r="T96" s="14"/>
      <c r="U96" s="14"/>
      <c r="V96" s="14"/>
      <c r="W96" s="14"/>
      <c r="X96" s="14"/>
      <c r="Y96" s="14"/>
      <c r="Z96" s="14"/>
    </row>
    <row r="97" spans="1:26" ht="15.75" customHeight="1">
      <c r="A97" s="14"/>
      <c r="B97" s="14"/>
      <c r="C97" s="46"/>
      <c r="D97" s="14"/>
      <c r="E97" s="14"/>
      <c r="F97" s="14"/>
      <c r="G97" s="14"/>
      <c r="H97" s="14"/>
      <c r="I97" s="14"/>
      <c r="J97" s="14"/>
      <c r="K97" s="14"/>
      <c r="L97" s="14"/>
      <c r="M97" s="14"/>
      <c r="N97" s="14"/>
      <c r="O97" s="14"/>
      <c r="P97" s="14"/>
      <c r="Q97" s="45"/>
      <c r="R97" s="14"/>
      <c r="S97" s="14"/>
      <c r="T97" s="14"/>
      <c r="U97" s="14"/>
      <c r="V97" s="14"/>
      <c r="W97" s="14"/>
      <c r="X97" s="14"/>
      <c r="Y97" s="14"/>
      <c r="Z97" s="14"/>
    </row>
    <row r="98" spans="1:26" ht="15.75" customHeight="1">
      <c r="A98" s="14"/>
      <c r="B98" s="14"/>
      <c r="C98" s="46"/>
      <c r="D98" s="14"/>
      <c r="E98" s="14"/>
      <c r="F98" s="14"/>
      <c r="G98" s="14"/>
      <c r="H98" s="14"/>
      <c r="I98" s="14"/>
      <c r="J98" s="14"/>
      <c r="K98" s="14"/>
      <c r="L98" s="14"/>
      <c r="M98" s="14"/>
      <c r="N98" s="14"/>
      <c r="O98" s="14"/>
      <c r="P98" s="14"/>
      <c r="Q98" s="45"/>
      <c r="R98" s="14"/>
      <c r="S98" s="14"/>
      <c r="T98" s="14"/>
      <c r="U98" s="14"/>
      <c r="V98" s="14"/>
      <c r="W98" s="14"/>
      <c r="X98" s="14"/>
      <c r="Y98" s="14"/>
      <c r="Z98" s="14"/>
    </row>
    <row r="99" spans="1:26" ht="15.75" customHeight="1">
      <c r="A99" s="14"/>
      <c r="B99" s="14"/>
      <c r="C99" s="46"/>
      <c r="D99" s="14"/>
      <c r="E99" s="14"/>
      <c r="F99" s="14"/>
      <c r="G99" s="14"/>
      <c r="H99" s="14"/>
      <c r="I99" s="14"/>
      <c r="J99" s="14"/>
      <c r="K99" s="14"/>
      <c r="L99" s="14"/>
      <c r="M99" s="14"/>
      <c r="N99" s="14"/>
      <c r="O99" s="14"/>
      <c r="P99" s="14"/>
      <c r="Q99" s="45"/>
      <c r="R99" s="14"/>
      <c r="S99" s="14"/>
      <c r="T99" s="14"/>
      <c r="U99" s="14"/>
      <c r="V99" s="14"/>
      <c r="W99" s="14"/>
      <c r="X99" s="14"/>
      <c r="Y99" s="14"/>
      <c r="Z99" s="14"/>
    </row>
    <row r="100" spans="1:26" ht="15.75" customHeight="1">
      <c r="A100" s="14"/>
      <c r="B100" s="14"/>
      <c r="C100" s="46"/>
      <c r="D100" s="14"/>
      <c r="E100" s="14"/>
      <c r="F100" s="14"/>
      <c r="G100" s="14"/>
      <c r="H100" s="14"/>
      <c r="I100" s="14"/>
      <c r="J100" s="14"/>
      <c r="K100" s="14"/>
      <c r="L100" s="14"/>
      <c r="M100" s="14"/>
      <c r="N100" s="14"/>
      <c r="O100" s="14"/>
      <c r="P100" s="14"/>
      <c r="Q100" s="45"/>
      <c r="R100" s="14"/>
      <c r="S100" s="14"/>
      <c r="T100" s="14"/>
      <c r="U100" s="14"/>
      <c r="V100" s="14"/>
      <c r="W100" s="14"/>
      <c r="X100" s="14"/>
      <c r="Y100" s="14"/>
      <c r="Z100" s="14"/>
    </row>
    <row r="101" spans="1:26" ht="15.75" customHeight="1">
      <c r="A101" s="14"/>
      <c r="B101" s="14"/>
      <c r="C101" s="46"/>
      <c r="D101" s="14"/>
      <c r="E101" s="14"/>
      <c r="F101" s="14"/>
      <c r="G101" s="14"/>
      <c r="H101" s="14"/>
      <c r="I101" s="14"/>
      <c r="J101" s="14"/>
      <c r="K101" s="14"/>
      <c r="L101" s="14"/>
      <c r="M101" s="14"/>
      <c r="N101" s="14"/>
      <c r="O101" s="14"/>
      <c r="P101" s="14"/>
      <c r="Q101" s="45"/>
      <c r="R101" s="14"/>
      <c r="S101" s="14"/>
      <c r="T101" s="14"/>
      <c r="U101" s="14"/>
      <c r="V101" s="14"/>
      <c r="W101" s="14"/>
      <c r="X101" s="14"/>
      <c r="Y101" s="14"/>
      <c r="Z101" s="14"/>
    </row>
    <row r="102" spans="1:26" ht="15.75" customHeight="1">
      <c r="A102" s="14"/>
      <c r="B102" s="14"/>
      <c r="C102" s="46"/>
      <c r="D102" s="14"/>
      <c r="E102" s="14"/>
      <c r="F102" s="14"/>
      <c r="G102" s="14"/>
      <c r="H102" s="14"/>
      <c r="I102" s="14"/>
      <c r="J102" s="14"/>
      <c r="K102" s="14"/>
      <c r="L102" s="14"/>
      <c r="M102" s="14"/>
      <c r="N102" s="14"/>
      <c r="O102" s="14"/>
      <c r="P102" s="14"/>
      <c r="Q102" s="45"/>
      <c r="R102" s="14"/>
      <c r="S102" s="14"/>
      <c r="T102" s="14"/>
      <c r="U102" s="14"/>
      <c r="V102" s="14"/>
      <c r="W102" s="14"/>
      <c r="X102" s="14"/>
      <c r="Y102" s="14"/>
      <c r="Z102" s="14"/>
    </row>
    <row r="103" spans="1:26" ht="15.75" customHeight="1">
      <c r="A103" s="14"/>
      <c r="B103" s="14"/>
      <c r="C103" s="46"/>
      <c r="D103" s="14"/>
      <c r="E103" s="14"/>
      <c r="F103" s="14"/>
      <c r="G103" s="14"/>
      <c r="H103" s="14"/>
      <c r="I103" s="14"/>
      <c r="J103" s="14"/>
      <c r="K103" s="14"/>
      <c r="L103" s="14"/>
      <c r="M103" s="14"/>
      <c r="N103" s="14"/>
      <c r="O103" s="14"/>
      <c r="P103" s="14"/>
      <c r="Q103" s="45"/>
      <c r="R103" s="14"/>
      <c r="S103" s="14"/>
      <c r="T103" s="14"/>
      <c r="U103" s="14"/>
      <c r="V103" s="14"/>
      <c r="W103" s="14"/>
      <c r="X103" s="14"/>
      <c r="Y103" s="14"/>
      <c r="Z103" s="14"/>
    </row>
    <row r="104" spans="1:26" ht="15.75" customHeight="1">
      <c r="A104" s="14"/>
      <c r="B104" s="14"/>
      <c r="C104" s="46"/>
      <c r="D104" s="14"/>
      <c r="E104" s="14"/>
      <c r="F104" s="14"/>
      <c r="G104" s="14"/>
      <c r="H104" s="14"/>
      <c r="I104" s="14"/>
      <c r="J104" s="14"/>
      <c r="K104" s="14"/>
      <c r="L104" s="14"/>
      <c r="M104" s="14"/>
      <c r="N104" s="14"/>
      <c r="O104" s="14"/>
      <c r="P104" s="14"/>
      <c r="Q104" s="45"/>
      <c r="R104" s="14"/>
      <c r="S104" s="14"/>
      <c r="T104" s="14"/>
      <c r="U104" s="14"/>
      <c r="V104" s="14"/>
      <c r="W104" s="14"/>
      <c r="X104" s="14"/>
      <c r="Y104" s="14"/>
      <c r="Z104" s="14"/>
    </row>
    <row r="105" spans="1:26" ht="15.75" customHeight="1">
      <c r="A105" s="14"/>
      <c r="B105" s="14"/>
      <c r="C105" s="46"/>
      <c r="D105" s="14"/>
      <c r="E105" s="14"/>
      <c r="F105" s="14"/>
      <c r="G105" s="14"/>
      <c r="H105" s="14"/>
      <c r="I105" s="14"/>
      <c r="J105" s="14"/>
      <c r="K105" s="14"/>
      <c r="L105" s="14"/>
      <c r="M105" s="14"/>
      <c r="N105" s="14"/>
      <c r="O105" s="14"/>
      <c r="P105" s="14"/>
      <c r="Q105" s="45"/>
      <c r="R105" s="14"/>
      <c r="S105" s="14"/>
      <c r="T105" s="14"/>
      <c r="U105" s="14"/>
      <c r="V105" s="14"/>
      <c r="W105" s="14"/>
      <c r="X105" s="14"/>
      <c r="Y105" s="14"/>
      <c r="Z105" s="14"/>
    </row>
    <row r="106" spans="1:26" ht="15.75" customHeight="1">
      <c r="A106" s="14"/>
      <c r="B106" s="14"/>
      <c r="C106" s="46"/>
      <c r="D106" s="14"/>
      <c r="E106" s="14"/>
      <c r="F106" s="14"/>
      <c r="G106" s="14"/>
      <c r="H106" s="14"/>
      <c r="I106" s="14"/>
      <c r="J106" s="14"/>
      <c r="K106" s="14"/>
      <c r="L106" s="14"/>
      <c r="M106" s="14"/>
      <c r="N106" s="14"/>
      <c r="O106" s="14"/>
      <c r="P106" s="14"/>
      <c r="Q106" s="45"/>
      <c r="R106" s="14"/>
      <c r="S106" s="14"/>
      <c r="T106" s="14"/>
      <c r="U106" s="14"/>
      <c r="V106" s="14"/>
      <c r="W106" s="14"/>
      <c r="X106" s="14"/>
      <c r="Y106" s="14"/>
      <c r="Z106" s="14"/>
    </row>
    <row r="107" spans="1:26" ht="15.75" customHeight="1">
      <c r="A107" s="14"/>
      <c r="B107" s="14"/>
      <c r="C107" s="46"/>
      <c r="D107" s="14"/>
      <c r="E107" s="14"/>
      <c r="F107" s="14"/>
      <c r="G107" s="14"/>
      <c r="H107" s="14"/>
      <c r="I107" s="14"/>
      <c r="J107" s="14"/>
      <c r="K107" s="14"/>
      <c r="L107" s="14"/>
      <c r="M107" s="14"/>
      <c r="N107" s="14"/>
      <c r="O107" s="14"/>
      <c r="P107" s="14"/>
      <c r="Q107" s="45"/>
      <c r="R107" s="14"/>
      <c r="S107" s="14"/>
      <c r="T107" s="14"/>
      <c r="U107" s="14"/>
      <c r="V107" s="14"/>
      <c r="W107" s="14"/>
      <c r="X107" s="14"/>
      <c r="Y107" s="14"/>
      <c r="Z107" s="14"/>
    </row>
    <row r="108" spans="1:26" ht="15.75" customHeight="1">
      <c r="A108" s="14"/>
      <c r="B108" s="14"/>
      <c r="C108" s="46"/>
      <c r="D108" s="14"/>
      <c r="E108" s="14"/>
      <c r="F108" s="14"/>
      <c r="G108" s="14"/>
      <c r="H108" s="14"/>
      <c r="I108" s="14"/>
      <c r="J108" s="14"/>
      <c r="K108" s="14"/>
      <c r="L108" s="14"/>
      <c r="M108" s="14"/>
      <c r="N108" s="14"/>
      <c r="O108" s="14"/>
      <c r="P108" s="14"/>
      <c r="Q108" s="45"/>
      <c r="R108" s="14"/>
      <c r="S108" s="14"/>
      <c r="T108" s="14"/>
      <c r="U108" s="14"/>
      <c r="V108" s="14"/>
      <c r="W108" s="14"/>
      <c r="X108" s="14"/>
      <c r="Y108" s="14"/>
      <c r="Z108" s="14"/>
    </row>
    <row r="109" spans="1:26" ht="15.75" customHeight="1">
      <c r="A109" s="14"/>
      <c r="B109" s="14"/>
      <c r="C109" s="46"/>
      <c r="D109" s="14"/>
      <c r="E109" s="14"/>
      <c r="F109" s="14"/>
      <c r="G109" s="14"/>
      <c r="H109" s="14"/>
      <c r="I109" s="14"/>
      <c r="J109" s="14"/>
      <c r="K109" s="14"/>
      <c r="L109" s="14"/>
      <c r="M109" s="14"/>
      <c r="N109" s="14"/>
      <c r="O109" s="14"/>
      <c r="P109" s="14"/>
      <c r="Q109" s="45"/>
      <c r="R109" s="14"/>
      <c r="S109" s="14"/>
      <c r="T109" s="14"/>
      <c r="U109" s="14"/>
      <c r="V109" s="14"/>
      <c r="W109" s="14"/>
      <c r="X109" s="14"/>
      <c r="Y109" s="14"/>
      <c r="Z109" s="14"/>
    </row>
    <row r="110" spans="1:26" ht="15.75" customHeight="1">
      <c r="A110" s="14"/>
      <c r="B110" s="14"/>
      <c r="C110" s="46"/>
      <c r="D110" s="14"/>
      <c r="E110" s="14"/>
      <c r="F110" s="14"/>
      <c r="G110" s="14"/>
      <c r="H110" s="14"/>
      <c r="I110" s="14"/>
      <c r="J110" s="14"/>
      <c r="K110" s="14"/>
      <c r="L110" s="14"/>
      <c r="M110" s="14"/>
      <c r="N110" s="14"/>
      <c r="O110" s="14"/>
      <c r="P110" s="14"/>
      <c r="Q110" s="45"/>
      <c r="R110" s="14"/>
      <c r="S110" s="14"/>
      <c r="T110" s="14"/>
      <c r="U110" s="14"/>
      <c r="V110" s="14"/>
      <c r="W110" s="14"/>
      <c r="X110" s="14"/>
      <c r="Y110" s="14"/>
      <c r="Z110" s="14"/>
    </row>
    <row r="111" spans="1:26" ht="15.75" customHeight="1">
      <c r="A111" s="14"/>
      <c r="B111" s="14"/>
      <c r="C111" s="46"/>
      <c r="D111" s="14"/>
      <c r="E111" s="14"/>
      <c r="F111" s="14"/>
      <c r="G111" s="14"/>
      <c r="H111" s="14"/>
      <c r="I111" s="14"/>
      <c r="J111" s="14"/>
      <c r="K111" s="14"/>
      <c r="L111" s="14"/>
      <c r="M111" s="14"/>
      <c r="N111" s="14"/>
      <c r="O111" s="14"/>
      <c r="P111" s="14"/>
      <c r="Q111" s="45"/>
      <c r="R111" s="14"/>
      <c r="S111" s="14"/>
      <c r="T111" s="14"/>
      <c r="U111" s="14"/>
      <c r="V111" s="14"/>
      <c r="W111" s="14"/>
      <c r="X111" s="14"/>
      <c r="Y111" s="14"/>
      <c r="Z111" s="14"/>
    </row>
    <row r="112" spans="1:26" ht="15.75" customHeight="1">
      <c r="A112" s="14"/>
      <c r="B112" s="14"/>
      <c r="C112" s="46"/>
      <c r="D112" s="14"/>
      <c r="E112" s="14"/>
      <c r="F112" s="14"/>
      <c r="G112" s="14"/>
      <c r="H112" s="14"/>
      <c r="I112" s="14"/>
      <c r="J112" s="14"/>
      <c r="K112" s="14"/>
      <c r="L112" s="14"/>
      <c r="M112" s="14"/>
      <c r="N112" s="14"/>
      <c r="O112" s="14"/>
      <c r="P112" s="14"/>
      <c r="Q112" s="45"/>
      <c r="R112" s="14"/>
      <c r="S112" s="14"/>
      <c r="T112" s="14"/>
      <c r="U112" s="14"/>
      <c r="V112" s="14"/>
      <c r="W112" s="14"/>
      <c r="X112" s="14"/>
      <c r="Y112" s="14"/>
      <c r="Z112" s="14"/>
    </row>
    <row r="113" spans="1:26" ht="15.75" customHeight="1">
      <c r="A113" s="14"/>
      <c r="B113" s="14"/>
      <c r="C113" s="46"/>
      <c r="D113" s="14"/>
      <c r="E113" s="14"/>
      <c r="F113" s="14"/>
      <c r="G113" s="14"/>
      <c r="H113" s="14"/>
      <c r="I113" s="14"/>
      <c r="J113" s="14"/>
      <c r="K113" s="14"/>
      <c r="L113" s="14"/>
      <c r="M113" s="14"/>
      <c r="N113" s="14"/>
      <c r="O113" s="14"/>
      <c r="P113" s="14"/>
      <c r="Q113" s="45"/>
      <c r="R113" s="14"/>
      <c r="S113" s="14"/>
      <c r="T113" s="14"/>
      <c r="U113" s="14"/>
      <c r="V113" s="14"/>
      <c r="W113" s="14"/>
      <c r="X113" s="14"/>
      <c r="Y113" s="14"/>
      <c r="Z113" s="14"/>
    </row>
    <row r="114" spans="1:26" ht="15.75" customHeight="1">
      <c r="A114" s="14"/>
      <c r="B114" s="14"/>
      <c r="C114" s="46"/>
      <c r="D114" s="14"/>
      <c r="E114" s="14"/>
      <c r="F114" s="14"/>
      <c r="G114" s="14"/>
      <c r="H114" s="14"/>
      <c r="I114" s="14"/>
      <c r="J114" s="14"/>
      <c r="K114" s="14"/>
      <c r="L114" s="14"/>
      <c r="M114" s="14"/>
      <c r="N114" s="14"/>
      <c r="O114" s="14"/>
      <c r="P114" s="14"/>
      <c r="Q114" s="45"/>
      <c r="R114" s="14"/>
      <c r="S114" s="14"/>
      <c r="T114" s="14"/>
      <c r="U114" s="14"/>
      <c r="V114" s="14"/>
      <c r="W114" s="14"/>
      <c r="X114" s="14"/>
      <c r="Y114" s="14"/>
      <c r="Z114" s="14"/>
    </row>
    <row r="115" spans="1:26" ht="15.75" customHeight="1">
      <c r="A115" s="14"/>
      <c r="B115" s="14"/>
      <c r="C115" s="46"/>
      <c r="D115" s="14"/>
      <c r="E115" s="14"/>
      <c r="F115" s="14"/>
      <c r="G115" s="14"/>
      <c r="H115" s="14"/>
      <c r="I115" s="14"/>
      <c r="J115" s="14"/>
      <c r="K115" s="14"/>
      <c r="L115" s="14"/>
      <c r="M115" s="14"/>
      <c r="N115" s="14"/>
      <c r="O115" s="14"/>
      <c r="P115" s="14"/>
      <c r="Q115" s="45"/>
      <c r="R115" s="14"/>
      <c r="S115" s="14"/>
      <c r="T115" s="14"/>
      <c r="U115" s="14"/>
      <c r="V115" s="14"/>
      <c r="W115" s="14"/>
      <c r="X115" s="14"/>
      <c r="Y115" s="14"/>
      <c r="Z115" s="14"/>
    </row>
    <row r="116" spans="1:26" ht="15.75" customHeight="1">
      <c r="A116" s="14"/>
      <c r="B116" s="14"/>
      <c r="C116" s="46"/>
      <c r="D116" s="14"/>
      <c r="E116" s="14"/>
      <c r="F116" s="14"/>
      <c r="G116" s="14"/>
      <c r="H116" s="14"/>
      <c r="I116" s="14"/>
      <c r="J116" s="14"/>
      <c r="K116" s="14"/>
      <c r="L116" s="14"/>
      <c r="M116" s="14"/>
      <c r="N116" s="14"/>
      <c r="O116" s="14"/>
      <c r="P116" s="14"/>
      <c r="Q116" s="45"/>
      <c r="R116" s="14"/>
      <c r="S116" s="14"/>
      <c r="T116" s="14"/>
      <c r="U116" s="14"/>
      <c r="V116" s="14"/>
      <c r="W116" s="14"/>
      <c r="X116" s="14"/>
      <c r="Y116" s="14"/>
      <c r="Z116" s="14"/>
    </row>
    <row r="117" spans="1:26" ht="15.75" customHeight="1">
      <c r="A117" s="14"/>
      <c r="B117" s="14"/>
      <c r="C117" s="46"/>
      <c r="D117" s="14"/>
      <c r="E117" s="14"/>
      <c r="F117" s="14"/>
      <c r="G117" s="14"/>
      <c r="H117" s="14"/>
      <c r="I117" s="14"/>
      <c r="J117" s="14"/>
      <c r="K117" s="14"/>
      <c r="L117" s="14"/>
      <c r="M117" s="14"/>
      <c r="N117" s="14"/>
      <c r="O117" s="14"/>
      <c r="P117" s="14"/>
      <c r="Q117" s="45"/>
      <c r="R117" s="14"/>
      <c r="S117" s="14"/>
      <c r="T117" s="14"/>
      <c r="U117" s="14"/>
      <c r="V117" s="14"/>
      <c r="W117" s="14"/>
      <c r="X117" s="14"/>
      <c r="Y117" s="14"/>
      <c r="Z117" s="14"/>
    </row>
    <row r="118" spans="1:26" ht="15.75" customHeight="1">
      <c r="A118" s="14"/>
      <c r="B118" s="14"/>
      <c r="C118" s="46"/>
      <c r="D118" s="14"/>
      <c r="E118" s="14"/>
      <c r="F118" s="14"/>
      <c r="G118" s="14"/>
      <c r="H118" s="14"/>
      <c r="I118" s="14"/>
      <c r="J118" s="14"/>
      <c r="K118" s="14"/>
      <c r="L118" s="14"/>
      <c r="M118" s="14"/>
      <c r="N118" s="14"/>
      <c r="O118" s="14"/>
      <c r="P118" s="14"/>
      <c r="Q118" s="45"/>
      <c r="R118" s="14"/>
      <c r="S118" s="14"/>
      <c r="T118" s="14"/>
      <c r="U118" s="14"/>
      <c r="V118" s="14"/>
      <c r="W118" s="14"/>
      <c r="X118" s="14"/>
      <c r="Y118" s="14"/>
      <c r="Z118" s="14"/>
    </row>
    <row r="119" spans="1:26" ht="15.75" customHeight="1">
      <c r="A119" s="14"/>
      <c r="B119" s="14"/>
      <c r="C119" s="46"/>
      <c r="D119" s="14"/>
      <c r="E119" s="14"/>
      <c r="F119" s="14"/>
      <c r="G119" s="14"/>
      <c r="H119" s="14"/>
      <c r="I119" s="14"/>
      <c r="J119" s="14"/>
      <c r="K119" s="14"/>
      <c r="L119" s="14"/>
      <c r="M119" s="14"/>
      <c r="N119" s="14"/>
      <c r="O119" s="14"/>
      <c r="P119" s="14"/>
      <c r="Q119" s="45"/>
      <c r="R119" s="14"/>
      <c r="S119" s="14"/>
      <c r="T119" s="14"/>
      <c r="U119" s="14"/>
      <c r="V119" s="14"/>
      <c r="W119" s="14"/>
      <c r="X119" s="14"/>
      <c r="Y119" s="14"/>
      <c r="Z119" s="14"/>
    </row>
    <row r="120" spans="1:26" ht="15.75" customHeight="1">
      <c r="A120" s="14"/>
      <c r="B120" s="14"/>
      <c r="C120" s="46"/>
      <c r="D120" s="14"/>
      <c r="E120" s="14"/>
      <c r="F120" s="14"/>
      <c r="G120" s="14"/>
      <c r="H120" s="14"/>
      <c r="I120" s="14"/>
      <c r="J120" s="14"/>
      <c r="K120" s="14"/>
      <c r="L120" s="14"/>
      <c r="M120" s="14"/>
      <c r="N120" s="14"/>
      <c r="O120" s="14"/>
      <c r="P120" s="14"/>
      <c r="Q120" s="45"/>
      <c r="R120" s="14"/>
      <c r="S120" s="14"/>
      <c r="T120" s="14"/>
      <c r="U120" s="14"/>
      <c r="V120" s="14"/>
      <c r="W120" s="14"/>
      <c r="X120" s="14"/>
      <c r="Y120" s="14"/>
      <c r="Z120" s="14"/>
    </row>
    <row r="121" spans="1:26" ht="15.75" customHeight="1">
      <c r="A121" s="14"/>
      <c r="B121" s="14"/>
      <c r="C121" s="46"/>
      <c r="D121" s="14"/>
      <c r="E121" s="14"/>
      <c r="F121" s="14"/>
      <c r="G121" s="14"/>
      <c r="H121" s="14"/>
      <c r="I121" s="14"/>
      <c r="J121" s="14"/>
      <c r="K121" s="14"/>
      <c r="L121" s="14"/>
      <c r="M121" s="14"/>
      <c r="N121" s="14"/>
      <c r="O121" s="14"/>
      <c r="P121" s="14"/>
      <c r="Q121" s="45"/>
      <c r="R121" s="14"/>
      <c r="S121" s="14"/>
      <c r="T121" s="14"/>
      <c r="U121" s="14"/>
      <c r="V121" s="14"/>
      <c r="W121" s="14"/>
      <c r="X121" s="14"/>
      <c r="Y121" s="14"/>
      <c r="Z121" s="14"/>
    </row>
    <row r="122" spans="1:26" ht="15.75" customHeight="1">
      <c r="A122" s="14"/>
      <c r="B122" s="14"/>
      <c r="C122" s="46"/>
      <c r="D122" s="14"/>
      <c r="E122" s="14"/>
      <c r="F122" s="14"/>
      <c r="G122" s="14"/>
      <c r="H122" s="14"/>
      <c r="I122" s="14"/>
      <c r="J122" s="14"/>
      <c r="K122" s="14"/>
      <c r="L122" s="14"/>
      <c r="M122" s="14"/>
      <c r="N122" s="14"/>
      <c r="O122" s="14"/>
      <c r="P122" s="14"/>
      <c r="Q122" s="45"/>
      <c r="R122" s="14"/>
      <c r="S122" s="14"/>
      <c r="T122" s="14"/>
      <c r="U122" s="14"/>
      <c r="V122" s="14"/>
      <c r="W122" s="14"/>
      <c r="X122" s="14"/>
      <c r="Y122" s="14"/>
      <c r="Z122" s="14"/>
    </row>
    <row r="123" spans="1:26" ht="15.75" customHeight="1">
      <c r="A123" s="14"/>
      <c r="B123" s="14"/>
      <c r="C123" s="46"/>
      <c r="D123" s="14"/>
      <c r="E123" s="14"/>
      <c r="F123" s="14"/>
      <c r="G123" s="14"/>
      <c r="H123" s="14"/>
      <c r="I123" s="14"/>
      <c r="J123" s="14"/>
      <c r="K123" s="14"/>
      <c r="L123" s="14"/>
      <c r="M123" s="14"/>
      <c r="N123" s="14"/>
      <c r="O123" s="14"/>
      <c r="P123" s="14"/>
      <c r="Q123" s="45"/>
      <c r="R123" s="14"/>
      <c r="S123" s="14"/>
      <c r="T123" s="14"/>
      <c r="U123" s="14"/>
      <c r="V123" s="14"/>
      <c r="W123" s="14"/>
      <c r="X123" s="14"/>
      <c r="Y123" s="14"/>
      <c r="Z123" s="14"/>
    </row>
    <row r="124" spans="1:26" ht="15.75" customHeight="1">
      <c r="A124" s="14"/>
      <c r="B124" s="14"/>
      <c r="C124" s="46"/>
      <c r="D124" s="14"/>
      <c r="E124" s="14"/>
      <c r="F124" s="14"/>
      <c r="G124" s="14"/>
      <c r="H124" s="14"/>
      <c r="I124" s="14"/>
      <c r="J124" s="14"/>
      <c r="K124" s="14"/>
      <c r="L124" s="14"/>
      <c r="M124" s="14"/>
      <c r="N124" s="14"/>
      <c r="O124" s="14"/>
      <c r="P124" s="14"/>
      <c r="Q124" s="45"/>
      <c r="R124" s="14"/>
      <c r="S124" s="14"/>
      <c r="T124" s="14"/>
      <c r="U124" s="14"/>
      <c r="V124" s="14"/>
      <c r="W124" s="14"/>
      <c r="X124" s="14"/>
      <c r="Y124" s="14"/>
      <c r="Z124" s="14"/>
    </row>
    <row r="125" spans="1:26" ht="15.75" customHeight="1">
      <c r="A125" s="14"/>
      <c r="B125" s="14"/>
      <c r="C125" s="46"/>
      <c r="D125" s="14"/>
      <c r="E125" s="14"/>
      <c r="F125" s="14"/>
      <c r="G125" s="14"/>
      <c r="H125" s="14"/>
      <c r="I125" s="14"/>
      <c r="J125" s="14"/>
      <c r="K125" s="14"/>
      <c r="L125" s="14"/>
      <c r="M125" s="14"/>
      <c r="N125" s="14"/>
      <c r="O125" s="14"/>
      <c r="P125" s="14"/>
      <c r="Q125" s="45"/>
      <c r="R125" s="14"/>
      <c r="S125" s="14"/>
      <c r="T125" s="14"/>
      <c r="U125" s="14"/>
      <c r="V125" s="14"/>
      <c r="W125" s="14"/>
      <c r="X125" s="14"/>
      <c r="Y125" s="14"/>
      <c r="Z125" s="14"/>
    </row>
    <row r="126" spans="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mergeCells count="14">
    <mergeCell ref="B43:B52"/>
    <mergeCell ref="B54:B63"/>
    <mergeCell ref="B65:B74"/>
    <mergeCell ref="B76:B85"/>
    <mergeCell ref="J54:J63"/>
    <mergeCell ref="J65:J74"/>
    <mergeCell ref="J76:J85"/>
    <mergeCell ref="J43:J52"/>
    <mergeCell ref="B10:B19"/>
    <mergeCell ref="J10:J19"/>
    <mergeCell ref="B21:B30"/>
    <mergeCell ref="J21:J30"/>
    <mergeCell ref="B32:B41"/>
    <mergeCell ref="J32:J41"/>
  </mergeCells>
  <dataValidations count="1">
    <dataValidation type="list" allowBlank="1" showErrorMessage="1" sqref="C3:C7 E3:E7 G3:G7 I3:I7" xr:uid="{00000000-0002-0000-0100-000000000000}">
      <formula1>$A$1:$A$20</formula1>
    </dataValidation>
  </dataValidation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6" width="5.6640625" customWidth="1"/>
    <col min="7" max="7" width="1.6640625" customWidth="1"/>
    <col min="8" max="8" width="5.6640625" customWidth="1"/>
    <col min="9" max="9" width="1.6640625" customWidth="1"/>
    <col min="10" max="10" width="5.6640625" customWidth="1"/>
    <col min="11" max="11" width="1.6640625" customWidth="1"/>
    <col min="12" max="12" width="5.6640625" customWidth="1"/>
    <col min="13" max="13" width="1.6640625" customWidth="1"/>
    <col min="14" max="14" width="5.6640625" customWidth="1"/>
    <col min="15" max="15" width="1.6640625" customWidth="1"/>
  </cols>
  <sheetData>
    <row r="1" spans="1:15" ht="7.5" customHeight="1">
      <c r="A1" s="1"/>
      <c r="B1" s="1"/>
      <c r="C1" s="1"/>
      <c r="D1" s="1"/>
      <c r="E1" s="1"/>
      <c r="F1" s="1"/>
      <c r="G1" s="1"/>
      <c r="H1" s="1"/>
      <c r="I1" s="1"/>
      <c r="J1" s="1"/>
      <c r="K1" s="1"/>
      <c r="L1" s="1"/>
      <c r="M1" s="1"/>
      <c r="N1" s="1"/>
      <c r="O1" s="1"/>
    </row>
    <row r="2" spans="1:15" ht="15" customHeight="1">
      <c r="A2" s="4"/>
      <c r="B2" s="4"/>
      <c r="C2" s="4"/>
      <c r="D2" s="50" t="s">
        <v>337</v>
      </c>
      <c r="E2" s="5"/>
      <c r="F2" s="51" t="s">
        <v>338</v>
      </c>
      <c r="G2" s="5"/>
      <c r="H2" s="52" t="s">
        <v>339</v>
      </c>
      <c r="I2" s="5"/>
      <c r="J2" s="53" t="s">
        <v>340</v>
      </c>
      <c r="K2" s="5"/>
      <c r="L2" s="54" t="s">
        <v>341</v>
      </c>
      <c r="M2" s="5"/>
      <c r="N2" s="55" t="s">
        <v>342</v>
      </c>
      <c r="O2" s="5"/>
    </row>
    <row r="3" spans="1:15" ht="7.5" customHeight="1">
      <c r="A3" s="4"/>
      <c r="B3" s="4"/>
      <c r="C3" s="4"/>
      <c r="D3" s="6"/>
      <c r="E3" s="4"/>
      <c r="F3" s="4"/>
      <c r="G3" s="4"/>
      <c r="H3" s="4"/>
      <c r="I3" s="4"/>
      <c r="J3" s="4"/>
      <c r="K3" s="4"/>
      <c r="L3" s="4"/>
      <c r="M3" s="4"/>
      <c r="N3" s="4"/>
      <c r="O3" s="4"/>
    </row>
    <row r="4" spans="1:15" ht="15" customHeight="1">
      <c r="A4" s="8"/>
      <c r="B4" s="56" t="s">
        <v>21</v>
      </c>
      <c r="C4" s="9"/>
      <c r="D4" s="57">
        <f>COUNTIF('Draft Board'!D5:CZ5,"QB")</f>
        <v>2</v>
      </c>
      <c r="E4" s="8"/>
      <c r="F4" s="57">
        <f>COUNTIF('Draft Board'!D5:CZ5,"RB")</f>
        <v>14</v>
      </c>
      <c r="G4" s="8"/>
      <c r="H4" s="57">
        <f>COUNTIF('Draft Board'!D5:CZ5,"WR")</f>
        <v>3</v>
      </c>
      <c r="I4" s="8"/>
      <c r="J4" s="57">
        <f>COUNTIF('Draft Board'!D5:CZ5,"TE")</f>
        <v>1</v>
      </c>
      <c r="K4" s="8"/>
      <c r="L4" s="57">
        <f>COUNTIF('Draft Board'!D5:CZ5,"DEF")</f>
        <v>0</v>
      </c>
      <c r="M4" s="8"/>
      <c r="N4" s="57">
        <f>COUNTIF('Draft Board'!D5:CZ5,"K")</f>
        <v>0</v>
      </c>
      <c r="O4" s="8"/>
    </row>
    <row r="5" spans="1:15" ht="7.5" customHeight="1">
      <c r="A5" s="8"/>
      <c r="B5" s="9"/>
      <c r="C5" s="9"/>
      <c r="D5" s="10"/>
      <c r="E5" s="8"/>
      <c r="F5" s="10"/>
      <c r="G5" s="8"/>
      <c r="H5" s="10"/>
      <c r="I5" s="8"/>
      <c r="J5" s="10"/>
      <c r="K5" s="8"/>
      <c r="L5" s="10"/>
      <c r="M5" s="8"/>
      <c r="N5" s="10"/>
      <c r="O5" s="8"/>
    </row>
    <row r="6" spans="1:15" ht="15" customHeight="1">
      <c r="A6" s="8"/>
      <c r="B6" s="56" t="s">
        <v>43</v>
      </c>
      <c r="C6" s="8"/>
      <c r="D6" s="57">
        <f>COUNTIF('Draft Board'!D8:CZ8,"QB")</f>
        <v>1</v>
      </c>
      <c r="E6" s="8"/>
      <c r="F6" s="57">
        <f>COUNTIF('Draft Board'!D8:CZ8,"RB")</f>
        <v>10</v>
      </c>
      <c r="G6" s="8"/>
      <c r="H6" s="57">
        <f>COUNTIF('Draft Board'!D8:CZ8,"WR")</f>
        <v>8</v>
      </c>
      <c r="I6" s="8"/>
      <c r="J6" s="57">
        <f>COUNTIF('Draft Board'!D8:CZ8,"TE")</f>
        <v>1</v>
      </c>
      <c r="K6" s="8"/>
      <c r="L6" s="57">
        <f>COUNTIF('Draft Board'!D8:CZ8,"DEF")</f>
        <v>0</v>
      </c>
      <c r="M6" s="8"/>
      <c r="N6" s="57">
        <f>COUNTIF('Draft Board'!D8:CZ8,"K")</f>
        <v>0</v>
      </c>
      <c r="O6" s="8"/>
    </row>
    <row r="7" spans="1:15" ht="7.5" customHeight="1">
      <c r="A7" s="8"/>
      <c r="B7" s="9"/>
      <c r="C7" s="8"/>
      <c r="D7" s="8"/>
      <c r="E7" s="8"/>
      <c r="F7" s="8"/>
      <c r="G7" s="8"/>
      <c r="H7" s="8"/>
      <c r="I7" s="8"/>
      <c r="J7" s="8"/>
      <c r="K7" s="8"/>
      <c r="L7" s="8"/>
      <c r="M7" s="8"/>
      <c r="N7" s="8"/>
      <c r="O7" s="8"/>
    </row>
    <row r="8" spans="1:15" ht="15" customHeight="1">
      <c r="A8" s="8"/>
      <c r="B8" s="56" t="s">
        <v>64</v>
      </c>
      <c r="C8" s="8"/>
      <c r="D8" s="57">
        <f>COUNTIF('Draft Board'!D11:CZ11,"QB")</f>
        <v>4</v>
      </c>
      <c r="E8" s="8"/>
      <c r="F8" s="57">
        <f>COUNTIF('Draft Board'!D11:CZ11,"RB")</f>
        <v>5</v>
      </c>
      <c r="G8" s="8"/>
      <c r="H8" s="57">
        <f>COUNTIF('Draft Board'!D11:CZ11,"WR")</f>
        <v>8</v>
      </c>
      <c r="I8" s="8"/>
      <c r="J8" s="57">
        <f>COUNTIF('Draft Board'!D11:CZ11,"TE")</f>
        <v>3</v>
      </c>
      <c r="K8" s="8"/>
      <c r="L8" s="57">
        <f>COUNTIF('Draft Board'!D11:CZ11,"DEF")</f>
        <v>0</v>
      </c>
      <c r="M8" s="8"/>
      <c r="N8" s="57">
        <f>COUNTIF('Draft Board'!D11:CZ11,"K")</f>
        <v>0</v>
      </c>
      <c r="O8" s="8"/>
    </row>
    <row r="9" spans="1:15" ht="7.5" customHeight="1">
      <c r="A9" s="8"/>
      <c r="B9" s="9"/>
      <c r="C9" s="8"/>
      <c r="D9" s="10"/>
      <c r="E9" s="8"/>
      <c r="F9" s="10"/>
      <c r="G9" s="8"/>
      <c r="H9" s="10"/>
      <c r="I9" s="8"/>
      <c r="J9" s="10"/>
      <c r="K9" s="8"/>
      <c r="L9" s="10"/>
      <c r="M9" s="8"/>
      <c r="N9" s="10"/>
      <c r="O9" s="8"/>
    </row>
    <row r="10" spans="1:15" ht="15" customHeight="1">
      <c r="A10" s="8"/>
      <c r="B10" s="56" t="s">
        <v>85</v>
      </c>
      <c r="C10" s="8"/>
      <c r="D10" s="57">
        <f>COUNTIF('Draft Board'!D14:CZ14,"QB")</f>
        <v>3</v>
      </c>
      <c r="E10" s="8"/>
      <c r="F10" s="57">
        <f>COUNTIF('Draft Board'!D14:CZ14,"RB")</f>
        <v>5</v>
      </c>
      <c r="G10" s="8"/>
      <c r="H10" s="57">
        <f>COUNTIF('Draft Board'!D14:CZ14,"WR")</f>
        <v>7</v>
      </c>
      <c r="I10" s="8"/>
      <c r="J10" s="57">
        <f>COUNTIF('Draft Board'!D14:CZ14,"TE")</f>
        <v>5</v>
      </c>
      <c r="K10" s="8"/>
      <c r="L10" s="57">
        <f>COUNTIF('Draft Board'!D14:CZ14,"DEF")</f>
        <v>0</v>
      </c>
      <c r="M10" s="8"/>
      <c r="N10" s="57">
        <f>COUNTIF('Draft Board'!D14:CZ14,"K")</f>
        <v>0</v>
      </c>
      <c r="O10" s="8"/>
    </row>
    <row r="11" spans="1:15" ht="7.5" customHeight="1">
      <c r="A11" s="8"/>
      <c r="B11" s="11"/>
      <c r="C11" s="8"/>
      <c r="D11" s="8"/>
      <c r="E11" s="8"/>
      <c r="F11" s="8"/>
      <c r="G11" s="8"/>
      <c r="H11" s="8"/>
      <c r="I11" s="8"/>
      <c r="J11" s="8"/>
      <c r="K11" s="8"/>
      <c r="L11" s="8"/>
      <c r="M11" s="8"/>
      <c r="N11" s="8"/>
      <c r="O11" s="8"/>
    </row>
    <row r="12" spans="1:15" ht="15" customHeight="1">
      <c r="A12" s="8"/>
      <c r="B12" s="56" t="s">
        <v>106</v>
      </c>
      <c r="C12" s="8"/>
      <c r="D12" s="57">
        <f>COUNTIF('Draft Board'!D17:CZ17,"QB")</f>
        <v>5</v>
      </c>
      <c r="E12" s="8"/>
      <c r="F12" s="57">
        <f>COUNTIF('Draft Board'!D17:CZ17,"RB")</f>
        <v>5</v>
      </c>
      <c r="G12" s="8"/>
      <c r="H12" s="57">
        <f>COUNTIF('Draft Board'!D17:CZ17,"WR")</f>
        <v>7</v>
      </c>
      <c r="I12" s="8"/>
      <c r="J12" s="57">
        <f>COUNTIF('Draft Board'!D17:CZ17,"TE")</f>
        <v>2</v>
      </c>
      <c r="K12" s="8"/>
      <c r="L12" s="57">
        <f>COUNTIF('Draft Board'!D17:CZ17,"DEF")</f>
        <v>1</v>
      </c>
      <c r="M12" s="8"/>
      <c r="N12" s="57">
        <f>COUNTIF('Draft Board'!D17:CZ17,"K")</f>
        <v>0</v>
      </c>
      <c r="O12" s="8"/>
    </row>
    <row r="13" spans="1:15" ht="7.5" customHeight="1">
      <c r="A13" s="8"/>
      <c r="B13" s="11"/>
      <c r="C13" s="8"/>
      <c r="D13" s="10"/>
      <c r="E13" s="8"/>
      <c r="F13" s="10"/>
      <c r="G13" s="8"/>
      <c r="H13" s="10"/>
      <c r="I13" s="8"/>
      <c r="J13" s="10"/>
      <c r="K13" s="8"/>
      <c r="L13" s="10"/>
      <c r="M13" s="8"/>
      <c r="N13" s="10"/>
      <c r="O13" s="8"/>
    </row>
    <row r="14" spans="1:15" ht="15" customHeight="1">
      <c r="A14" s="8"/>
      <c r="B14" s="56" t="s">
        <v>127</v>
      </c>
      <c r="C14" s="8"/>
      <c r="D14" s="57">
        <f>COUNTIF('Draft Board'!D20:CZ20,"QB")</f>
        <v>1</v>
      </c>
      <c r="E14" s="8"/>
      <c r="F14" s="57">
        <f>COUNTIF('Draft Board'!D20:CZ20,"RB")</f>
        <v>3</v>
      </c>
      <c r="G14" s="8"/>
      <c r="H14" s="57">
        <f>COUNTIF('Draft Board'!D20:CZ20,"WR")</f>
        <v>8</v>
      </c>
      <c r="I14" s="8"/>
      <c r="J14" s="57">
        <f>COUNTIF('Draft Board'!D20:CZ20,"TE")</f>
        <v>6</v>
      </c>
      <c r="K14" s="8"/>
      <c r="L14" s="57">
        <f>COUNTIF('Draft Board'!D20:CZ20,"DEF")</f>
        <v>2</v>
      </c>
      <c r="M14" s="8"/>
      <c r="N14" s="57">
        <f>COUNTIF('Draft Board'!D20:CZ20,"K")</f>
        <v>0</v>
      </c>
      <c r="O14" s="8"/>
    </row>
    <row r="15" spans="1:15" ht="7.5" customHeight="1">
      <c r="A15" s="8"/>
      <c r="B15" s="11"/>
      <c r="C15" s="8"/>
      <c r="D15" s="8"/>
      <c r="E15" s="8"/>
      <c r="F15" s="8"/>
      <c r="G15" s="8"/>
      <c r="H15" s="8"/>
      <c r="I15" s="8"/>
      <c r="J15" s="8"/>
      <c r="K15" s="8"/>
      <c r="L15" s="8"/>
      <c r="M15" s="8"/>
      <c r="N15" s="8"/>
      <c r="O15" s="8"/>
    </row>
    <row r="16" spans="1:15" ht="15" customHeight="1">
      <c r="A16" s="8"/>
      <c r="B16" s="56" t="s">
        <v>148</v>
      </c>
      <c r="C16" s="8"/>
      <c r="D16" s="57">
        <f>COUNTIF('Draft Board'!D23:CZ23,"QB")</f>
        <v>1</v>
      </c>
      <c r="E16" s="8"/>
      <c r="F16" s="57">
        <f>COUNTIF('Draft Board'!D23:CZ23,"RB")</f>
        <v>6</v>
      </c>
      <c r="G16" s="8"/>
      <c r="H16" s="57">
        <f>COUNTIF('Draft Board'!D23:CZ23,"WR")</f>
        <v>5</v>
      </c>
      <c r="I16" s="8"/>
      <c r="J16" s="57">
        <f>COUNTIF('Draft Board'!D23:CZ23,"TE")</f>
        <v>2</v>
      </c>
      <c r="K16" s="8"/>
      <c r="L16" s="57">
        <f>COUNTIF('Draft Board'!D23:CZ23,"DEF")</f>
        <v>4</v>
      </c>
      <c r="M16" s="8"/>
      <c r="N16" s="57">
        <f>COUNTIF('Draft Board'!D23:CZ23,"K")</f>
        <v>2</v>
      </c>
      <c r="O16" s="8"/>
    </row>
    <row r="17" spans="1:15" ht="7.5" customHeight="1">
      <c r="A17" s="8"/>
      <c r="B17" s="11"/>
      <c r="C17" s="8"/>
      <c r="D17" s="10"/>
      <c r="E17" s="8"/>
      <c r="F17" s="10"/>
      <c r="G17" s="8"/>
      <c r="H17" s="10"/>
      <c r="I17" s="8"/>
      <c r="J17" s="10"/>
      <c r="K17" s="8"/>
      <c r="L17" s="10"/>
      <c r="M17" s="8"/>
      <c r="N17" s="10"/>
      <c r="O17" s="8"/>
    </row>
    <row r="18" spans="1:15" ht="15" customHeight="1">
      <c r="A18" s="8"/>
      <c r="B18" s="56" t="s">
        <v>169</v>
      </c>
      <c r="C18" s="8"/>
      <c r="D18" s="57">
        <f>COUNTIF('Draft Board'!D26:CZ26,"QB")</f>
        <v>5</v>
      </c>
      <c r="E18" s="8"/>
      <c r="F18" s="57">
        <f>COUNTIF('Draft Board'!D26:CZ26,"RB")</f>
        <v>1</v>
      </c>
      <c r="G18" s="8"/>
      <c r="H18" s="57">
        <f>COUNTIF('Draft Board'!D26:CZ26,"WR")</f>
        <v>7</v>
      </c>
      <c r="I18" s="8"/>
      <c r="J18" s="57">
        <f>COUNTIF('Draft Board'!D26:CZ26,"TE")</f>
        <v>0</v>
      </c>
      <c r="K18" s="8"/>
      <c r="L18" s="57">
        <f>COUNTIF('Draft Board'!D26:CZ26,"DEF")</f>
        <v>5</v>
      </c>
      <c r="M18" s="8"/>
      <c r="N18" s="57">
        <f>COUNTIF('Draft Board'!D26:CZ26,"K")</f>
        <v>2</v>
      </c>
      <c r="O18" s="8"/>
    </row>
    <row r="19" spans="1:15" ht="7.5" customHeight="1">
      <c r="A19" s="8"/>
      <c r="B19" s="11"/>
      <c r="C19" s="8"/>
      <c r="D19" s="8"/>
      <c r="E19" s="8"/>
      <c r="F19" s="8"/>
      <c r="G19" s="8"/>
      <c r="H19" s="8"/>
      <c r="I19" s="8"/>
      <c r="J19" s="8"/>
      <c r="K19" s="8"/>
      <c r="L19" s="8"/>
      <c r="M19" s="8"/>
      <c r="N19" s="8"/>
      <c r="O19" s="8"/>
    </row>
    <row r="20" spans="1:15" ht="15" customHeight="1">
      <c r="A20" s="8"/>
      <c r="B20" s="56" t="s">
        <v>190</v>
      </c>
      <c r="C20" s="8"/>
      <c r="D20" s="57">
        <f>COUNTIF('Draft Board'!D29:CZ29,"QB")</f>
        <v>2</v>
      </c>
      <c r="E20" s="8"/>
      <c r="F20" s="57">
        <f>COUNTIF('Draft Board'!D29:CZ29,"RB")</f>
        <v>11</v>
      </c>
      <c r="G20" s="8"/>
      <c r="H20" s="57">
        <f>COUNTIF('Draft Board'!D29:CZ29,"WR")</f>
        <v>3</v>
      </c>
      <c r="I20" s="8"/>
      <c r="J20" s="57">
        <f>COUNTIF('Draft Board'!D29:CZ29,"TE")</f>
        <v>2</v>
      </c>
      <c r="K20" s="8"/>
      <c r="L20" s="57">
        <f>COUNTIF('Draft Board'!D29:CZ29,"DEF")</f>
        <v>1</v>
      </c>
      <c r="M20" s="8"/>
      <c r="N20" s="57">
        <f>COUNTIF('Draft Board'!D29:CZ29,"K")</f>
        <v>1</v>
      </c>
      <c r="O20" s="8"/>
    </row>
    <row r="21" spans="1:15" ht="7.5" customHeight="1">
      <c r="A21" s="8"/>
      <c r="B21" s="11"/>
      <c r="C21" s="8"/>
      <c r="D21" s="10"/>
      <c r="E21" s="8"/>
      <c r="F21" s="10"/>
      <c r="G21" s="8"/>
      <c r="H21" s="10"/>
      <c r="I21" s="8"/>
      <c r="J21" s="10"/>
      <c r="K21" s="8"/>
      <c r="L21" s="10"/>
      <c r="M21" s="8"/>
      <c r="N21" s="10"/>
      <c r="O21" s="8"/>
    </row>
    <row r="22" spans="1:15" ht="15" customHeight="1">
      <c r="A22" s="8"/>
      <c r="B22" s="56" t="s">
        <v>211</v>
      </c>
      <c r="C22" s="8"/>
      <c r="D22" s="57">
        <f>COUNTIF('Draft Board'!D32:CZ32,"QB")</f>
        <v>3</v>
      </c>
      <c r="E22" s="8"/>
      <c r="F22" s="57">
        <f>COUNTIF('Draft Board'!D32:CZ32,"RB")</f>
        <v>4</v>
      </c>
      <c r="G22" s="8"/>
      <c r="H22" s="57">
        <f>COUNTIF('Draft Board'!D32:CZ32,"WR")</f>
        <v>9</v>
      </c>
      <c r="I22" s="8"/>
      <c r="J22" s="57">
        <f>COUNTIF('Draft Board'!D32:CZ32,"TE")</f>
        <v>1</v>
      </c>
      <c r="K22" s="8"/>
      <c r="L22" s="57">
        <f>COUNTIF('Draft Board'!D32:CZ32,"DEF")</f>
        <v>1</v>
      </c>
      <c r="M22" s="8"/>
      <c r="N22" s="57">
        <f>COUNTIF('Draft Board'!D32:CZ32,"K")</f>
        <v>2</v>
      </c>
      <c r="O22" s="8"/>
    </row>
    <row r="23" spans="1:15" ht="7.5" customHeight="1">
      <c r="A23" s="8"/>
      <c r="B23" s="11"/>
      <c r="C23" s="8"/>
      <c r="D23" s="8"/>
      <c r="E23" s="8"/>
      <c r="F23" s="8"/>
      <c r="G23" s="8"/>
      <c r="H23" s="8"/>
      <c r="I23" s="8"/>
      <c r="J23" s="8"/>
      <c r="K23" s="8"/>
      <c r="L23" s="8"/>
      <c r="M23" s="8"/>
      <c r="N23" s="8"/>
      <c r="O23" s="8"/>
    </row>
    <row r="24" spans="1:15" ht="15" customHeight="1">
      <c r="A24" s="8"/>
      <c r="B24" s="56" t="s">
        <v>232</v>
      </c>
      <c r="C24" s="8"/>
      <c r="D24" s="57">
        <f>COUNTIF('Draft Board'!D35:CZ35,"QB")</f>
        <v>3</v>
      </c>
      <c r="E24" s="8"/>
      <c r="F24" s="57">
        <f>COUNTIF('Draft Board'!D35:CZ35,"RB")</f>
        <v>5</v>
      </c>
      <c r="G24" s="8"/>
      <c r="H24" s="57">
        <f>COUNTIF('Draft Board'!D35:CZ35,"WR")</f>
        <v>5</v>
      </c>
      <c r="I24" s="8"/>
      <c r="J24" s="57">
        <f>COUNTIF('Draft Board'!D35:CZ35,"TE")</f>
        <v>5</v>
      </c>
      <c r="K24" s="8"/>
      <c r="L24" s="57">
        <f>COUNTIF('Draft Board'!D35:CZ35,"DEF")</f>
        <v>2</v>
      </c>
      <c r="M24" s="8"/>
      <c r="N24" s="57">
        <f>COUNTIF('Draft Board'!D35:CZ35,"K")</f>
        <v>0</v>
      </c>
      <c r="O24" s="8"/>
    </row>
    <row r="25" spans="1:15" ht="7.5" customHeight="1">
      <c r="A25" s="8"/>
      <c r="B25" s="11"/>
      <c r="C25" s="8"/>
      <c r="D25" s="10"/>
      <c r="E25" s="8"/>
      <c r="F25" s="10"/>
      <c r="G25" s="8"/>
      <c r="H25" s="10"/>
      <c r="I25" s="8"/>
      <c r="J25" s="10"/>
      <c r="K25" s="8"/>
      <c r="L25" s="10"/>
      <c r="M25" s="8"/>
      <c r="N25" s="10"/>
      <c r="O25" s="8"/>
    </row>
    <row r="26" spans="1:15" ht="15" customHeight="1">
      <c r="A26" s="8"/>
      <c r="B26" s="56" t="s">
        <v>253</v>
      </c>
      <c r="C26" s="8"/>
      <c r="D26" s="57">
        <f>COUNTIF('Draft Board'!D38:CZ38,"QB")</f>
        <v>5</v>
      </c>
      <c r="E26" s="8"/>
      <c r="F26" s="57">
        <f>COUNTIF('Draft Board'!D38:CZ38,"RB")</f>
        <v>4</v>
      </c>
      <c r="G26" s="8"/>
      <c r="H26" s="57">
        <f>COUNTIF('Draft Board'!D38:CZ38,"WR")</f>
        <v>4</v>
      </c>
      <c r="I26" s="8"/>
      <c r="J26" s="57">
        <f>COUNTIF('Draft Board'!D38:CZ38,"TE")</f>
        <v>5</v>
      </c>
      <c r="K26" s="8"/>
      <c r="L26" s="57">
        <f>COUNTIF('Draft Board'!D38:CZ38,"DEF")</f>
        <v>1</v>
      </c>
      <c r="M26" s="8"/>
      <c r="N26" s="57">
        <f>COUNTIF('Draft Board'!D38:CZ38,"K")</f>
        <v>1</v>
      </c>
      <c r="O26" s="8"/>
    </row>
    <row r="27" spans="1:15" ht="7.5" customHeight="1">
      <c r="A27" s="8"/>
      <c r="B27" s="11"/>
      <c r="C27" s="8"/>
      <c r="D27" s="8"/>
      <c r="E27" s="8"/>
      <c r="F27" s="8"/>
      <c r="G27" s="8"/>
      <c r="H27" s="8"/>
      <c r="I27" s="8"/>
      <c r="J27" s="8"/>
      <c r="K27" s="8"/>
      <c r="L27" s="8"/>
      <c r="M27" s="8"/>
      <c r="N27" s="8"/>
      <c r="O27" s="8"/>
    </row>
    <row r="28" spans="1:15" ht="15" customHeight="1">
      <c r="A28" s="8"/>
      <c r="B28" s="56" t="s">
        <v>274</v>
      </c>
      <c r="C28" s="8"/>
      <c r="D28" s="57">
        <f>COUNTIF('Draft Board'!D41:CZ41,"QB")</f>
        <v>2</v>
      </c>
      <c r="E28" s="8"/>
      <c r="F28" s="57">
        <f>COUNTIF('Draft Board'!D41:CZ41,"RB")</f>
        <v>5</v>
      </c>
      <c r="G28" s="8"/>
      <c r="H28" s="57">
        <f>COUNTIF('Draft Board'!D41:CZ41,"WR")</f>
        <v>3</v>
      </c>
      <c r="I28" s="8"/>
      <c r="J28" s="57">
        <f>COUNTIF('Draft Board'!D41:CZ41,"TE")</f>
        <v>2</v>
      </c>
      <c r="K28" s="8"/>
      <c r="L28" s="57">
        <f>COUNTIF('Draft Board'!D41:CZ41,"DEF")</f>
        <v>5</v>
      </c>
      <c r="M28" s="8"/>
      <c r="N28" s="57">
        <f>COUNTIF('Draft Board'!D41:CZ41,"K")</f>
        <v>3</v>
      </c>
      <c r="O28" s="8"/>
    </row>
    <row r="29" spans="1:15" ht="7.5" customHeight="1">
      <c r="A29" s="8"/>
      <c r="B29" s="11"/>
      <c r="C29" s="8"/>
      <c r="D29" s="10"/>
      <c r="E29" s="8"/>
      <c r="F29" s="10"/>
      <c r="G29" s="8"/>
      <c r="H29" s="10"/>
      <c r="I29" s="8"/>
      <c r="J29" s="10"/>
      <c r="K29" s="8"/>
      <c r="L29" s="10"/>
      <c r="M29" s="8"/>
      <c r="N29" s="10"/>
      <c r="O29" s="8"/>
    </row>
    <row r="30" spans="1:15" ht="15" customHeight="1">
      <c r="A30" s="8"/>
      <c r="B30" s="56" t="s">
        <v>295</v>
      </c>
      <c r="C30" s="8"/>
      <c r="D30" s="57">
        <f>COUNTIF('Draft Board'!D44:CZ44,"QB")</f>
        <v>2</v>
      </c>
      <c r="E30" s="8"/>
      <c r="F30" s="57">
        <f>COUNTIF('Draft Board'!D44:CZ44,"RB")</f>
        <v>0</v>
      </c>
      <c r="G30" s="8"/>
      <c r="H30" s="57">
        <f>COUNTIF('Draft Board'!D44:CZ44,"WR")</f>
        <v>8</v>
      </c>
      <c r="I30" s="8"/>
      <c r="J30" s="57">
        <f>COUNTIF('Draft Board'!D44:CZ44,"TE")</f>
        <v>2</v>
      </c>
      <c r="K30" s="8"/>
      <c r="L30" s="57">
        <f>COUNTIF('Draft Board'!D44:CZ44,"DEF")</f>
        <v>2</v>
      </c>
      <c r="M30" s="8"/>
      <c r="N30" s="57">
        <f>COUNTIF('Draft Board'!D44:CZ44,"K")</f>
        <v>6</v>
      </c>
      <c r="O30" s="8"/>
    </row>
    <row r="31" spans="1:15" ht="7.5" customHeight="1">
      <c r="A31" s="8"/>
      <c r="B31" s="11"/>
      <c r="C31" s="8"/>
      <c r="D31" s="8"/>
      <c r="E31" s="8"/>
      <c r="F31" s="8"/>
      <c r="G31" s="8"/>
      <c r="H31" s="8"/>
      <c r="I31" s="8"/>
      <c r="J31" s="8"/>
      <c r="K31" s="8"/>
      <c r="L31" s="8"/>
      <c r="M31" s="8"/>
      <c r="N31" s="8"/>
      <c r="O31" s="8"/>
    </row>
    <row r="32" spans="1:15" ht="15" customHeight="1">
      <c r="A32" s="8"/>
      <c r="B32" s="56" t="s">
        <v>316</v>
      </c>
      <c r="C32" s="8"/>
      <c r="D32" s="57">
        <f>COUNTIF('Draft Board'!D47:CZ47,"QB")</f>
        <v>0</v>
      </c>
      <c r="E32" s="8"/>
      <c r="F32" s="57">
        <f>COUNTIF('Draft Board'!D47:CZ47,"RB")</f>
        <v>4</v>
      </c>
      <c r="G32" s="8"/>
      <c r="H32" s="57">
        <f>COUNTIF('Draft Board'!D47:CZ47,"WR")</f>
        <v>4</v>
      </c>
      <c r="I32" s="8"/>
      <c r="J32" s="57">
        <f>COUNTIF('Draft Board'!D47:CZ47,"TE")</f>
        <v>1</v>
      </c>
      <c r="K32" s="8"/>
      <c r="L32" s="57">
        <f>COUNTIF('Draft Board'!D47:CZ47,"DEF")</f>
        <v>4</v>
      </c>
      <c r="M32" s="8"/>
      <c r="N32" s="57">
        <f>COUNTIF('Draft Board'!D47:CZ47,"K")</f>
        <v>7</v>
      </c>
      <c r="O32" s="8"/>
    </row>
    <row r="33" spans="1:15" ht="7.5" customHeight="1">
      <c r="A33" s="1"/>
      <c r="B33" s="1"/>
      <c r="C33" s="1"/>
      <c r="D33" s="1"/>
      <c r="E33" s="1"/>
      <c r="F33" s="1"/>
      <c r="G33" s="1"/>
      <c r="H33" s="1"/>
      <c r="I33" s="1"/>
      <c r="J33" s="1"/>
      <c r="K33" s="1"/>
      <c r="L33" s="1"/>
      <c r="M33" s="1"/>
      <c r="N33" s="1"/>
      <c r="O33" s="1"/>
    </row>
    <row r="34" spans="1:15" ht="15.75" customHeight="1">
      <c r="B34" s="56" t="s">
        <v>382</v>
      </c>
      <c r="D34" s="58">
        <f>SUM(D4:D32)</f>
        <v>39</v>
      </c>
      <c r="F34" s="58">
        <f>SUM(F4:F32)</f>
        <v>82</v>
      </c>
      <c r="G34" s="59"/>
      <c r="H34" s="58">
        <f>SUM(H4:H32)</f>
        <v>89</v>
      </c>
      <c r="I34" s="59"/>
      <c r="J34" s="58">
        <f>SUM(J4:J32)</f>
        <v>38</v>
      </c>
      <c r="K34" s="59"/>
      <c r="L34" s="58">
        <f>SUM(L4:L32)</f>
        <v>28</v>
      </c>
      <c r="M34" s="59"/>
      <c r="N34" s="58">
        <f>SUM(N4:N32)</f>
        <v>24</v>
      </c>
    </row>
    <row r="35" spans="1:15" ht="15.75" customHeight="1">
      <c r="D35" s="14"/>
    </row>
    <row r="36" spans="1:15" ht="4.5" customHeight="1">
      <c r="D36" s="14"/>
    </row>
    <row r="37" spans="1:15" ht="15.75" customHeight="1">
      <c r="D37" s="14"/>
    </row>
    <row r="38" spans="1:15" ht="4.5" customHeight="1">
      <c r="D38" s="14"/>
    </row>
    <row r="39" spans="1:15" ht="15.75" customHeight="1">
      <c r="D39" s="14"/>
    </row>
    <row r="40" spans="1:15" ht="4.5" customHeight="1">
      <c r="D40" s="14"/>
    </row>
    <row r="41" spans="1:15" ht="15.75" customHeight="1">
      <c r="D41" s="14"/>
    </row>
    <row r="42" spans="1:15" ht="4.5" customHeight="1">
      <c r="D42" s="14"/>
    </row>
    <row r="43" spans="1:15" ht="15.75" customHeight="1">
      <c r="D43" s="14"/>
    </row>
    <row r="44" spans="1:15" ht="4.5" customHeight="1">
      <c r="D44" s="14"/>
    </row>
    <row r="45" spans="1:15" ht="15.75" customHeight="1">
      <c r="D45" s="14"/>
    </row>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4 F4 H4 J4 L4 N4">
    <cfRule type="expression" dxfId="17400" priority="1">
      <formula>#REF!="K"</formula>
    </cfRule>
  </conditionalFormatting>
  <conditionalFormatting sqref="D4 F4 H4 J4 L4 N4">
    <cfRule type="expression" dxfId="17399" priority="2">
      <formula>#REF!="DEF"</formula>
    </cfRule>
  </conditionalFormatting>
  <conditionalFormatting sqref="D4 F4 H4 J4 L4 N4">
    <cfRule type="expression" dxfId="17398" priority="3">
      <formula>#REF!="TE"</formula>
    </cfRule>
  </conditionalFormatting>
  <conditionalFormatting sqref="D4 F4 H4 J4 L4 N4">
    <cfRule type="expression" dxfId="17397" priority="4">
      <formula>#REF!="WR"</formula>
    </cfRule>
  </conditionalFormatting>
  <conditionalFormatting sqref="D4 F4 H4 J4 L4 N4">
    <cfRule type="expression" dxfId="17396" priority="5">
      <formula>#REF!="RB"</formula>
    </cfRule>
  </conditionalFormatting>
  <conditionalFormatting sqref="D4 F4 H4 J4 L4 N4">
    <cfRule type="expression" dxfId="17395" priority="6">
      <formula>#REF!="QB"</formula>
    </cfRule>
  </conditionalFormatting>
  <conditionalFormatting sqref="D6 F6 H6 J6 L6 N6">
    <cfRule type="expression" dxfId="17394" priority="7">
      <formula>#REF!="K"</formula>
    </cfRule>
  </conditionalFormatting>
  <conditionalFormatting sqref="D6 F6 H6 J6 L6 N6">
    <cfRule type="expression" dxfId="17393" priority="8">
      <formula>#REF!="DEF"</formula>
    </cfRule>
  </conditionalFormatting>
  <conditionalFormatting sqref="D6 F6 H6 J6 L6 N6">
    <cfRule type="expression" dxfId="17392" priority="9">
      <formula>#REF!="TE"</formula>
    </cfRule>
  </conditionalFormatting>
  <conditionalFormatting sqref="D6 F6 H6 J6 L6 N6">
    <cfRule type="expression" dxfId="17391" priority="10">
      <formula>#REF!="WR"</formula>
    </cfRule>
  </conditionalFormatting>
  <conditionalFormatting sqref="D6 F6 H6 J6 L6 N6">
    <cfRule type="expression" dxfId="17390" priority="11">
      <formula>#REF!="RB"</formula>
    </cfRule>
  </conditionalFormatting>
  <conditionalFormatting sqref="D6 F6 H6 J6 L6 N6">
    <cfRule type="expression" dxfId="17389" priority="12">
      <formula>#REF!="QB"</formula>
    </cfRule>
  </conditionalFormatting>
  <conditionalFormatting sqref="D8 F8 H8 J8 L8 N8">
    <cfRule type="expression" dxfId="17388" priority="13">
      <formula>#REF!="K"</formula>
    </cfRule>
  </conditionalFormatting>
  <conditionalFormatting sqref="D8 F8 H8 J8 L8 N8">
    <cfRule type="expression" dxfId="17387" priority="14">
      <formula>#REF!="DEF"</formula>
    </cfRule>
  </conditionalFormatting>
  <conditionalFormatting sqref="D8 F8 H8 J8 L8 N8">
    <cfRule type="expression" dxfId="17386" priority="15">
      <formula>#REF!="TE"</formula>
    </cfRule>
  </conditionalFormatting>
  <conditionalFormatting sqref="D8 F8 H8 J8 L8 N8">
    <cfRule type="expression" dxfId="17385" priority="16">
      <formula>#REF!="WR"</formula>
    </cfRule>
  </conditionalFormatting>
  <conditionalFormatting sqref="D8 F8 H8 J8 L8 N8">
    <cfRule type="expression" dxfId="17384" priority="17">
      <formula>#REF!="RB"</formula>
    </cfRule>
  </conditionalFormatting>
  <conditionalFormatting sqref="D8 F8 H8 J8 L8 N8">
    <cfRule type="expression" dxfId="17383" priority="18">
      <formula>#REF!="QB"</formula>
    </cfRule>
  </conditionalFormatting>
  <conditionalFormatting sqref="D10 F10 H10 J10 L10 N10">
    <cfRule type="expression" dxfId="17382" priority="19">
      <formula>#REF!="K"</formula>
    </cfRule>
  </conditionalFormatting>
  <conditionalFormatting sqref="D10 F10 H10 J10 L10 N10">
    <cfRule type="expression" dxfId="17381" priority="20">
      <formula>#REF!="DEF"</formula>
    </cfRule>
  </conditionalFormatting>
  <conditionalFormatting sqref="D10 F10 H10 J10 L10 N10">
    <cfRule type="expression" dxfId="17380" priority="21">
      <formula>#REF!="TE"</formula>
    </cfRule>
  </conditionalFormatting>
  <conditionalFormatting sqref="D10 F10 H10 J10 L10 N10">
    <cfRule type="expression" dxfId="17379" priority="22">
      <formula>#REF!="WR"</formula>
    </cfRule>
  </conditionalFormatting>
  <conditionalFormatting sqref="D10 F10 H10 J10 L10 N10">
    <cfRule type="expression" dxfId="17378" priority="23">
      <formula>#REF!="RB"</formula>
    </cfRule>
  </conditionalFormatting>
  <conditionalFormatting sqref="D10 F10 H10 J10 L10 N10">
    <cfRule type="expression" dxfId="17377" priority="24">
      <formula>#REF!="QB"</formula>
    </cfRule>
  </conditionalFormatting>
  <conditionalFormatting sqref="D12 F12 H12 J12 L12 N12">
    <cfRule type="expression" dxfId="17376" priority="25">
      <formula>#REF!="K"</formula>
    </cfRule>
  </conditionalFormatting>
  <conditionalFormatting sqref="D12 F12 H12 J12 L12 N12">
    <cfRule type="expression" dxfId="17375" priority="26">
      <formula>#REF!="DEF"</formula>
    </cfRule>
  </conditionalFormatting>
  <conditionalFormatting sqref="D12 F12 H12 J12 L12 N12">
    <cfRule type="expression" dxfId="17374" priority="27">
      <formula>#REF!="TE"</formula>
    </cfRule>
  </conditionalFormatting>
  <conditionalFormatting sqref="D12 F12 H12 J12 L12 N12">
    <cfRule type="expression" dxfId="17373" priority="28">
      <formula>#REF!="WR"</formula>
    </cfRule>
  </conditionalFormatting>
  <conditionalFormatting sqref="D12 F12 H12 J12 L12 N12">
    <cfRule type="expression" dxfId="17372" priority="29">
      <formula>#REF!="RB"</formula>
    </cfRule>
  </conditionalFormatting>
  <conditionalFormatting sqref="D12 F12 H12 J12 L12 N12">
    <cfRule type="expression" dxfId="17371" priority="30">
      <formula>#REF!="QB"</formula>
    </cfRule>
  </conditionalFormatting>
  <conditionalFormatting sqref="D14 F14 H14 J14 L14 N14">
    <cfRule type="expression" dxfId="17370" priority="31">
      <formula>#REF!="K"</formula>
    </cfRule>
  </conditionalFormatting>
  <conditionalFormatting sqref="D14 F14 H14 J14 L14 N14">
    <cfRule type="expression" dxfId="17369" priority="32">
      <formula>#REF!="DEF"</formula>
    </cfRule>
  </conditionalFormatting>
  <conditionalFormatting sqref="D14 F14 H14 J14 L14 N14">
    <cfRule type="expression" dxfId="17368" priority="33">
      <formula>#REF!="TE"</formula>
    </cfRule>
  </conditionalFormatting>
  <conditionalFormatting sqref="D14 F14 H14 J14 L14 N14">
    <cfRule type="expression" dxfId="17367" priority="34">
      <formula>#REF!="WR"</formula>
    </cfRule>
  </conditionalFormatting>
  <conditionalFormatting sqref="D14 F14 H14 J14 L14 N14">
    <cfRule type="expression" dxfId="17366" priority="35">
      <formula>#REF!="RB"</formula>
    </cfRule>
  </conditionalFormatting>
  <conditionalFormatting sqref="D14 F14 H14 J14 L14 N14">
    <cfRule type="expression" dxfId="17365" priority="36">
      <formula>#REF!="QB"</formula>
    </cfRule>
  </conditionalFormatting>
  <conditionalFormatting sqref="D16 F16 H16 J16 L16 N16">
    <cfRule type="expression" dxfId="17364" priority="37">
      <formula>#REF!="K"</formula>
    </cfRule>
  </conditionalFormatting>
  <conditionalFormatting sqref="D16 F16 H16 J16 L16 N16">
    <cfRule type="expression" dxfId="17363" priority="38">
      <formula>#REF!="DEF"</formula>
    </cfRule>
  </conditionalFormatting>
  <conditionalFormatting sqref="D16 F16 H16 J16 L16 N16">
    <cfRule type="expression" dxfId="17362" priority="39">
      <formula>#REF!="TE"</formula>
    </cfRule>
  </conditionalFormatting>
  <conditionalFormatting sqref="D16 F16 H16 J16 L16 N16">
    <cfRule type="expression" dxfId="17361" priority="40">
      <formula>#REF!="WR"</formula>
    </cfRule>
  </conditionalFormatting>
  <conditionalFormatting sqref="D16 F16 H16 J16 L16 N16">
    <cfRule type="expression" dxfId="17360" priority="41">
      <formula>#REF!="RB"</formula>
    </cfRule>
  </conditionalFormatting>
  <conditionalFormatting sqref="D16 F16 H16 J16 L16 N16">
    <cfRule type="expression" dxfId="17359" priority="42">
      <formula>#REF!="QB"</formula>
    </cfRule>
  </conditionalFormatting>
  <conditionalFormatting sqref="D18 F18 H18 J18 L18 N18">
    <cfRule type="expression" dxfId="17358" priority="43">
      <formula>#REF!="K"</formula>
    </cfRule>
  </conditionalFormatting>
  <conditionalFormatting sqref="D18 F18 H18 J18 L18 N18">
    <cfRule type="expression" dxfId="17357" priority="44">
      <formula>#REF!="DEF"</formula>
    </cfRule>
  </conditionalFormatting>
  <conditionalFormatting sqref="D18 F18 H18 J18 L18 N18">
    <cfRule type="expression" dxfId="17356" priority="45">
      <formula>#REF!="TE"</formula>
    </cfRule>
  </conditionalFormatting>
  <conditionalFormatting sqref="D18 F18 H18 J18 L18 N18">
    <cfRule type="expression" dxfId="17355" priority="46">
      <formula>#REF!="WR"</formula>
    </cfRule>
  </conditionalFormatting>
  <conditionalFormatting sqref="D18 F18 H18 J18 L18 N18">
    <cfRule type="expression" dxfId="17354" priority="47">
      <formula>#REF!="RB"</formula>
    </cfRule>
  </conditionalFormatting>
  <conditionalFormatting sqref="D18 F18 H18 J18 L18 N18">
    <cfRule type="expression" dxfId="17353" priority="48">
      <formula>#REF!="QB"</formula>
    </cfRule>
  </conditionalFormatting>
  <conditionalFormatting sqref="D20 F20 H20 J20 L20 N20">
    <cfRule type="expression" dxfId="17352" priority="49">
      <formula>#REF!="K"</formula>
    </cfRule>
  </conditionalFormatting>
  <conditionalFormatting sqref="D20 F20 H20 J20 L20 N20">
    <cfRule type="expression" dxfId="17351" priority="50">
      <formula>#REF!="DEF"</formula>
    </cfRule>
  </conditionalFormatting>
  <conditionalFormatting sqref="D20 F20 H20 J20 L20 N20">
    <cfRule type="expression" dxfId="17350" priority="51">
      <formula>#REF!="TE"</formula>
    </cfRule>
  </conditionalFormatting>
  <conditionalFormatting sqref="D20 F20 H20 J20 L20 N20">
    <cfRule type="expression" dxfId="17349" priority="52">
      <formula>#REF!="WR"</formula>
    </cfRule>
  </conditionalFormatting>
  <conditionalFormatting sqref="D20 F20 H20 J20 L20 N20">
    <cfRule type="expression" dxfId="17348" priority="53">
      <formula>#REF!="RB"</formula>
    </cfRule>
  </conditionalFormatting>
  <conditionalFormatting sqref="D20 F20 H20 J20 L20 N20">
    <cfRule type="expression" dxfId="17347" priority="54">
      <formula>#REF!="QB"</formula>
    </cfRule>
  </conditionalFormatting>
  <conditionalFormatting sqref="D22 F22 H22 J22 L22 N22">
    <cfRule type="expression" dxfId="17346" priority="55">
      <formula>#REF!="K"</formula>
    </cfRule>
  </conditionalFormatting>
  <conditionalFormatting sqref="D22 F22 H22 J22 L22 N22">
    <cfRule type="expression" dxfId="17345" priority="56">
      <formula>#REF!="DEF"</formula>
    </cfRule>
  </conditionalFormatting>
  <conditionalFormatting sqref="D22 F22 H22 J22 L22 N22">
    <cfRule type="expression" dxfId="17344" priority="57">
      <formula>#REF!="TE"</formula>
    </cfRule>
  </conditionalFormatting>
  <conditionalFormatting sqref="D22 F22 H22 J22 L22 N22">
    <cfRule type="expression" dxfId="17343" priority="58">
      <formula>#REF!="WR"</formula>
    </cfRule>
  </conditionalFormatting>
  <conditionalFormatting sqref="D22 F22 H22 J22 L22 N22">
    <cfRule type="expression" dxfId="17342" priority="59">
      <formula>#REF!="RB"</formula>
    </cfRule>
  </conditionalFormatting>
  <conditionalFormatting sqref="D22 F22 H22 J22 L22 N22">
    <cfRule type="expression" dxfId="17341" priority="60">
      <formula>#REF!="QB"</formula>
    </cfRule>
  </conditionalFormatting>
  <conditionalFormatting sqref="D24 F24 H24 J24 L24 N24">
    <cfRule type="expression" dxfId="17340" priority="61">
      <formula>#REF!="K"</formula>
    </cfRule>
  </conditionalFormatting>
  <conditionalFormatting sqref="D24 F24 H24 J24 L24 N24">
    <cfRule type="expression" dxfId="17339" priority="62">
      <formula>#REF!="DEF"</formula>
    </cfRule>
  </conditionalFormatting>
  <conditionalFormatting sqref="D24 F24 H24 J24 L24 N24">
    <cfRule type="expression" dxfId="17338" priority="63">
      <formula>#REF!="TE"</formula>
    </cfRule>
  </conditionalFormatting>
  <conditionalFormatting sqref="D24 F24 H24 J24 L24 N24">
    <cfRule type="expression" dxfId="17337" priority="64">
      <formula>#REF!="WR"</formula>
    </cfRule>
  </conditionalFormatting>
  <conditionalFormatting sqref="D24 F24 H24 J24 L24 N24">
    <cfRule type="expression" dxfId="17336" priority="65">
      <formula>#REF!="RB"</formula>
    </cfRule>
  </conditionalFormatting>
  <conditionalFormatting sqref="D24 F24 H24 J24 L24 N24">
    <cfRule type="expression" dxfId="17335" priority="66">
      <formula>#REF!="QB"</formula>
    </cfRule>
  </conditionalFormatting>
  <conditionalFormatting sqref="D26 F26 H26 J26 L26 N26">
    <cfRule type="expression" dxfId="17334" priority="67">
      <formula>#REF!="K"</formula>
    </cfRule>
  </conditionalFormatting>
  <conditionalFormatting sqref="D26 F26 H26 J26 L26 N26">
    <cfRule type="expression" dxfId="17333" priority="68">
      <formula>#REF!="DEF"</formula>
    </cfRule>
  </conditionalFormatting>
  <conditionalFormatting sqref="D26 F26 H26 J26 L26 N26">
    <cfRule type="expression" dxfId="17332" priority="69">
      <formula>#REF!="TE"</formula>
    </cfRule>
  </conditionalFormatting>
  <conditionalFormatting sqref="D26 F26 H26 J26 L26 N26">
    <cfRule type="expression" dxfId="17331" priority="70">
      <formula>#REF!="WR"</formula>
    </cfRule>
  </conditionalFormatting>
  <conditionalFormatting sqref="D26 F26 H26 J26 L26 N26">
    <cfRule type="expression" dxfId="17330" priority="71">
      <formula>#REF!="RB"</formula>
    </cfRule>
  </conditionalFormatting>
  <conditionalFormatting sqref="D26 F26 H26 J26 L26 N26">
    <cfRule type="expression" dxfId="17329" priority="72">
      <formula>#REF!="QB"</formula>
    </cfRule>
  </conditionalFormatting>
  <conditionalFormatting sqref="D28 F28 H28 J28 L28 N28">
    <cfRule type="expression" dxfId="17328" priority="73">
      <formula>#REF!="K"</formula>
    </cfRule>
  </conditionalFormatting>
  <conditionalFormatting sqref="D28 F28 H28 J28 L28 N28">
    <cfRule type="expression" dxfId="17327" priority="74">
      <formula>#REF!="DEF"</formula>
    </cfRule>
  </conditionalFormatting>
  <conditionalFormatting sqref="D28 F28 H28 J28 L28 N28">
    <cfRule type="expression" dxfId="17326" priority="75">
      <formula>#REF!="TE"</formula>
    </cfRule>
  </conditionalFormatting>
  <conditionalFormatting sqref="D28 F28 H28 J28 L28 N28">
    <cfRule type="expression" dxfId="17325" priority="76">
      <formula>#REF!="WR"</formula>
    </cfRule>
  </conditionalFormatting>
  <conditionalFormatting sqref="D28 F28 H28 J28 L28 N28">
    <cfRule type="expression" dxfId="17324" priority="77">
      <formula>#REF!="RB"</formula>
    </cfRule>
  </conditionalFormatting>
  <conditionalFormatting sqref="D28 F28 H28 J28 L28 N28">
    <cfRule type="expression" dxfId="17323" priority="78">
      <formula>#REF!="QB"</formula>
    </cfRule>
  </conditionalFormatting>
  <conditionalFormatting sqref="D30 F30 H30 J30 L30 N30">
    <cfRule type="expression" dxfId="17322" priority="79">
      <formula>#REF!="K"</formula>
    </cfRule>
  </conditionalFormatting>
  <conditionalFormatting sqref="D30 F30 H30 J30 L30 N30">
    <cfRule type="expression" dxfId="17321" priority="80">
      <formula>#REF!="DEF"</formula>
    </cfRule>
  </conditionalFormatting>
  <conditionalFormatting sqref="D30 F30 H30 J30 L30 N30">
    <cfRule type="expression" dxfId="17320" priority="81">
      <formula>#REF!="TE"</formula>
    </cfRule>
  </conditionalFormatting>
  <conditionalFormatting sqref="D30 F30 H30 J30 L30 N30">
    <cfRule type="expression" dxfId="17319" priority="82">
      <formula>#REF!="WR"</formula>
    </cfRule>
  </conditionalFormatting>
  <conditionalFormatting sqref="D30 F30 H30 J30 L30 N30">
    <cfRule type="expression" dxfId="17318" priority="83">
      <formula>#REF!="RB"</formula>
    </cfRule>
  </conditionalFormatting>
  <conditionalFormatting sqref="D30 F30 H30 J30 L30 N30">
    <cfRule type="expression" dxfId="17317" priority="84">
      <formula>#REF!="QB"</formula>
    </cfRule>
  </conditionalFormatting>
  <conditionalFormatting sqref="D32 F32 H32 J32 L32 N32">
    <cfRule type="expression" dxfId="17316" priority="85">
      <formula>#REF!="K"</formula>
    </cfRule>
  </conditionalFormatting>
  <conditionalFormatting sqref="D32 F32 H32 J32 L32 N32">
    <cfRule type="expression" dxfId="17315" priority="86">
      <formula>#REF!="DEF"</formula>
    </cfRule>
  </conditionalFormatting>
  <conditionalFormatting sqref="D32 F32 H32 J32 L32 N32">
    <cfRule type="expression" dxfId="17314" priority="87">
      <formula>#REF!="TE"</formula>
    </cfRule>
  </conditionalFormatting>
  <conditionalFormatting sqref="D32 F32 H32 J32 L32 N32">
    <cfRule type="expression" dxfId="17313" priority="88">
      <formula>#REF!="WR"</formula>
    </cfRule>
  </conditionalFormatting>
  <conditionalFormatting sqref="D32 F32 H32 J32 L32 N32">
    <cfRule type="expression" dxfId="17312" priority="89">
      <formula>#REF!="RB"</formula>
    </cfRule>
  </conditionalFormatting>
  <conditionalFormatting sqref="D32 F32 H32 J32 L32 N32">
    <cfRule type="expression" dxfId="17311" priority="90">
      <formula>#REF!="QB"</formula>
    </cfRule>
  </conditionalFormatting>
  <pageMargins left="0.7" right="0.7" top="0.75" bottom="0.75"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5.6640625" customWidth="1"/>
    <col min="2" max="6" width="11.44140625" customWidth="1"/>
    <col min="7" max="26" width="10.6640625" customWidth="1"/>
  </cols>
  <sheetData>
    <row r="1" spans="1:26" ht="14.4">
      <c r="A1" s="1"/>
      <c r="B1" s="1"/>
      <c r="C1" s="1"/>
      <c r="D1" s="1"/>
      <c r="E1" s="1"/>
      <c r="F1" s="1"/>
      <c r="G1" s="1"/>
      <c r="H1" s="1"/>
      <c r="I1" s="1"/>
      <c r="J1" s="1"/>
      <c r="K1" s="1"/>
      <c r="L1" s="1"/>
      <c r="M1" s="1"/>
      <c r="N1" s="1"/>
      <c r="O1" s="1"/>
      <c r="P1" s="1"/>
      <c r="Q1" s="1"/>
      <c r="R1" s="1"/>
      <c r="S1" s="1"/>
      <c r="T1" s="1"/>
      <c r="U1" s="1"/>
      <c r="V1" s="1"/>
      <c r="W1" s="1"/>
      <c r="X1" s="1"/>
      <c r="Y1" s="1"/>
      <c r="Z1" s="1"/>
    </row>
    <row r="2" spans="1:26" ht="15.6">
      <c r="A2" s="1"/>
      <c r="B2" s="11" t="s">
        <v>383</v>
      </c>
      <c r="C2" s="11" t="s">
        <v>384</v>
      </c>
      <c r="D2" s="1"/>
      <c r="E2" s="1"/>
      <c r="F2" s="1"/>
      <c r="G2" s="1"/>
      <c r="H2" s="1"/>
      <c r="I2" s="1"/>
      <c r="J2" s="1"/>
      <c r="K2" s="1"/>
      <c r="L2" s="1"/>
      <c r="M2" s="1"/>
      <c r="N2" s="1"/>
      <c r="O2" s="1"/>
      <c r="P2" s="1"/>
      <c r="Q2" s="1"/>
      <c r="R2" s="1"/>
      <c r="S2" s="1"/>
      <c r="T2" s="1"/>
      <c r="U2" s="1"/>
      <c r="V2" s="1"/>
      <c r="W2" s="1"/>
      <c r="X2" s="1"/>
      <c r="Y2" s="1"/>
      <c r="Z2" s="1"/>
    </row>
    <row r="3" spans="1:26" ht="14.4">
      <c r="A3" s="1"/>
      <c r="B3" s="10"/>
      <c r="C3" s="10"/>
      <c r="D3" s="1"/>
      <c r="E3" s="1"/>
      <c r="F3" s="1"/>
      <c r="G3" s="1"/>
      <c r="H3" s="1"/>
      <c r="I3" s="1"/>
      <c r="J3" s="1"/>
      <c r="K3" s="1"/>
      <c r="L3" s="1"/>
      <c r="M3" s="1"/>
      <c r="N3" s="1"/>
      <c r="O3" s="1"/>
      <c r="P3" s="1"/>
      <c r="Q3" s="1"/>
      <c r="R3" s="1"/>
      <c r="S3" s="1"/>
      <c r="T3" s="1"/>
      <c r="U3" s="1"/>
      <c r="V3" s="1"/>
      <c r="W3" s="1"/>
      <c r="X3" s="1"/>
      <c r="Y3" s="1"/>
      <c r="Z3" s="1"/>
    </row>
    <row r="4" spans="1:26" ht="24.75" customHeight="1">
      <c r="A4" s="1"/>
      <c r="B4" s="11" t="s">
        <v>385</v>
      </c>
      <c r="C4" s="57">
        <f>COUNTIF('Draft Board'!$D$3:$CZ$47,'Team Statistics'!B4)</f>
        <v>9</v>
      </c>
      <c r="D4" s="1"/>
      <c r="E4" s="1"/>
      <c r="F4" s="1"/>
      <c r="G4" s="1"/>
      <c r="H4" s="1"/>
      <c r="I4" s="1"/>
      <c r="J4" s="1"/>
      <c r="K4" s="1"/>
      <c r="L4" s="1"/>
      <c r="M4" s="1"/>
      <c r="N4" s="1"/>
      <c r="O4" s="1"/>
      <c r="P4" s="1"/>
      <c r="Q4" s="1"/>
      <c r="R4" s="1"/>
      <c r="S4" s="1"/>
      <c r="T4" s="1"/>
      <c r="U4" s="1"/>
      <c r="V4" s="1"/>
      <c r="W4" s="1"/>
      <c r="X4" s="1"/>
      <c r="Y4" s="1"/>
      <c r="Z4" s="1"/>
    </row>
    <row r="5" spans="1:26" ht="4.5" customHeight="1">
      <c r="A5" s="1"/>
      <c r="B5" s="11"/>
      <c r="C5" s="10"/>
      <c r="D5" s="1"/>
      <c r="E5" s="1"/>
      <c r="F5" s="1"/>
      <c r="G5" s="1"/>
      <c r="H5" s="1"/>
      <c r="I5" s="1"/>
      <c r="J5" s="1"/>
      <c r="K5" s="1"/>
      <c r="L5" s="1"/>
      <c r="M5" s="1"/>
      <c r="N5" s="1"/>
      <c r="O5" s="1"/>
      <c r="P5" s="1"/>
      <c r="Q5" s="1"/>
      <c r="R5" s="1"/>
      <c r="S5" s="1"/>
      <c r="T5" s="1"/>
      <c r="U5" s="1"/>
      <c r="V5" s="1"/>
      <c r="W5" s="1"/>
      <c r="X5" s="1"/>
      <c r="Y5" s="1"/>
      <c r="Z5" s="1"/>
    </row>
    <row r="6" spans="1:26" ht="24.75" customHeight="1">
      <c r="A6" s="1"/>
      <c r="B6" s="11" t="s">
        <v>386</v>
      </c>
      <c r="C6" s="57">
        <f>COUNTIF('Draft Board'!$D$3:$CZ$47,'Team Statistics'!B6)</f>
        <v>9</v>
      </c>
      <c r="D6" s="1"/>
      <c r="E6" s="1"/>
      <c r="F6" s="1"/>
      <c r="G6" s="1"/>
      <c r="H6" s="1"/>
      <c r="I6" s="1"/>
      <c r="J6" s="1"/>
      <c r="K6" s="1"/>
      <c r="L6" s="1"/>
      <c r="M6" s="1"/>
      <c r="N6" s="1"/>
      <c r="O6" s="1"/>
      <c r="P6" s="1"/>
      <c r="Q6" s="1"/>
      <c r="R6" s="1"/>
      <c r="S6" s="1"/>
      <c r="T6" s="1"/>
      <c r="U6" s="1"/>
      <c r="V6" s="1"/>
      <c r="W6" s="1"/>
      <c r="X6" s="1"/>
      <c r="Y6" s="1"/>
      <c r="Z6" s="1"/>
    </row>
    <row r="7" spans="1:26" ht="4.5" customHeight="1">
      <c r="A7" s="1"/>
      <c r="B7" s="11"/>
      <c r="C7" s="10"/>
      <c r="D7" s="1"/>
      <c r="E7" s="1"/>
      <c r="F7" s="1"/>
      <c r="G7" s="1"/>
      <c r="H7" s="1"/>
      <c r="I7" s="1"/>
      <c r="J7" s="1"/>
      <c r="K7" s="1"/>
      <c r="L7" s="1"/>
      <c r="M7" s="1"/>
      <c r="N7" s="1"/>
      <c r="O7" s="1"/>
      <c r="P7" s="1"/>
      <c r="Q7" s="1"/>
      <c r="R7" s="1"/>
      <c r="S7" s="1"/>
      <c r="T7" s="1"/>
      <c r="U7" s="1"/>
      <c r="V7" s="1"/>
      <c r="W7" s="1"/>
      <c r="X7" s="1"/>
      <c r="Y7" s="1"/>
      <c r="Z7" s="1"/>
    </row>
    <row r="8" spans="1:26" ht="24.75" customHeight="1">
      <c r="A8" s="1"/>
      <c r="B8" s="11" t="s">
        <v>387</v>
      </c>
      <c r="C8" s="57">
        <f>COUNTIF('Draft Board'!$D$3:$CZ$47,'Team Statistics'!B8)</f>
        <v>9</v>
      </c>
      <c r="D8" s="1"/>
      <c r="E8" s="1"/>
      <c r="F8" s="1"/>
      <c r="G8" s="1"/>
      <c r="H8" s="1"/>
      <c r="I8" s="1"/>
      <c r="J8" s="1"/>
      <c r="K8" s="1"/>
      <c r="L8" s="1"/>
      <c r="M8" s="1"/>
      <c r="N8" s="1"/>
      <c r="O8" s="1"/>
      <c r="P8" s="1"/>
      <c r="Q8" s="1"/>
      <c r="R8" s="1"/>
      <c r="S8" s="1"/>
      <c r="T8" s="1"/>
      <c r="U8" s="1"/>
      <c r="V8" s="1"/>
      <c r="W8" s="1"/>
      <c r="X8" s="1"/>
      <c r="Y8" s="1"/>
      <c r="Z8" s="1"/>
    </row>
    <row r="9" spans="1:26" ht="4.5" customHeight="1">
      <c r="A9" s="1"/>
      <c r="B9" s="11"/>
      <c r="C9" s="10"/>
      <c r="D9" s="1"/>
      <c r="E9" s="1"/>
      <c r="F9" s="1"/>
      <c r="G9" s="1"/>
      <c r="H9" s="1"/>
      <c r="I9" s="1"/>
      <c r="J9" s="1"/>
      <c r="K9" s="1"/>
      <c r="L9" s="1"/>
      <c r="M9" s="1"/>
      <c r="N9" s="1"/>
      <c r="O9" s="1"/>
      <c r="P9" s="1"/>
      <c r="Q9" s="1"/>
      <c r="R9" s="1"/>
      <c r="S9" s="1"/>
      <c r="T9" s="1"/>
      <c r="U9" s="1"/>
      <c r="V9" s="1"/>
      <c r="W9" s="1"/>
      <c r="X9" s="1"/>
      <c r="Y9" s="1"/>
      <c r="Z9" s="1"/>
    </row>
    <row r="10" spans="1:26" ht="24.75" customHeight="1">
      <c r="A10" s="1"/>
      <c r="B10" s="11" t="s">
        <v>388</v>
      </c>
      <c r="C10" s="57">
        <f>COUNTIF('Draft Board'!$D$3:$CZ$47,'Team Statistics'!B10)</f>
        <v>11</v>
      </c>
      <c r="D10" s="1"/>
      <c r="E10" s="1"/>
      <c r="F10" s="1"/>
      <c r="G10" s="1"/>
      <c r="H10" s="1"/>
      <c r="I10" s="1"/>
      <c r="J10" s="1"/>
      <c r="K10" s="1"/>
      <c r="L10" s="1"/>
      <c r="M10" s="1"/>
      <c r="N10" s="1"/>
      <c r="O10" s="1"/>
      <c r="P10" s="1"/>
      <c r="Q10" s="1"/>
      <c r="R10" s="1"/>
      <c r="S10" s="1"/>
      <c r="T10" s="1"/>
      <c r="U10" s="1"/>
      <c r="V10" s="1"/>
      <c r="W10" s="1"/>
      <c r="X10" s="1"/>
      <c r="Y10" s="1"/>
      <c r="Z10" s="1"/>
    </row>
    <row r="11" spans="1:26" ht="4.5" customHeight="1">
      <c r="A11" s="1"/>
      <c r="B11" s="11"/>
      <c r="C11" s="10"/>
      <c r="D11" s="1"/>
      <c r="E11" s="1"/>
      <c r="F11" s="1"/>
      <c r="G11" s="1"/>
      <c r="H11" s="1"/>
      <c r="I11" s="1"/>
      <c r="J11" s="1"/>
      <c r="K11" s="1"/>
      <c r="L11" s="1"/>
      <c r="M11" s="1"/>
      <c r="N11" s="1"/>
      <c r="O11" s="1"/>
      <c r="P11" s="1"/>
      <c r="Q11" s="1"/>
      <c r="R11" s="1"/>
      <c r="S11" s="1"/>
      <c r="T11" s="1"/>
      <c r="U11" s="1"/>
      <c r="V11" s="1"/>
      <c r="W11" s="1"/>
      <c r="X11" s="1"/>
      <c r="Y11" s="1"/>
      <c r="Z11" s="1"/>
    </row>
    <row r="12" spans="1:26" ht="24.75" customHeight="1">
      <c r="A12" s="1"/>
      <c r="B12" s="11" t="s">
        <v>389</v>
      </c>
      <c r="C12" s="57">
        <f>COUNTIF('Draft Board'!$D$3:$CZ$47,'Team Statistics'!B12)</f>
        <v>9</v>
      </c>
      <c r="D12" s="1"/>
      <c r="E12" s="1"/>
      <c r="F12" s="1"/>
      <c r="G12" s="1"/>
      <c r="H12" s="1"/>
      <c r="I12" s="1"/>
      <c r="J12" s="1"/>
      <c r="K12" s="1"/>
      <c r="L12" s="1"/>
      <c r="M12" s="1"/>
      <c r="N12" s="1"/>
      <c r="O12" s="1"/>
      <c r="P12" s="1"/>
      <c r="Q12" s="1"/>
      <c r="R12" s="1"/>
      <c r="S12" s="1"/>
      <c r="T12" s="1"/>
      <c r="U12" s="1"/>
      <c r="V12" s="1"/>
      <c r="W12" s="1"/>
      <c r="X12" s="1"/>
      <c r="Y12" s="1"/>
      <c r="Z12" s="1"/>
    </row>
    <row r="13" spans="1:26" ht="4.5" customHeight="1">
      <c r="A13" s="1"/>
      <c r="B13" s="11"/>
      <c r="C13" s="10"/>
      <c r="D13" s="1"/>
      <c r="E13" s="1"/>
      <c r="F13" s="1"/>
      <c r="G13" s="1"/>
      <c r="H13" s="1"/>
      <c r="I13" s="1"/>
      <c r="J13" s="1"/>
      <c r="K13" s="1"/>
      <c r="L13" s="1"/>
      <c r="M13" s="1"/>
      <c r="N13" s="1"/>
      <c r="O13" s="1"/>
      <c r="P13" s="1"/>
      <c r="Q13" s="1"/>
      <c r="R13" s="1"/>
      <c r="S13" s="1"/>
      <c r="T13" s="1"/>
      <c r="U13" s="1"/>
      <c r="V13" s="1"/>
      <c r="W13" s="1"/>
      <c r="X13" s="1"/>
      <c r="Y13" s="1"/>
      <c r="Z13" s="1"/>
    </row>
    <row r="14" spans="1:26" ht="24.75" customHeight="1">
      <c r="A14" s="1"/>
      <c r="B14" s="11" t="s">
        <v>390</v>
      </c>
      <c r="C14" s="57">
        <f>COUNTIF('Draft Board'!$D$3:$CZ$47,'Team Statistics'!B14)</f>
        <v>10</v>
      </c>
      <c r="D14" s="1"/>
      <c r="E14" s="1"/>
      <c r="F14" s="1"/>
      <c r="G14" s="1"/>
      <c r="H14" s="1"/>
      <c r="I14" s="1"/>
      <c r="J14" s="1"/>
      <c r="K14" s="1"/>
      <c r="L14" s="1"/>
      <c r="M14" s="1"/>
      <c r="N14" s="1"/>
      <c r="O14" s="1"/>
      <c r="P14" s="1"/>
      <c r="Q14" s="1"/>
      <c r="R14" s="1"/>
      <c r="S14" s="1"/>
      <c r="T14" s="1"/>
      <c r="U14" s="1"/>
      <c r="V14" s="1"/>
      <c r="W14" s="1"/>
      <c r="X14" s="1"/>
      <c r="Y14" s="1"/>
      <c r="Z14" s="1"/>
    </row>
    <row r="15" spans="1:26" ht="4.5" customHeight="1">
      <c r="A15" s="1"/>
      <c r="B15" s="11"/>
      <c r="C15" s="10"/>
      <c r="D15" s="1"/>
      <c r="E15" s="1"/>
      <c r="F15" s="1"/>
      <c r="G15" s="1"/>
      <c r="H15" s="1"/>
      <c r="I15" s="1"/>
      <c r="J15" s="1"/>
      <c r="K15" s="1"/>
      <c r="L15" s="1"/>
      <c r="M15" s="1"/>
      <c r="N15" s="1"/>
      <c r="O15" s="1"/>
      <c r="P15" s="1"/>
      <c r="Q15" s="1"/>
      <c r="R15" s="1"/>
      <c r="S15" s="1"/>
      <c r="T15" s="1"/>
      <c r="U15" s="1"/>
      <c r="V15" s="1"/>
      <c r="W15" s="1"/>
      <c r="X15" s="1"/>
      <c r="Y15" s="1"/>
      <c r="Z15" s="1"/>
    </row>
    <row r="16" spans="1:26" ht="24.75" customHeight="1">
      <c r="A16" s="1"/>
      <c r="B16" s="11" t="s">
        <v>391</v>
      </c>
      <c r="C16" s="57">
        <f>COUNTIF('Draft Board'!$D$3:$CZ$47,'Team Statistics'!B16)</f>
        <v>7</v>
      </c>
      <c r="D16" s="1"/>
      <c r="E16" s="1"/>
      <c r="F16" s="1"/>
      <c r="G16" s="1"/>
      <c r="H16" s="1"/>
      <c r="I16" s="1"/>
      <c r="J16" s="1"/>
      <c r="K16" s="1"/>
      <c r="L16" s="1"/>
      <c r="M16" s="1"/>
      <c r="N16" s="1"/>
      <c r="O16" s="1"/>
      <c r="P16" s="1"/>
      <c r="Q16" s="1"/>
      <c r="R16" s="1"/>
      <c r="S16" s="1"/>
      <c r="T16" s="1"/>
      <c r="U16" s="1"/>
      <c r="V16" s="1"/>
      <c r="W16" s="1"/>
      <c r="X16" s="1"/>
      <c r="Y16" s="1"/>
      <c r="Z16" s="1"/>
    </row>
    <row r="17" spans="1:26" ht="4.5" customHeight="1">
      <c r="A17" s="1"/>
      <c r="B17" s="11"/>
      <c r="C17" s="10"/>
      <c r="D17" s="1"/>
      <c r="E17" s="1"/>
      <c r="F17" s="1"/>
      <c r="G17" s="1"/>
      <c r="H17" s="1"/>
      <c r="I17" s="1"/>
      <c r="J17" s="1"/>
      <c r="K17" s="1"/>
      <c r="L17" s="1"/>
      <c r="M17" s="1"/>
      <c r="N17" s="1"/>
      <c r="O17" s="1"/>
      <c r="P17" s="1"/>
      <c r="Q17" s="1"/>
      <c r="R17" s="1"/>
      <c r="S17" s="1"/>
      <c r="T17" s="1"/>
      <c r="U17" s="1"/>
      <c r="V17" s="1"/>
      <c r="W17" s="1"/>
      <c r="X17" s="1"/>
      <c r="Y17" s="1"/>
      <c r="Z17" s="1"/>
    </row>
    <row r="18" spans="1:26" ht="24.75" customHeight="1">
      <c r="A18" s="1"/>
      <c r="B18" s="11" t="s">
        <v>392</v>
      </c>
      <c r="C18" s="57">
        <f>COUNTIF('Draft Board'!$D$3:$CZ$47,'Team Statistics'!B18)</f>
        <v>7</v>
      </c>
      <c r="D18" s="1"/>
      <c r="E18" s="1"/>
      <c r="F18" s="1"/>
      <c r="G18" s="1"/>
      <c r="H18" s="1"/>
      <c r="I18" s="1"/>
      <c r="J18" s="1"/>
      <c r="K18" s="1"/>
      <c r="L18" s="1"/>
      <c r="M18" s="1"/>
      <c r="N18" s="1"/>
      <c r="O18" s="1"/>
      <c r="P18" s="1"/>
      <c r="Q18" s="1"/>
      <c r="R18" s="1"/>
      <c r="S18" s="1"/>
      <c r="T18" s="1"/>
      <c r="U18" s="1"/>
      <c r="V18" s="1"/>
      <c r="W18" s="1"/>
      <c r="X18" s="1"/>
      <c r="Y18" s="1"/>
      <c r="Z18" s="1"/>
    </row>
    <row r="19" spans="1:26" ht="4.5" customHeight="1">
      <c r="A19" s="1"/>
      <c r="B19" s="11"/>
      <c r="C19" s="10"/>
      <c r="D19" s="1"/>
      <c r="E19" s="1"/>
      <c r="F19" s="1"/>
      <c r="G19" s="1"/>
      <c r="H19" s="1"/>
      <c r="I19" s="1"/>
      <c r="J19" s="1"/>
      <c r="K19" s="1"/>
      <c r="L19" s="1"/>
      <c r="M19" s="1"/>
      <c r="N19" s="1"/>
      <c r="O19" s="1"/>
      <c r="P19" s="1"/>
      <c r="Q19" s="1"/>
      <c r="R19" s="1"/>
      <c r="S19" s="1"/>
      <c r="T19" s="1"/>
      <c r="U19" s="1"/>
      <c r="V19" s="1"/>
      <c r="W19" s="1"/>
      <c r="X19" s="1"/>
      <c r="Y19" s="1"/>
      <c r="Z19" s="1"/>
    </row>
    <row r="20" spans="1:26" ht="24.75" customHeight="1">
      <c r="A20" s="1"/>
      <c r="B20" s="11" t="s">
        <v>393</v>
      </c>
      <c r="C20" s="57">
        <f>COUNTIF('Draft Board'!$D$3:$CZ$47,'Team Statistics'!B20)</f>
        <v>10</v>
      </c>
      <c r="D20" s="1"/>
      <c r="E20" s="1"/>
      <c r="F20" s="1"/>
      <c r="G20" s="1"/>
      <c r="H20" s="1"/>
      <c r="I20" s="1"/>
      <c r="J20" s="1"/>
      <c r="K20" s="1"/>
      <c r="L20" s="1"/>
      <c r="M20" s="1"/>
      <c r="N20" s="1"/>
      <c r="O20" s="1"/>
      <c r="P20" s="1"/>
      <c r="Q20" s="1"/>
      <c r="R20" s="1"/>
      <c r="S20" s="1"/>
      <c r="T20" s="1"/>
      <c r="U20" s="1"/>
      <c r="V20" s="1"/>
      <c r="W20" s="1"/>
      <c r="X20" s="1"/>
      <c r="Y20" s="1"/>
      <c r="Z20" s="1"/>
    </row>
    <row r="21" spans="1:26" ht="4.5" customHeight="1">
      <c r="A21" s="1"/>
      <c r="B21" s="11"/>
      <c r="C21" s="10"/>
      <c r="D21" s="1"/>
      <c r="E21" s="11"/>
      <c r="F21" s="1"/>
      <c r="G21" s="1"/>
      <c r="H21" s="1"/>
      <c r="I21" s="1"/>
      <c r="J21" s="1"/>
      <c r="K21" s="1"/>
      <c r="L21" s="1"/>
      <c r="M21" s="1"/>
      <c r="N21" s="1"/>
      <c r="O21" s="1"/>
      <c r="P21" s="1"/>
      <c r="Q21" s="1"/>
      <c r="R21" s="1"/>
      <c r="S21" s="1"/>
      <c r="T21" s="1"/>
      <c r="U21" s="1"/>
      <c r="V21" s="1"/>
      <c r="W21" s="1"/>
      <c r="X21" s="1"/>
      <c r="Y21" s="1"/>
      <c r="Z21" s="1"/>
    </row>
    <row r="22" spans="1:26" ht="24.75" customHeight="1">
      <c r="A22" s="1"/>
      <c r="B22" s="11" t="s">
        <v>394</v>
      </c>
      <c r="C22" s="57">
        <f>COUNTIF('Draft Board'!$D$3:$CZ$47,'Team Statistics'!B22)</f>
        <v>10</v>
      </c>
      <c r="D22" s="1"/>
      <c r="E22" s="1"/>
      <c r="F22" s="1"/>
      <c r="G22" s="1"/>
      <c r="H22" s="1"/>
      <c r="I22" s="1"/>
      <c r="J22" s="1"/>
      <c r="K22" s="1"/>
      <c r="L22" s="1"/>
      <c r="M22" s="1"/>
      <c r="N22" s="1"/>
      <c r="O22" s="1"/>
      <c r="P22" s="1"/>
      <c r="Q22" s="1"/>
      <c r="R22" s="1"/>
      <c r="S22" s="1"/>
      <c r="T22" s="1"/>
      <c r="U22" s="1"/>
      <c r="V22" s="1"/>
      <c r="W22" s="1"/>
      <c r="X22" s="1"/>
      <c r="Y22" s="1"/>
      <c r="Z22" s="1"/>
    </row>
    <row r="23" spans="1:26" ht="4.5" customHeight="1">
      <c r="A23" s="1"/>
      <c r="B23" s="11"/>
      <c r="C23" s="10"/>
      <c r="D23" s="1"/>
      <c r="E23" s="1"/>
      <c r="F23" s="1"/>
      <c r="G23" s="1"/>
      <c r="H23" s="1"/>
      <c r="I23" s="1"/>
      <c r="J23" s="1"/>
      <c r="K23" s="1"/>
      <c r="L23" s="1"/>
      <c r="M23" s="1"/>
      <c r="N23" s="1"/>
      <c r="O23" s="1"/>
      <c r="P23" s="1"/>
      <c r="Q23" s="1"/>
      <c r="R23" s="1"/>
      <c r="S23" s="1"/>
      <c r="T23" s="1"/>
      <c r="U23" s="1"/>
      <c r="V23" s="1"/>
      <c r="W23" s="1"/>
      <c r="X23" s="1"/>
      <c r="Y23" s="1"/>
      <c r="Z23" s="1"/>
    </row>
    <row r="24" spans="1:26" ht="24.75" customHeight="1">
      <c r="A24" s="1"/>
      <c r="B24" s="11" t="s">
        <v>395</v>
      </c>
      <c r="C24" s="57">
        <f>COUNTIF('Draft Board'!$D$3:$CZ$47,'Team Statistics'!B24)</f>
        <v>7</v>
      </c>
      <c r="D24" s="1"/>
      <c r="E24" s="1"/>
      <c r="F24" s="1"/>
      <c r="G24" s="1"/>
      <c r="H24" s="1"/>
      <c r="I24" s="1"/>
      <c r="J24" s="1"/>
      <c r="K24" s="1"/>
      <c r="L24" s="1"/>
      <c r="M24" s="1"/>
      <c r="N24" s="1"/>
      <c r="O24" s="1"/>
      <c r="P24" s="1"/>
      <c r="Q24" s="1"/>
      <c r="R24" s="1"/>
      <c r="S24" s="1"/>
      <c r="T24" s="1"/>
      <c r="U24" s="1"/>
      <c r="V24" s="1"/>
      <c r="W24" s="1"/>
      <c r="X24" s="1"/>
      <c r="Y24" s="1"/>
      <c r="Z24" s="1"/>
    </row>
    <row r="25" spans="1:26" ht="4.5" customHeight="1">
      <c r="A25" s="1"/>
      <c r="B25" s="11"/>
      <c r="C25" s="10"/>
      <c r="D25" s="1"/>
      <c r="E25" s="1"/>
      <c r="F25" s="1"/>
      <c r="G25" s="1"/>
      <c r="H25" s="1"/>
      <c r="I25" s="1"/>
      <c r="J25" s="1"/>
      <c r="K25" s="1"/>
      <c r="L25" s="1"/>
      <c r="M25" s="1"/>
      <c r="N25" s="1"/>
      <c r="O25" s="1"/>
      <c r="P25" s="1"/>
      <c r="Q25" s="1"/>
      <c r="R25" s="1"/>
      <c r="S25" s="1"/>
      <c r="T25" s="1"/>
      <c r="U25" s="1"/>
      <c r="V25" s="1"/>
      <c r="W25" s="1"/>
      <c r="X25" s="1"/>
      <c r="Y25" s="1"/>
      <c r="Z25" s="1"/>
    </row>
    <row r="26" spans="1:26" ht="24.75" customHeight="1">
      <c r="A26" s="1"/>
      <c r="B26" s="11" t="s">
        <v>396</v>
      </c>
      <c r="C26" s="57">
        <f>COUNTIF('Draft Board'!$D$3:$CZ$47,'Team Statistics'!B26)</f>
        <v>10</v>
      </c>
      <c r="D26" s="1"/>
      <c r="E26" s="1"/>
      <c r="F26" s="1"/>
      <c r="G26" s="1"/>
      <c r="H26" s="1"/>
      <c r="I26" s="1"/>
      <c r="J26" s="1"/>
      <c r="K26" s="1"/>
      <c r="L26" s="1"/>
      <c r="M26" s="1"/>
      <c r="N26" s="1"/>
      <c r="O26" s="1"/>
      <c r="P26" s="1"/>
      <c r="Q26" s="1"/>
      <c r="R26" s="1"/>
      <c r="S26" s="1"/>
      <c r="T26" s="1"/>
      <c r="U26" s="1"/>
      <c r="V26" s="1"/>
      <c r="W26" s="1"/>
      <c r="X26" s="1"/>
      <c r="Y26" s="1"/>
      <c r="Z26" s="1"/>
    </row>
    <row r="27" spans="1:26" ht="4.5" customHeight="1">
      <c r="A27" s="1"/>
      <c r="B27" s="11"/>
      <c r="C27" s="10"/>
      <c r="D27" s="1"/>
      <c r="E27" s="1"/>
      <c r="F27" s="1"/>
      <c r="G27" s="1"/>
      <c r="H27" s="1"/>
      <c r="I27" s="1"/>
      <c r="J27" s="1"/>
      <c r="K27" s="1"/>
      <c r="L27" s="1"/>
      <c r="M27" s="1"/>
      <c r="N27" s="1"/>
      <c r="O27" s="1"/>
      <c r="P27" s="1"/>
      <c r="Q27" s="1"/>
      <c r="R27" s="1"/>
      <c r="S27" s="1"/>
      <c r="T27" s="1"/>
      <c r="U27" s="1"/>
      <c r="V27" s="1"/>
      <c r="W27" s="1"/>
      <c r="X27" s="1"/>
      <c r="Y27" s="1"/>
      <c r="Z27" s="1"/>
    </row>
    <row r="28" spans="1:26" ht="24.75" customHeight="1">
      <c r="A28" s="1"/>
      <c r="B28" s="11" t="s">
        <v>397</v>
      </c>
      <c r="C28" s="57">
        <f>COUNTIF('Draft Board'!$D$3:$CZ$47,'Team Statistics'!B28)</f>
        <v>9</v>
      </c>
      <c r="D28" s="1"/>
      <c r="E28" s="1"/>
      <c r="F28" s="1"/>
      <c r="G28" s="1"/>
      <c r="H28" s="1"/>
      <c r="I28" s="1"/>
      <c r="J28" s="1"/>
      <c r="K28" s="1"/>
      <c r="L28" s="1"/>
      <c r="M28" s="1"/>
      <c r="N28" s="1"/>
      <c r="O28" s="1"/>
      <c r="P28" s="1"/>
      <c r="Q28" s="1"/>
      <c r="R28" s="1"/>
      <c r="S28" s="1"/>
      <c r="T28" s="1"/>
      <c r="U28" s="1"/>
      <c r="V28" s="1"/>
      <c r="W28" s="1"/>
      <c r="X28" s="1"/>
      <c r="Y28" s="1"/>
      <c r="Z28" s="1"/>
    </row>
    <row r="29" spans="1:26" ht="4.5" customHeight="1">
      <c r="A29" s="1"/>
      <c r="B29" s="11"/>
      <c r="C29" s="10"/>
      <c r="D29" s="1"/>
      <c r="E29" s="1"/>
      <c r="F29" s="1"/>
      <c r="G29" s="1"/>
      <c r="H29" s="1"/>
      <c r="I29" s="1"/>
      <c r="J29" s="1"/>
      <c r="K29" s="1"/>
      <c r="L29" s="1"/>
      <c r="M29" s="1"/>
      <c r="N29" s="1"/>
      <c r="O29" s="1"/>
      <c r="P29" s="1"/>
      <c r="Q29" s="1"/>
      <c r="R29" s="1"/>
      <c r="S29" s="1"/>
      <c r="T29" s="1"/>
      <c r="U29" s="1"/>
      <c r="V29" s="1"/>
      <c r="W29" s="1"/>
      <c r="X29" s="1"/>
      <c r="Y29" s="1"/>
      <c r="Z29" s="1"/>
    </row>
    <row r="30" spans="1:26" ht="24.75" customHeight="1">
      <c r="A30" s="1"/>
      <c r="B30" s="11" t="s">
        <v>398</v>
      </c>
      <c r="C30" s="57">
        <f>COUNTIF('Draft Board'!$D$3:$CZ$47,'Team Statistics'!B30)</f>
        <v>10</v>
      </c>
      <c r="D30" s="1"/>
      <c r="E30" s="1"/>
      <c r="F30" s="1"/>
      <c r="G30" s="1"/>
      <c r="H30" s="1"/>
      <c r="I30" s="1"/>
      <c r="J30" s="1"/>
      <c r="K30" s="1"/>
      <c r="L30" s="1"/>
      <c r="M30" s="1"/>
      <c r="N30" s="1"/>
      <c r="O30" s="1"/>
      <c r="P30" s="1"/>
      <c r="Q30" s="1"/>
      <c r="R30" s="1"/>
      <c r="S30" s="1"/>
      <c r="T30" s="1"/>
      <c r="U30" s="1"/>
      <c r="V30" s="1"/>
      <c r="W30" s="1"/>
      <c r="X30" s="1"/>
      <c r="Y30" s="1"/>
      <c r="Z30" s="1"/>
    </row>
    <row r="31" spans="1:26" ht="4.5" customHeight="1">
      <c r="A31" s="1"/>
      <c r="B31" s="11"/>
      <c r="C31" s="10"/>
      <c r="D31" s="1"/>
      <c r="E31" s="1"/>
      <c r="F31" s="1"/>
      <c r="G31" s="1"/>
      <c r="H31" s="1"/>
      <c r="I31" s="1"/>
      <c r="J31" s="1"/>
      <c r="K31" s="1"/>
      <c r="L31" s="1"/>
      <c r="M31" s="1"/>
      <c r="N31" s="1"/>
      <c r="O31" s="1"/>
      <c r="P31" s="1"/>
      <c r="Q31" s="1"/>
      <c r="R31" s="1"/>
      <c r="S31" s="1"/>
      <c r="T31" s="1"/>
      <c r="U31" s="1"/>
      <c r="V31" s="1"/>
      <c r="W31" s="1"/>
      <c r="X31" s="1"/>
      <c r="Y31" s="1"/>
      <c r="Z31" s="1"/>
    </row>
    <row r="32" spans="1:26" ht="24.75" customHeight="1">
      <c r="A32" s="1"/>
      <c r="B32" s="11" t="s">
        <v>399</v>
      </c>
      <c r="C32" s="57">
        <f>COUNTIF('Draft Board'!$D$3:$CZ$47,'Team Statistics'!B32)</f>
        <v>7</v>
      </c>
      <c r="D32" s="1"/>
      <c r="E32" s="1"/>
      <c r="F32" s="1"/>
      <c r="G32" s="1"/>
      <c r="H32" s="1"/>
      <c r="I32" s="1"/>
      <c r="J32" s="1"/>
      <c r="K32" s="1"/>
      <c r="L32" s="1"/>
      <c r="M32" s="1"/>
      <c r="N32" s="1"/>
      <c r="O32" s="1"/>
      <c r="P32" s="1"/>
      <c r="Q32" s="1"/>
      <c r="R32" s="1"/>
      <c r="S32" s="1"/>
      <c r="T32" s="1"/>
      <c r="U32" s="1"/>
      <c r="V32" s="1"/>
      <c r="W32" s="1"/>
      <c r="X32" s="1"/>
      <c r="Y32" s="1"/>
      <c r="Z32" s="1"/>
    </row>
    <row r="33" spans="1:26" ht="4.5" customHeight="1">
      <c r="A33" s="1"/>
      <c r="B33" s="11"/>
      <c r="C33" s="10"/>
      <c r="D33" s="1"/>
      <c r="E33" s="1"/>
      <c r="F33" s="1"/>
      <c r="G33" s="1"/>
      <c r="H33" s="1"/>
      <c r="I33" s="1"/>
      <c r="J33" s="1"/>
      <c r="K33" s="1"/>
      <c r="L33" s="1"/>
      <c r="M33" s="1"/>
      <c r="N33" s="1"/>
      <c r="O33" s="1"/>
      <c r="P33" s="1"/>
      <c r="Q33" s="1"/>
      <c r="R33" s="1"/>
      <c r="S33" s="1"/>
      <c r="T33" s="1"/>
      <c r="U33" s="1"/>
      <c r="V33" s="1"/>
      <c r="W33" s="1"/>
      <c r="X33" s="1"/>
      <c r="Y33" s="1"/>
      <c r="Z33" s="1"/>
    </row>
    <row r="34" spans="1:26" ht="24.75" customHeight="1">
      <c r="A34" s="1"/>
      <c r="B34" s="11" t="s">
        <v>400</v>
      </c>
      <c r="C34" s="57">
        <f>COUNTIF('Draft Board'!$D$3:$CZ$47,'Team Statistics'!B34)</f>
        <v>9</v>
      </c>
      <c r="D34" s="1"/>
      <c r="E34" s="1"/>
      <c r="F34" s="1"/>
      <c r="G34" s="1"/>
      <c r="H34" s="1"/>
      <c r="I34" s="1"/>
      <c r="J34" s="1"/>
      <c r="K34" s="1"/>
      <c r="L34" s="1"/>
      <c r="M34" s="1"/>
      <c r="N34" s="1"/>
      <c r="O34" s="1"/>
      <c r="P34" s="1"/>
      <c r="Q34" s="1"/>
      <c r="R34" s="1"/>
      <c r="S34" s="1"/>
      <c r="T34" s="1"/>
      <c r="U34" s="1"/>
      <c r="V34" s="1"/>
      <c r="W34" s="1"/>
      <c r="X34" s="1"/>
      <c r="Y34" s="1"/>
      <c r="Z34" s="1"/>
    </row>
    <row r="35" spans="1:26" ht="4.5" customHeight="1">
      <c r="A35" s="1"/>
      <c r="B35" s="11"/>
      <c r="C35" s="10"/>
      <c r="D35" s="1"/>
      <c r="E35" s="1"/>
      <c r="F35" s="1"/>
      <c r="G35" s="1"/>
      <c r="H35" s="1"/>
      <c r="I35" s="1"/>
      <c r="J35" s="1"/>
      <c r="K35" s="1"/>
      <c r="L35" s="1"/>
      <c r="M35" s="1"/>
      <c r="N35" s="1"/>
      <c r="O35" s="1"/>
      <c r="P35" s="1"/>
      <c r="Q35" s="1"/>
      <c r="R35" s="1"/>
      <c r="S35" s="1"/>
      <c r="T35" s="1"/>
      <c r="U35" s="1"/>
      <c r="V35" s="1"/>
      <c r="W35" s="1"/>
      <c r="X35" s="1"/>
      <c r="Y35" s="1"/>
      <c r="Z35" s="1"/>
    </row>
    <row r="36" spans="1:26" ht="24.75" customHeight="1">
      <c r="A36" s="1"/>
      <c r="B36" s="11" t="s">
        <v>401</v>
      </c>
      <c r="C36" s="57">
        <f>COUNTIF('Draft Board'!$D$3:$CZ$47,'Team Statistics'!B36)</f>
        <v>8</v>
      </c>
      <c r="D36" s="1"/>
      <c r="E36" s="1"/>
      <c r="F36" s="1"/>
      <c r="G36" s="1"/>
      <c r="H36" s="1"/>
      <c r="I36" s="1"/>
      <c r="J36" s="1"/>
      <c r="K36" s="1"/>
      <c r="L36" s="1"/>
      <c r="M36" s="1"/>
      <c r="N36" s="1"/>
      <c r="O36" s="1"/>
      <c r="P36" s="1"/>
      <c r="Q36" s="1"/>
      <c r="R36" s="1"/>
      <c r="S36" s="1"/>
      <c r="T36" s="1"/>
      <c r="U36" s="1"/>
      <c r="V36" s="1"/>
      <c r="W36" s="1"/>
      <c r="X36" s="1"/>
      <c r="Y36" s="1"/>
      <c r="Z36" s="1"/>
    </row>
    <row r="37" spans="1:26" ht="4.5" customHeight="1">
      <c r="A37" s="1"/>
      <c r="B37" s="11"/>
      <c r="C37" s="10"/>
      <c r="D37" s="1"/>
      <c r="E37" s="1"/>
      <c r="F37" s="1"/>
      <c r="G37" s="1"/>
      <c r="H37" s="1"/>
      <c r="I37" s="1"/>
      <c r="J37" s="1"/>
      <c r="K37" s="1"/>
      <c r="L37" s="1"/>
      <c r="M37" s="1"/>
      <c r="N37" s="1"/>
      <c r="O37" s="1"/>
      <c r="P37" s="1"/>
      <c r="Q37" s="1"/>
      <c r="R37" s="1"/>
      <c r="S37" s="1"/>
      <c r="T37" s="1"/>
      <c r="U37" s="1"/>
      <c r="V37" s="1"/>
      <c r="W37" s="1"/>
      <c r="X37" s="1"/>
      <c r="Y37" s="1"/>
      <c r="Z37" s="1"/>
    </row>
    <row r="38" spans="1:26" ht="24.75" customHeight="1">
      <c r="A38" s="1"/>
      <c r="B38" s="11" t="s">
        <v>402</v>
      </c>
      <c r="C38" s="57">
        <f>COUNTIF('Draft Board'!$D$3:$CZ$47,'Team Statistics'!B38)</f>
        <v>11</v>
      </c>
      <c r="D38" s="1"/>
      <c r="E38" s="1"/>
      <c r="F38" s="1"/>
      <c r="G38" s="1"/>
      <c r="H38" s="1"/>
      <c r="I38" s="1"/>
      <c r="J38" s="1"/>
      <c r="K38" s="1"/>
      <c r="L38" s="1"/>
      <c r="M38" s="1"/>
      <c r="N38" s="1"/>
      <c r="O38" s="1"/>
      <c r="P38" s="1"/>
      <c r="Q38" s="1"/>
      <c r="R38" s="1"/>
      <c r="S38" s="1"/>
      <c r="T38" s="1"/>
      <c r="U38" s="1"/>
      <c r="V38" s="1"/>
      <c r="W38" s="1"/>
      <c r="X38" s="1"/>
      <c r="Y38" s="1"/>
      <c r="Z38" s="1"/>
    </row>
    <row r="39" spans="1:26" ht="4.5" customHeight="1">
      <c r="A39" s="1"/>
      <c r="B39" s="11"/>
      <c r="C39" s="10"/>
      <c r="D39" s="1"/>
      <c r="E39" s="1"/>
      <c r="F39" s="1"/>
      <c r="G39" s="1"/>
      <c r="H39" s="1"/>
      <c r="I39" s="1"/>
      <c r="J39" s="1"/>
      <c r="K39" s="1"/>
      <c r="L39" s="1"/>
      <c r="M39" s="1"/>
      <c r="N39" s="1"/>
      <c r="O39" s="1"/>
      <c r="P39" s="1"/>
      <c r="Q39" s="1"/>
      <c r="R39" s="1"/>
      <c r="S39" s="1"/>
      <c r="T39" s="1"/>
      <c r="U39" s="1"/>
      <c r="V39" s="1"/>
      <c r="W39" s="1"/>
      <c r="X39" s="1"/>
      <c r="Y39" s="1"/>
      <c r="Z39" s="1"/>
    </row>
    <row r="40" spans="1:26" ht="24.75" customHeight="1">
      <c r="A40" s="1"/>
      <c r="B40" s="11" t="s">
        <v>403</v>
      </c>
      <c r="C40" s="57">
        <f>COUNTIF('Draft Board'!$D$3:$CZ$47,'Team Statistics'!B40)</f>
        <v>7</v>
      </c>
      <c r="D40" s="1"/>
      <c r="E40" s="1"/>
      <c r="F40" s="1"/>
      <c r="G40" s="1"/>
      <c r="H40" s="1"/>
      <c r="I40" s="1"/>
      <c r="J40" s="1"/>
      <c r="K40" s="1"/>
      <c r="L40" s="1"/>
      <c r="M40" s="1"/>
      <c r="N40" s="1"/>
      <c r="O40" s="1"/>
      <c r="P40" s="1"/>
      <c r="Q40" s="1"/>
      <c r="R40" s="1"/>
      <c r="S40" s="1"/>
      <c r="T40" s="1"/>
      <c r="U40" s="1"/>
      <c r="V40" s="1"/>
      <c r="W40" s="1"/>
      <c r="X40" s="1"/>
      <c r="Y40" s="1"/>
      <c r="Z40" s="1"/>
    </row>
    <row r="41" spans="1:26" ht="4.5" customHeight="1">
      <c r="A41" s="1"/>
      <c r="B41" s="11"/>
      <c r="C41" s="10"/>
      <c r="D41" s="1"/>
      <c r="E41" s="1"/>
      <c r="F41" s="1"/>
      <c r="G41" s="1"/>
      <c r="H41" s="1"/>
      <c r="I41" s="1"/>
      <c r="J41" s="1"/>
      <c r="K41" s="1"/>
      <c r="L41" s="1"/>
      <c r="M41" s="1"/>
      <c r="N41" s="1"/>
      <c r="O41" s="1"/>
      <c r="P41" s="1"/>
      <c r="Q41" s="1"/>
      <c r="R41" s="1"/>
      <c r="S41" s="1"/>
      <c r="T41" s="1"/>
      <c r="U41" s="1"/>
      <c r="V41" s="1"/>
      <c r="W41" s="1"/>
      <c r="X41" s="1"/>
      <c r="Y41" s="1"/>
      <c r="Z41" s="1"/>
    </row>
    <row r="42" spans="1:26" ht="24.75" customHeight="1">
      <c r="A42" s="1"/>
      <c r="B42" s="11" t="s">
        <v>404</v>
      </c>
      <c r="C42" s="57">
        <f>COUNTIF('Draft Board'!$D$3:$CZ$47,'Team Statistics'!B42)</f>
        <v>10</v>
      </c>
      <c r="D42" s="1"/>
      <c r="E42" s="1"/>
      <c r="F42" s="1"/>
      <c r="G42" s="1"/>
      <c r="H42" s="1"/>
      <c r="I42" s="1"/>
      <c r="J42" s="1"/>
      <c r="K42" s="1"/>
      <c r="L42" s="1"/>
      <c r="M42" s="1"/>
      <c r="N42" s="1"/>
      <c r="O42" s="1"/>
      <c r="P42" s="1"/>
      <c r="Q42" s="1"/>
      <c r="R42" s="1"/>
      <c r="S42" s="1"/>
      <c r="T42" s="1"/>
      <c r="U42" s="1"/>
      <c r="V42" s="1"/>
      <c r="W42" s="1"/>
      <c r="X42" s="1"/>
      <c r="Y42" s="1"/>
      <c r="Z42" s="1"/>
    </row>
    <row r="43" spans="1:26" ht="4.5" customHeight="1">
      <c r="A43" s="1"/>
      <c r="B43" s="11"/>
      <c r="C43" s="10"/>
      <c r="D43" s="1"/>
      <c r="E43" s="1"/>
      <c r="F43" s="1"/>
      <c r="G43" s="1"/>
      <c r="H43" s="1"/>
      <c r="I43" s="1"/>
      <c r="J43" s="1"/>
      <c r="K43" s="1"/>
      <c r="L43" s="1"/>
      <c r="M43" s="1"/>
      <c r="N43" s="1"/>
      <c r="O43" s="1"/>
      <c r="P43" s="1"/>
      <c r="Q43" s="1"/>
      <c r="R43" s="1"/>
      <c r="S43" s="1"/>
      <c r="T43" s="1"/>
      <c r="U43" s="1"/>
      <c r="V43" s="1"/>
      <c r="W43" s="1"/>
      <c r="X43" s="1"/>
      <c r="Y43" s="1"/>
      <c r="Z43" s="1"/>
    </row>
    <row r="44" spans="1:26" ht="24.75" customHeight="1">
      <c r="A44" s="1"/>
      <c r="B44" s="11" t="s">
        <v>405</v>
      </c>
      <c r="C44" s="57">
        <f>COUNTIF('Draft Board'!$D$3:$CZ$47,'Team Statistics'!B44)</f>
        <v>7</v>
      </c>
      <c r="D44" s="1"/>
      <c r="E44" s="1"/>
      <c r="F44" s="1"/>
      <c r="G44" s="1"/>
      <c r="H44" s="1"/>
      <c r="I44" s="1"/>
      <c r="J44" s="1"/>
      <c r="K44" s="1"/>
      <c r="L44" s="1"/>
      <c r="M44" s="1"/>
      <c r="N44" s="1"/>
      <c r="O44" s="1"/>
      <c r="P44" s="1"/>
      <c r="Q44" s="1"/>
      <c r="R44" s="1"/>
      <c r="S44" s="1"/>
      <c r="T44" s="1"/>
      <c r="U44" s="1"/>
      <c r="V44" s="1"/>
      <c r="W44" s="1"/>
      <c r="X44" s="1"/>
      <c r="Y44" s="1"/>
      <c r="Z44" s="1"/>
    </row>
    <row r="45" spans="1:26" ht="4.5" customHeight="1">
      <c r="A45" s="1"/>
      <c r="B45" s="11"/>
      <c r="C45" s="10"/>
      <c r="D45" s="1"/>
      <c r="E45" s="1"/>
      <c r="F45" s="1"/>
      <c r="G45" s="1"/>
      <c r="H45" s="1"/>
      <c r="I45" s="1"/>
      <c r="J45" s="1"/>
      <c r="K45" s="1"/>
      <c r="L45" s="1"/>
      <c r="M45" s="1"/>
      <c r="N45" s="1"/>
      <c r="O45" s="1"/>
      <c r="P45" s="1"/>
      <c r="Q45" s="1"/>
      <c r="R45" s="1"/>
      <c r="S45" s="1"/>
      <c r="T45" s="1"/>
      <c r="U45" s="1"/>
      <c r="V45" s="1"/>
      <c r="W45" s="1"/>
      <c r="X45" s="1"/>
      <c r="Y45" s="1"/>
      <c r="Z45" s="1"/>
    </row>
    <row r="46" spans="1:26" ht="24.75" customHeight="1">
      <c r="A46" s="1"/>
      <c r="B46" s="11" t="s">
        <v>406</v>
      </c>
      <c r="C46" s="57">
        <f>COUNTIF('Draft Board'!$D$3:$CZ$47,'Team Statistics'!B46)</f>
        <v>11</v>
      </c>
      <c r="D46" s="1"/>
      <c r="E46" s="1"/>
      <c r="F46" s="1"/>
      <c r="G46" s="1"/>
      <c r="H46" s="1"/>
      <c r="I46" s="1"/>
      <c r="J46" s="1"/>
      <c r="K46" s="1"/>
      <c r="L46" s="1"/>
      <c r="M46" s="1"/>
      <c r="N46" s="1"/>
      <c r="O46" s="1"/>
      <c r="P46" s="1"/>
      <c r="Q46" s="1"/>
      <c r="R46" s="1"/>
      <c r="S46" s="1"/>
      <c r="T46" s="1"/>
      <c r="U46" s="1"/>
      <c r="V46" s="1"/>
      <c r="W46" s="1"/>
      <c r="X46" s="1"/>
      <c r="Y46" s="1"/>
      <c r="Z46" s="1"/>
    </row>
    <row r="47" spans="1:26" ht="4.5" customHeight="1">
      <c r="A47" s="1"/>
      <c r="B47" s="11"/>
      <c r="C47" s="10"/>
      <c r="D47" s="1"/>
      <c r="E47" s="1"/>
      <c r="F47" s="1"/>
      <c r="G47" s="1"/>
      <c r="H47" s="1"/>
      <c r="I47" s="1"/>
      <c r="J47" s="1"/>
      <c r="K47" s="1"/>
      <c r="L47" s="1"/>
      <c r="M47" s="1"/>
      <c r="N47" s="1"/>
      <c r="O47" s="1"/>
      <c r="P47" s="1"/>
      <c r="Q47" s="1"/>
      <c r="R47" s="1"/>
      <c r="S47" s="1"/>
      <c r="T47" s="1"/>
      <c r="U47" s="1"/>
      <c r="V47" s="1"/>
      <c r="W47" s="1"/>
      <c r="X47" s="1"/>
      <c r="Y47" s="1"/>
      <c r="Z47" s="1"/>
    </row>
    <row r="48" spans="1:26" ht="24.75" customHeight="1">
      <c r="A48" s="1"/>
      <c r="B48" s="11" t="s">
        <v>407</v>
      </c>
      <c r="C48" s="57">
        <f>COUNTIF('Draft Board'!$D$3:$CZ$47,'Team Statistics'!B48)</f>
        <v>10</v>
      </c>
      <c r="D48" s="1"/>
      <c r="E48" s="1"/>
      <c r="F48" s="1"/>
      <c r="G48" s="1"/>
      <c r="H48" s="1"/>
      <c r="I48" s="1"/>
      <c r="J48" s="1"/>
      <c r="K48" s="1"/>
      <c r="L48" s="1"/>
      <c r="M48" s="1"/>
      <c r="N48" s="1"/>
      <c r="O48" s="1"/>
      <c r="P48" s="1"/>
      <c r="Q48" s="1"/>
      <c r="R48" s="1"/>
      <c r="S48" s="1"/>
      <c r="T48" s="1"/>
      <c r="U48" s="1"/>
      <c r="V48" s="1"/>
      <c r="W48" s="1"/>
      <c r="X48" s="1"/>
      <c r="Y48" s="1"/>
      <c r="Z48" s="1"/>
    </row>
    <row r="49" spans="1:26" ht="4.5" customHeight="1">
      <c r="A49" s="1"/>
      <c r="B49" s="11"/>
      <c r="C49" s="10"/>
      <c r="D49" s="1"/>
      <c r="E49" s="1"/>
      <c r="F49" s="1"/>
      <c r="G49" s="1"/>
      <c r="H49" s="1"/>
      <c r="I49" s="1"/>
      <c r="J49" s="1"/>
      <c r="K49" s="1"/>
      <c r="L49" s="1"/>
      <c r="M49" s="1"/>
      <c r="N49" s="1"/>
      <c r="O49" s="1"/>
      <c r="P49" s="1"/>
      <c r="Q49" s="1"/>
      <c r="R49" s="1"/>
      <c r="S49" s="1"/>
      <c r="T49" s="1"/>
      <c r="U49" s="1"/>
      <c r="V49" s="1"/>
      <c r="W49" s="1"/>
      <c r="X49" s="1"/>
      <c r="Y49" s="1"/>
      <c r="Z49" s="1"/>
    </row>
    <row r="50" spans="1:26" ht="24.75" customHeight="1">
      <c r="A50" s="1"/>
      <c r="B50" s="11" t="s">
        <v>408</v>
      </c>
      <c r="C50" s="57">
        <f>COUNTIF('Draft Board'!$D$3:$CZ$47,'Team Statistics'!B50)</f>
        <v>9</v>
      </c>
      <c r="D50" s="1"/>
      <c r="E50" s="1"/>
      <c r="F50" s="1"/>
      <c r="G50" s="1"/>
      <c r="H50" s="1"/>
      <c r="I50" s="1"/>
      <c r="J50" s="1"/>
      <c r="K50" s="1"/>
      <c r="L50" s="1"/>
      <c r="M50" s="1"/>
      <c r="N50" s="1"/>
      <c r="O50" s="1"/>
      <c r="P50" s="1"/>
      <c r="Q50" s="1"/>
      <c r="R50" s="1"/>
      <c r="S50" s="1"/>
      <c r="T50" s="1"/>
      <c r="U50" s="1"/>
      <c r="V50" s="1"/>
      <c r="W50" s="1"/>
      <c r="X50" s="1"/>
      <c r="Y50" s="1"/>
      <c r="Z50" s="1"/>
    </row>
    <row r="51" spans="1:26" ht="4.5" customHeight="1">
      <c r="A51" s="1"/>
      <c r="B51" s="11"/>
      <c r="C51" s="10"/>
      <c r="D51" s="1"/>
      <c r="E51" s="1"/>
      <c r="F51" s="1"/>
      <c r="G51" s="1"/>
      <c r="H51" s="1"/>
      <c r="I51" s="1"/>
      <c r="J51" s="1"/>
      <c r="K51" s="1"/>
      <c r="L51" s="1"/>
      <c r="M51" s="1"/>
      <c r="N51" s="1"/>
      <c r="O51" s="1"/>
      <c r="P51" s="1"/>
      <c r="Q51" s="1"/>
      <c r="R51" s="1"/>
      <c r="S51" s="1"/>
      <c r="T51" s="1"/>
      <c r="U51" s="1"/>
      <c r="V51" s="1"/>
      <c r="W51" s="1"/>
      <c r="X51" s="1"/>
      <c r="Y51" s="1"/>
      <c r="Z51" s="1"/>
    </row>
    <row r="52" spans="1:26" ht="24.75" customHeight="1">
      <c r="A52" s="1"/>
      <c r="B52" s="11" t="s">
        <v>409</v>
      </c>
      <c r="C52" s="57">
        <f>COUNTIF('Draft Board'!$D$3:$CZ$47,'Team Statistics'!B52)</f>
        <v>11</v>
      </c>
      <c r="D52" s="1"/>
      <c r="E52" s="1"/>
      <c r="F52" s="1"/>
      <c r="G52" s="1"/>
      <c r="H52" s="1"/>
      <c r="I52" s="1"/>
      <c r="J52" s="1"/>
      <c r="K52" s="1"/>
      <c r="L52" s="1"/>
      <c r="M52" s="1"/>
      <c r="N52" s="1"/>
      <c r="O52" s="1"/>
      <c r="P52" s="1"/>
      <c r="Q52" s="1"/>
      <c r="R52" s="1"/>
      <c r="S52" s="1"/>
      <c r="T52" s="1"/>
      <c r="U52" s="1"/>
      <c r="V52" s="1"/>
      <c r="W52" s="1"/>
      <c r="X52" s="1"/>
      <c r="Y52" s="1"/>
      <c r="Z52" s="1"/>
    </row>
    <row r="53" spans="1:26" ht="4.5" customHeight="1">
      <c r="A53" s="1"/>
      <c r="B53" s="11"/>
      <c r="C53" s="10"/>
      <c r="D53" s="1"/>
      <c r="E53" s="1"/>
      <c r="F53" s="1"/>
      <c r="G53" s="1"/>
      <c r="H53" s="1"/>
      <c r="I53" s="1"/>
      <c r="J53" s="1"/>
      <c r="K53" s="1"/>
      <c r="L53" s="1"/>
      <c r="M53" s="1"/>
      <c r="N53" s="1"/>
      <c r="O53" s="1"/>
      <c r="P53" s="1"/>
      <c r="Q53" s="1"/>
      <c r="R53" s="1"/>
      <c r="S53" s="1"/>
      <c r="T53" s="1"/>
      <c r="U53" s="1"/>
      <c r="V53" s="1"/>
      <c r="W53" s="1"/>
      <c r="X53" s="1"/>
      <c r="Y53" s="1"/>
      <c r="Z53" s="1"/>
    </row>
    <row r="54" spans="1:26" ht="24.75" customHeight="1">
      <c r="A54" s="1"/>
      <c r="B54" s="11" t="s">
        <v>410</v>
      </c>
      <c r="C54" s="57">
        <f>COUNTIF('Draft Board'!$D$3:$CZ$47,'Team Statistics'!B54)</f>
        <v>12</v>
      </c>
      <c r="D54" s="1"/>
      <c r="E54" s="1"/>
      <c r="F54" s="1"/>
      <c r="G54" s="1"/>
      <c r="H54" s="1"/>
      <c r="I54" s="1"/>
      <c r="J54" s="1"/>
      <c r="K54" s="1"/>
      <c r="L54" s="1"/>
      <c r="M54" s="1"/>
      <c r="N54" s="1"/>
      <c r="O54" s="1"/>
      <c r="P54" s="1"/>
      <c r="Q54" s="1"/>
      <c r="R54" s="1"/>
      <c r="S54" s="1"/>
      <c r="T54" s="1"/>
      <c r="U54" s="1"/>
      <c r="V54" s="1"/>
      <c r="W54" s="1"/>
      <c r="X54" s="1"/>
      <c r="Y54" s="1"/>
      <c r="Z54" s="1"/>
    </row>
    <row r="55" spans="1:26" ht="4.5" customHeight="1">
      <c r="A55" s="1"/>
      <c r="B55" s="11"/>
      <c r="C55" s="10"/>
      <c r="D55" s="1"/>
      <c r="E55" s="1"/>
      <c r="F55" s="1"/>
      <c r="G55" s="1"/>
      <c r="H55" s="1"/>
      <c r="I55" s="1"/>
      <c r="J55" s="1"/>
      <c r="K55" s="1"/>
      <c r="L55" s="1"/>
      <c r="M55" s="1"/>
      <c r="N55" s="1"/>
      <c r="O55" s="1"/>
      <c r="P55" s="1"/>
      <c r="Q55" s="1"/>
      <c r="R55" s="1"/>
      <c r="S55" s="1"/>
      <c r="T55" s="1"/>
      <c r="U55" s="1"/>
      <c r="V55" s="1"/>
      <c r="W55" s="1"/>
      <c r="X55" s="1"/>
      <c r="Y55" s="1"/>
      <c r="Z55" s="1"/>
    </row>
    <row r="56" spans="1:26" ht="24.75" customHeight="1">
      <c r="A56" s="1"/>
      <c r="B56" s="11" t="s">
        <v>411</v>
      </c>
      <c r="C56" s="57">
        <f>COUNTIF('Draft Board'!$D$3:$CZ$47,'Team Statistics'!B56)</f>
        <v>10</v>
      </c>
      <c r="D56" s="1"/>
      <c r="E56" s="1"/>
      <c r="F56" s="1"/>
      <c r="G56" s="1"/>
      <c r="H56" s="1"/>
      <c r="I56" s="1"/>
      <c r="J56" s="1"/>
      <c r="K56" s="1"/>
      <c r="L56" s="1"/>
      <c r="M56" s="1"/>
      <c r="N56" s="1"/>
      <c r="O56" s="1"/>
      <c r="P56" s="1"/>
      <c r="Q56" s="1"/>
      <c r="R56" s="1"/>
      <c r="S56" s="1"/>
      <c r="T56" s="1"/>
      <c r="U56" s="1"/>
      <c r="V56" s="1"/>
      <c r="W56" s="1"/>
      <c r="X56" s="1"/>
      <c r="Y56" s="1"/>
      <c r="Z56" s="1"/>
    </row>
    <row r="57" spans="1:26" ht="4.5" customHeight="1">
      <c r="A57" s="1"/>
      <c r="B57" s="11"/>
      <c r="C57" s="10"/>
      <c r="D57" s="1"/>
      <c r="E57" s="1"/>
      <c r="F57" s="1"/>
      <c r="G57" s="1"/>
      <c r="H57" s="1"/>
      <c r="I57" s="1"/>
      <c r="J57" s="1"/>
      <c r="K57" s="1"/>
      <c r="L57" s="1"/>
      <c r="M57" s="1"/>
      <c r="N57" s="1"/>
      <c r="O57" s="1"/>
      <c r="P57" s="1"/>
      <c r="Q57" s="1"/>
      <c r="R57" s="1"/>
      <c r="S57" s="1"/>
      <c r="T57" s="1"/>
      <c r="U57" s="1"/>
      <c r="V57" s="1"/>
      <c r="W57" s="1"/>
      <c r="X57" s="1"/>
      <c r="Y57" s="1"/>
      <c r="Z57" s="1"/>
    </row>
    <row r="58" spans="1:26" ht="24.75" customHeight="1">
      <c r="A58" s="1"/>
      <c r="B58" s="11" t="s">
        <v>412</v>
      </c>
      <c r="C58" s="57">
        <f>COUNTIF('Draft Board'!$D$3:$CZ$47,'Team Statistics'!B58)</f>
        <v>9</v>
      </c>
      <c r="D58" s="1"/>
      <c r="E58" s="1"/>
      <c r="F58" s="1"/>
      <c r="G58" s="1"/>
      <c r="H58" s="1"/>
      <c r="I58" s="1"/>
      <c r="J58" s="1"/>
      <c r="K58" s="1"/>
      <c r="L58" s="1"/>
      <c r="M58" s="1"/>
      <c r="N58" s="1"/>
      <c r="O58" s="1"/>
      <c r="P58" s="1"/>
      <c r="Q58" s="1"/>
      <c r="R58" s="1"/>
      <c r="S58" s="1"/>
      <c r="T58" s="1"/>
      <c r="U58" s="1"/>
      <c r="V58" s="1"/>
      <c r="W58" s="1"/>
      <c r="X58" s="1"/>
      <c r="Y58" s="1"/>
      <c r="Z58" s="1"/>
    </row>
    <row r="59" spans="1:26" ht="4.5" customHeight="1">
      <c r="A59" s="1"/>
      <c r="B59" s="11"/>
      <c r="C59" s="10"/>
      <c r="D59" s="1"/>
      <c r="E59" s="1"/>
      <c r="F59" s="1"/>
      <c r="G59" s="1"/>
      <c r="H59" s="1"/>
      <c r="I59" s="1"/>
      <c r="J59" s="1"/>
      <c r="K59" s="1"/>
      <c r="L59" s="1"/>
      <c r="M59" s="1"/>
      <c r="N59" s="1"/>
      <c r="O59" s="1"/>
      <c r="P59" s="1"/>
      <c r="Q59" s="1"/>
      <c r="R59" s="1"/>
      <c r="S59" s="1"/>
      <c r="T59" s="1"/>
      <c r="U59" s="1"/>
      <c r="V59" s="1"/>
      <c r="W59" s="1"/>
      <c r="X59" s="1"/>
      <c r="Y59" s="1"/>
      <c r="Z59" s="1"/>
    </row>
    <row r="60" spans="1:26" ht="24.75" customHeight="1">
      <c r="A60" s="1"/>
      <c r="B60" s="11" t="s">
        <v>413</v>
      </c>
      <c r="C60" s="57">
        <f>COUNTIF('Draft Board'!$D$3:$CZ$47,'Team Statistics'!B60)</f>
        <v>11</v>
      </c>
      <c r="D60" s="1"/>
      <c r="E60" s="1"/>
      <c r="F60" s="1"/>
      <c r="G60" s="1"/>
      <c r="H60" s="1"/>
      <c r="I60" s="1"/>
      <c r="J60" s="1"/>
      <c r="K60" s="1"/>
      <c r="L60" s="1"/>
      <c r="M60" s="1"/>
      <c r="N60" s="1"/>
      <c r="O60" s="1"/>
      <c r="P60" s="1"/>
      <c r="Q60" s="1"/>
      <c r="R60" s="1"/>
      <c r="S60" s="1"/>
      <c r="T60" s="1"/>
      <c r="U60" s="1"/>
      <c r="V60" s="1"/>
      <c r="W60" s="1"/>
      <c r="X60" s="1"/>
      <c r="Y60" s="1"/>
      <c r="Z60" s="1"/>
    </row>
    <row r="61" spans="1:26" ht="4.5" customHeight="1">
      <c r="A61" s="1"/>
      <c r="B61" s="11"/>
      <c r="C61" s="10"/>
      <c r="D61" s="1"/>
      <c r="E61" s="1"/>
      <c r="F61" s="1"/>
      <c r="G61" s="1"/>
      <c r="H61" s="1"/>
      <c r="I61" s="1"/>
      <c r="J61" s="1"/>
      <c r="K61" s="1"/>
      <c r="L61" s="1"/>
      <c r="M61" s="1"/>
      <c r="N61" s="1"/>
      <c r="O61" s="1"/>
      <c r="P61" s="1"/>
      <c r="Q61" s="1"/>
      <c r="R61" s="1"/>
      <c r="S61" s="1"/>
      <c r="T61" s="1"/>
      <c r="U61" s="1"/>
      <c r="V61" s="1"/>
      <c r="W61" s="1"/>
      <c r="X61" s="1"/>
      <c r="Y61" s="1"/>
      <c r="Z61" s="1"/>
    </row>
    <row r="62" spans="1:26" ht="24.75" customHeight="1">
      <c r="A62" s="1"/>
      <c r="B62" s="11" t="s">
        <v>414</v>
      </c>
      <c r="C62" s="57">
        <f>COUNTIF('Draft Board'!$D$3:$CZ$47,'Team Statistics'!B62)</f>
        <v>11</v>
      </c>
      <c r="D62" s="1"/>
      <c r="E62" s="1"/>
      <c r="F62" s="1"/>
      <c r="G62" s="1"/>
      <c r="H62" s="1"/>
      <c r="I62" s="1"/>
      <c r="J62" s="1"/>
      <c r="K62" s="1"/>
      <c r="L62" s="1"/>
      <c r="M62" s="1"/>
      <c r="N62" s="1"/>
      <c r="O62" s="1"/>
      <c r="P62" s="1"/>
      <c r="Q62" s="1"/>
      <c r="R62" s="1"/>
      <c r="S62" s="1"/>
      <c r="T62" s="1"/>
      <c r="U62" s="1"/>
      <c r="V62" s="1"/>
      <c r="W62" s="1"/>
      <c r="X62" s="1"/>
      <c r="Y62" s="1"/>
      <c r="Z62" s="1"/>
    </row>
    <row r="63" spans="1:26" ht="4.5" customHeight="1">
      <c r="A63" s="1"/>
      <c r="B63" s="11"/>
      <c r="C63" s="10"/>
      <c r="D63" s="1"/>
      <c r="E63" s="1"/>
      <c r="F63" s="1"/>
      <c r="G63" s="1"/>
      <c r="H63" s="1"/>
      <c r="I63" s="1"/>
      <c r="J63" s="1"/>
      <c r="K63" s="1"/>
      <c r="L63" s="1"/>
      <c r="M63" s="1"/>
      <c r="N63" s="1"/>
      <c r="O63" s="1"/>
      <c r="P63" s="1"/>
      <c r="Q63" s="1"/>
      <c r="R63" s="1"/>
      <c r="S63" s="1"/>
      <c r="T63" s="1"/>
      <c r="U63" s="1"/>
      <c r="V63" s="1"/>
      <c r="W63" s="1"/>
      <c r="X63" s="1"/>
      <c r="Y63" s="1"/>
      <c r="Z63" s="1"/>
    </row>
    <row r="64" spans="1:26" ht="24.75" customHeight="1">
      <c r="A64" s="1"/>
      <c r="B64" s="11" t="s">
        <v>415</v>
      </c>
      <c r="C64" s="57">
        <f>COUNTIF('Draft Board'!$D$3:$CZ$47,'Team Statistics'!B64)</f>
        <v>9</v>
      </c>
      <c r="D64" s="1"/>
      <c r="E64" s="1"/>
      <c r="F64" s="1"/>
      <c r="G64" s="1"/>
      <c r="H64" s="1"/>
      <c r="I64" s="1"/>
      <c r="J64" s="1"/>
      <c r="K64" s="1"/>
      <c r="L64" s="1"/>
      <c r="M64" s="1"/>
      <c r="N64" s="1"/>
      <c r="O64" s="1"/>
      <c r="P64" s="1"/>
      <c r="Q64" s="1"/>
      <c r="R64" s="1"/>
      <c r="S64" s="1"/>
      <c r="T64" s="1"/>
      <c r="U64" s="1"/>
      <c r="V64" s="1"/>
      <c r="W64" s="1"/>
      <c r="X64" s="1"/>
      <c r="Y64" s="1"/>
      <c r="Z64" s="1"/>
    </row>
    <row r="65" spans="1:26" ht="4.5" customHeight="1">
      <c r="A65" s="1"/>
      <c r="B65" s="11"/>
      <c r="C65" s="10"/>
      <c r="D65" s="1"/>
      <c r="E65" s="1"/>
      <c r="F65" s="1"/>
      <c r="G65" s="1"/>
      <c r="H65" s="1"/>
      <c r="I65" s="1"/>
      <c r="J65" s="1"/>
      <c r="K65" s="1"/>
      <c r="L65" s="1"/>
      <c r="M65" s="1"/>
      <c r="N65" s="1"/>
      <c r="O65" s="1"/>
      <c r="P65" s="1"/>
      <c r="Q65" s="1"/>
      <c r="R65" s="1"/>
      <c r="S65" s="1"/>
      <c r="T65" s="1"/>
      <c r="U65" s="1"/>
      <c r="V65" s="1"/>
      <c r="W65" s="1"/>
      <c r="X65" s="1"/>
      <c r="Y65" s="1"/>
      <c r="Z65" s="1"/>
    </row>
    <row r="66" spans="1:26" ht="24.75" customHeight="1">
      <c r="A66" s="1"/>
      <c r="B66" s="11" t="s">
        <v>416</v>
      </c>
      <c r="C66" s="57">
        <f>COUNTIF('Draft Board'!$D$3:$CZ$47,'Team Statistics'!B66)</f>
        <v>7</v>
      </c>
      <c r="D66" s="1"/>
      <c r="E66" s="1"/>
      <c r="F66" s="1"/>
      <c r="G66" s="1"/>
      <c r="H66" s="1"/>
      <c r="I66" s="1"/>
      <c r="J66" s="1"/>
      <c r="K66" s="1"/>
      <c r="L66" s="1"/>
      <c r="M66" s="1"/>
      <c r="N66" s="1"/>
      <c r="O66" s="1"/>
      <c r="P66" s="1"/>
      <c r="Q66" s="1"/>
      <c r="R66" s="1"/>
      <c r="S66" s="1"/>
      <c r="T66" s="1"/>
      <c r="U66" s="1"/>
      <c r="V66" s="1"/>
      <c r="W66" s="1"/>
      <c r="X66" s="1"/>
      <c r="Y66" s="1"/>
      <c r="Z66" s="1"/>
    </row>
    <row r="67" spans="1:26" ht="4.5" customHeight="1">
      <c r="A67" s="1"/>
      <c r="B67" s="11"/>
      <c r="C67" s="60"/>
      <c r="D67" s="1"/>
      <c r="E67" s="1"/>
      <c r="F67" s="1"/>
      <c r="G67" s="1"/>
      <c r="H67" s="1"/>
      <c r="I67" s="1"/>
      <c r="J67" s="1"/>
      <c r="K67" s="1"/>
      <c r="L67" s="1"/>
      <c r="M67" s="1"/>
      <c r="N67" s="1"/>
      <c r="O67" s="1"/>
      <c r="P67" s="1"/>
      <c r="Q67" s="1"/>
      <c r="R67" s="1"/>
      <c r="S67" s="1"/>
      <c r="T67" s="1"/>
      <c r="U67" s="1"/>
      <c r="V67" s="1"/>
      <c r="W67" s="1"/>
      <c r="X67" s="1"/>
      <c r="Y67" s="1"/>
      <c r="Z67" s="1"/>
    </row>
    <row r="68" spans="1:26" ht="24.75" customHeight="1">
      <c r="A68" s="1"/>
      <c r="B68" s="11" t="s">
        <v>417</v>
      </c>
      <c r="C68" s="57">
        <f>300-C70</f>
        <v>4</v>
      </c>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61" t="s">
        <v>418</v>
      </c>
      <c r="C70" s="61">
        <f>SUM(C4:C66)</f>
        <v>296</v>
      </c>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onditionalFormatting sqref="C67:C68">
    <cfRule type="expression" dxfId="17310" priority="1">
      <formula>#REF!="K"</formula>
    </cfRule>
  </conditionalFormatting>
  <conditionalFormatting sqref="C67:C68">
    <cfRule type="expression" dxfId="17309" priority="2">
      <formula>#REF!="DEF"</formula>
    </cfRule>
  </conditionalFormatting>
  <conditionalFormatting sqref="C67:C68">
    <cfRule type="expression" dxfId="17308" priority="3">
      <formula>#REF!="TE"</formula>
    </cfRule>
  </conditionalFormatting>
  <conditionalFormatting sqref="C67:C68">
    <cfRule type="expression" dxfId="17307" priority="4">
      <formula>#REF!="WR"</formula>
    </cfRule>
  </conditionalFormatting>
  <conditionalFormatting sqref="C67:C68">
    <cfRule type="expression" dxfId="17306" priority="5">
      <formula>#REF!="RB"</formula>
    </cfRule>
  </conditionalFormatting>
  <conditionalFormatting sqref="C67:C68">
    <cfRule type="expression" dxfId="17305" priority="6">
      <formula>#REF!="QB"</formula>
    </cfRule>
  </conditionalFormatting>
  <conditionalFormatting sqref="C4">
    <cfRule type="expression" dxfId="17304" priority="7">
      <formula>#REF!="K"</formula>
    </cfRule>
  </conditionalFormatting>
  <conditionalFormatting sqref="C4">
    <cfRule type="expression" dxfId="17303" priority="8">
      <formula>#REF!="DEF"</formula>
    </cfRule>
  </conditionalFormatting>
  <conditionalFormatting sqref="C4">
    <cfRule type="expression" dxfId="17302" priority="9">
      <formula>#REF!="TE"</formula>
    </cfRule>
  </conditionalFormatting>
  <conditionalFormatting sqref="C4">
    <cfRule type="expression" dxfId="17301" priority="10">
      <formula>#REF!="WR"</formula>
    </cfRule>
  </conditionalFormatting>
  <conditionalFormatting sqref="C4">
    <cfRule type="expression" dxfId="17300" priority="11">
      <formula>#REF!="RB"</formula>
    </cfRule>
  </conditionalFormatting>
  <conditionalFormatting sqref="C4">
    <cfRule type="expression" dxfId="17299" priority="12">
      <formula>#REF!="QB"</formula>
    </cfRule>
  </conditionalFormatting>
  <conditionalFormatting sqref="C6">
    <cfRule type="expression" dxfId="17298" priority="13">
      <formula>#REF!="K"</formula>
    </cfRule>
  </conditionalFormatting>
  <conditionalFormatting sqref="C6">
    <cfRule type="expression" dxfId="17297" priority="14">
      <formula>#REF!="DEF"</formula>
    </cfRule>
  </conditionalFormatting>
  <conditionalFormatting sqref="C6">
    <cfRule type="expression" dxfId="17296" priority="15">
      <formula>#REF!="TE"</formula>
    </cfRule>
  </conditionalFormatting>
  <conditionalFormatting sqref="C6">
    <cfRule type="expression" dxfId="17295" priority="16">
      <formula>#REF!="WR"</formula>
    </cfRule>
  </conditionalFormatting>
  <conditionalFormatting sqref="C6">
    <cfRule type="expression" dxfId="17294" priority="17">
      <formula>#REF!="RB"</formula>
    </cfRule>
  </conditionalFormatting>
  <conditionalFormatting sqref="C6">
    <cfRule type="expression" dxfId="17293" priority="18">
      <formula>#REF!="QB"</formula>
    </cfRule>
  </conditionalFormatting>
  <conditionalFormatting sqref="C8">
    <cfRule type="expression" dxfId="17292" priority="19">
      <formula>#REF!="K"</formula>
    </cfRule>
  </conditionalFormatting>
  <conditionalFormatting sqref="C8">
    <cfRule type="expression" dxfId="17291" priority="20">
      <formula>#REF!="DEF"</formula>
    </cfRule>
  </conditionalFormatting>
  <conditionalFormatting sqref="C8">
    <cfRule type="expression" dxfId="17290" priority="21">
      <formula>#REF!="TE"</formula>
    </cfRule>
  </conditionalFormatting>
  <conditionalFormatting sqref="C8">
    <cfRule type="expression" dxfId="17289" priority="22">
      <formula>#REF!="WR"</formula>
    </cfRule>
  </conditionalFormatting>
  <conditionalFormatting sqref="C8">
    <cfRule type="expression" dxfId="17288" priority="23">
      <formula>#REF!="RB"</formula>
    </cfRule>
  </conditionalFormatting>
  <conditionalFormatting sqref="C8">
    <cfRule type="expression" dxfId="17287" priority="24">
      <formula>#REF!="QB"</formula>
    </cfRule>
  </conditionalFormatting>
  <conditionalFormatting sqref="C10">
    <cfRule type="expression" dxfId="17286" priority="25">
      <formula>#REF!="K"</formula>
    </cfRule>
  </conditionalFormatting>
  <conditionalFormatting sqref="C10">
    <cfRule type="expression" dxfId="17285" priority="26">
      <formula>#REF!="DEF"</formula>
    </cfRule>
  </conditionalFormatting>
  <conditionalFormatting sqref="C10">
    <cfRule type="expression" dxfId="17284" priority="27">
      <formula>#REF!="TE"</formula>
    </cfRule>
  </conditionalFormatting>
  <conditionalFormatting sqref="C10">
    <cfRule type="expression" dxfId="17283" priority="28">
      <formula>#REF!="WR"</formula>
    </cfRule>
  </conditionalFormatting>
  <conditionalFormatting sqref="C10">
    <cfRule type="expression" dxfId="17282" priority="29">
      <formula>#REF!="RB"</formula>
    </cfRule>
  </conditionalFormatting>
  <conditionalFormatting sqref="C10">
    <cfRule type="expression" dxfId="17281" priority="30">
      <formula>#REF!="QB"</formula>
    </cfRule>
  </conditionalFormatting>
  <conditionalFormatting sqref="C12">
    <cfRule type="expression" dxfId="17280" priority="31">
      <formula>#REF!="K"</formula>
    </cfRule>
  </conditionalFormatting>
  <conditionalFormatting sqref="C12">
    <cfRule type="expression" dxfId="17279" priority="32">
      <formula>#REF!="DEF"</formula>
    </cfRule>
  </conditionalFormatting>
  <conditionalFormatting sqref="C12">
    <cfRule type="expression" dxfId="17278" priority="33">
      <formula>#REF!="TE"</formula>
    </cfRule>
  </conditionalFormatting>
  <conditionalFormatting sqref="C12">
    <cfRule type="expression" dxfId="17277" priority="34">
      <formula>#REF!="WR"</formula>
    </cfRule>
  </conditionalFormatting>
  <conditionalFormatting sqref="C12">
    <cfRule type="expression" dxfId="17276" priority="35">
      <formula>#REF!="RB"</formula>
    </cfRule>
  </conditionalFormatting>
  <conditionalFormatting sqref="C12">
    <cfRule type="expression" dxfId="17275" priority="36">
      <formula>#REF!="QB"</formula>
    </cfRule>
  </conditionalFormatting>
  <conditionalFormatting sqref="C14">
    <cfRule type="expression" dxfId="17274" priority="37">
      <formula>#REF!="K"</formula>
    </cfRule>
  </conditionalFormatting>
  <conditionalFormatting sqref="C14">
    <cfRule type="expression" dxfId="17273" priority="38">
      <formula>#REF!="DEF"</formula>
    </cfRule>
  </conditionalFormatting>
  <conditionalFormatting sqref="C14">
    <cfRule type="expression" dxfId="17272" priority="39">
      <formula>#REF!="TE"</formula>
    </cfRule>
  </conditionalFormatting>
  <conditionalFormatting sqref="C14">
    <cfRule type="expression" dxfId="17271" priority="40">
      <formula>#REF!="WR"</formula>
    </cfRule>
  </conditionalFormatting>
  <conditionalFormatting sqref="C14">
    <cfRule type="expression" dxfId="17270" priority="41">
      <formula>#REF!="RB"</formula>
    </cfRule>
  </conditionalFormatting>
  <conditionalFormatting sqref="C14">
    <cfRule type="expression" dxfId="17269" priority="42">
      <formula>#REF!="QB"</formula>
    </cfRule>
  </conditionalFormatting>
  <conditionalFormatting sqref="C16">
    <cfRule type="expression" dxfId="17268" priority="43">
      <formula>#REF!="K"</formula>
    </cfRule>
  </conditionalFormatting>
  <conditionalFormatting sqref="C16">
    <cfRule type="expression" dxfId="17267" priority="44">
      <formula>#REF!="DEF"</formula>
    </cfRule>
  </conditionalFormatting>
  <conditionalFormatting sqref="C16">
    <cfRule type="expression" dxfId="17266" priority="45">
      <formula>#REF!="TE"</formula>
    </cfRule>
  </conditionalFormatting>
  <conditionalFormatting sqref="C16">
    <cfRule type="expression" dxfId="17265" priority="46">
      <formula>#REF!="WR"</formula>
    </cfRule>
  </conditionalFormatting>
  <conditionalFormatting sqref="C16">
    <cfRule type="expression" dxfId="17264" priority="47">
      <formula>#REF!="RB"</formula>
    </cfRule>
  </conditionalFormatting>
  <conditionalFormatting sqref="C16">
    <cfRule type="expression" dxfId="17263" priority="48">
      <formula>#REF!="QB"</formula>
    </cfRule>
  </conditionalFormatting>
  <conditionalFormatting sqref="C18">
    <cfRule type="expression" dxfId="17262" priority="49">
      <formula>#REF!="K"</formula>
    </cfRule>
  </conditionalFormatting>
  <conditionalFormatting sqref="C18">
    <cfRule type="expression" dxfId="17261" priority="50">
      <formula>#REF!="DEF"</formula>
    </cfRule>
  </conditionalFormatting>
  <conditionalFormatting sqref="C18">
    <cfRule type="expression" dxfId="17260" priority="51">
      <formula>#REF!="TE"</formula>
    </cfRule>
  </conditionalFormatting>
  <conditionalFormatting sqref="C18">
    <cfRule type="expression" dxfId="17259" priority="52">
      <formula>#REF!="WR"</formula>
    </cfRule>
  </conditionalFormatting>
  <conditionalFormatting sqref="C18">
    <cfRule type="expression" dxfId="17258" priority="53">
      <formula>#REF!="RB"</formula>
    </cfRule>
  </conditionalFormatting>
  <conditionalFormatting sqref="C18">
    <cfRule type="expression" dxfId="17257" priority="54">
      <formula>#REF!="QB"</formula>
    </cfRule>
  </conditionalFormatting>
  <conditionalFormatting sqref="C20">
    <cfRule type="expression" dxfId="17256" priority="55">
      <formula>#REF!="K"</formula>
    </cfRule>
  </conditionalFormatting>
  <conditionalFormatting sqref="C20">
    <cfRule type="expression" dxfId="17255" priority="56">
      <formula>#REF!="DEF"</formula>
    </cfRule>
  </conditionalFormatting>
  <conditionalFormatting sqref="C20">
    <cfRule type="expression" dxfId="17254" priority="57">
      <formula>#REF!="TE"</formula>
    </cfRule>
  </conditionalFormatting>
  <conditionalFormatting sqref="C20">
    <cfRule type="expression" dxfId="17253" priority="58">
      <formula>#REF!="WR"</formula>
    </cfRule>
  </conditionalFormatting>
  <conditionalFormatting sqref="C20">
    <cfRule type="expression" dxfId="17252" priority="59">
      <formula>#REF!="RB"</formula>
    </cfRule>
  </conditionalFormatting>
  <conditionalFormatting sqref="C20">
    <cfRule type="expression" dxfId="17251" priority="60">
      <formula>#REF!="QB"</formula>
    </cfRule>
  </conditionalFormatting>
  <conditionalFormatting sqref="C22">
    <cfRule type="expression" dxfId="17250" priority="61">
      <formula>#REF!="K"</formula>
    </cfRule>
  </conditionalFormatting>
  <conditionalFormatting sqref="C22">
    <cfRule type="expression" dxfId="17249" priority="62">
      <formula>#REF!="DEF"</formula>
    </cfRule>
  </conditionalFormatting>
  <conditionalFormatting sqref="C22">
    <cfRule type="expression" dxfId="17248" priority="63">
      <formula>#REF!="TE"</formula>
    </cfRule>
  </conditionalFormatting>
  <conditionalFormatting sqref="C22">
    <cfRule type="expression" dxfId="17247" priority="64">
      <formula>#REF!="WR"</formula>
    </cfRule>
  </conditionalFormatting>
  <conditionalFormatting sqref="C22">
    <cfRule type="expression" dxfId="17246" priority="65">
      <formula>#REF!="RB"</formula>
    </cfRule>
  </conditionalFormatting>
  <conditionalFormatting sqref="C22">
    <cfRule type="expression" dxfId="17245" priority="66">
      <formula>#REF!="QB"</formula>
    </cfRule>
  </conditionalFormatting>
  <conditionalFormatting sqref="C24">
    <cfRule type="expression" dxfId="17244" priority="67">
      <formula>#REF!="K"</formula>
    </cfRule>
  </conditionalFormatting>
  <conditionalFormatting sqref="C24">
    <cfRule type="expression" dxfId="17243" priority="68">
      <formula>#REF!="DEF"</formula>
    </cfRule>
  </conditionalFormatting>
  <conditionalFormatting sqref="C24">
    <cfRule type="expression" dxfId="17242" priority="69">
      <formula>#REF!="TE"</formula>
    </cfRule>
  </conditionalFormatting>
  <conditionalFormatting sqref="C24">
    <cfRule type="expression" dxfId="17241" priority="70">
      <formula>#REF!="WR"</formula>
    </cfRule>
  </conditionalFormatting>
  <conditionalFormatting sqref="C24">
    <cfRule type="expression" dxfId="17240" priority="71">
      <formula>#REF!="RB"</formula>
    </cfRule>
  </conditionalFormatting>
  <conditionalFormatting sqref="C24">
    <cfRule type="expression" dxfId="17239" priority="72">
      <formula>#REF!="QB"</formula>
    </cfRule>
  </conditionalFormatting>
  <conditionalFormatting sqref="C26">
    <cfRule type="expression" dxfId="17238" priority="73">
      <formula>#REF!="K"</formula>
    </cfRule>
  </conditionalFormatting>
  <conditionalFormatting sqref="C26">
    <cfRule type="expression" dxfId="17237" priority="74">
      <formula>#REF!="DEF"</formula>
    </cfRule>
  </conditionalFormatting>
  <conditionalFormatting sqref="C26">
    <cfRule type="expression" dxfId="17236" priority="75">
      <formula>#REF!="TE"</formula>
    </cfRule>
  </conditionalFormatting>
  <conditionalFormatting sqref="C26">
    <cfRule type="expression" dxfId="17235" priority="76">
      <formula>#REF!="WR"</formula>
    </cfRule>
  </conditionalFormatting>
  <conditionalFormatting sqref="C26">
    <cfRule type="expression" dxfId="17234" priority="77">
      <formula>#REF!="RB"</formula>
    </cfRule>
  </conditionalFormatting>
  <conditionalFormatting sqref="C26">
    <cfRule type="expression" dxfId="17233" priority="78">
      <formula>#REF!="QB"</formula>
    </cfRule>
  </conditionalFormatting>
  <conditionalFormatting sqref="C28">
    <cfRule type="expression" dxfId="17232" priority="79">
      <formula>#REF!="K"</formula>
    </cfRule>
  </conditionalFormatting>
  <conditionalFormatting sqref="C28">
    <cfRule type="expression" dxfId="17231" priority="80">
      <formula>#REF!="DEF"</formula>
    </cfRule>
  </conditionalFormatting>
  <conditionalFormatting sqref="C28">
    <cfRule type="expression" dxfId="17230" priority="81">
      <formula>#REF!="TE"</formula>
    </cfRule>
  </conditionalFormatting>
  <conditionalFormatting sqref="C28">
    <cfRule type="expression" dxfId="17229" priority="82">
      <formula>#REF!="WR"</formula>
    </cfRule>
  </conditionalFormatting>
  <conditionalFormatting sqref="C28">
    <cfRule type="expression" dxfId="17228" priority="83">
      <formula>#REF!="RB"</formula>
    </cfRule>
  </conditionalFormatting>
  <conditionalFormatting sqref="C28">
    <cfRule type="expression" dxfId="17227" priority="84">
      <formula>#REF!="QB"</formula>
    </cfRule>
  </conditionalFormatting>
  <conditionalFormatting sqref="C30">
    <cfRule type="expression" dxfId="17226" priority="85">
      <formula>#REF!="K"</formula>
    </cfRule>
  </conditionalFormatting>
  <conditionalFormatting sqref="C30">
    <cfRule type="expression" dxfId="17225" priority="86">
      <formula>#REF!="DEF"</formula>
    </cfRule>
  </conditionalFormatting>
  <conditionalFormatting sqref="C30">
    <cfRule type="expression" dxfId="17224" priority="87">
      <formula>#REF!="TE"</formula>
    </cfRule>
  </conditionalFormatting>
  <conditionalFormatting sqref="C30">
    <cfRule type="expression" dxfId="17223" priority="88">
      <formula>#REF!="WR"</formula>
    </cfRule>
  </conditionalFormatting>
  <conditionalFormatting sqref="C30">
    <cfRule type="expression" dxfId="17222" priority="89">
      <formula>#REF!="RB"</formula>
    </cfRule>
  </conditionalFormatting>
  <conditionalFormatting sqref="C30">
    <cfRule type="expression" dxfId="17221" priority="90">
      <formula>#REF!="QB"</formula>
    </cfRule>
  </conditionalFormatting>
  <conditionalFormatting sqref="C32">
    <cfRule type="expression" dxfId="17220" priority="91">
      <formula>#REF!="K"</formula>
    </cfRule>
  </conditionalFormatting>
  <conditionalFormatting sqref="C32">
    <cfRule type="expression" dxfId="17219" priority="92">
      <formula>#REF!="DEF"</formula>
    </cfRule>
  </conditionalFormatting>
  <conditionalFormatting sqref="C32">
    <cfRule type="expression" dxfId="17218" priority="93">
      <formula>#REF!="TE"</formula>
    </cfRule>
  </conditionalFormatting>
  <conditionalFormatting sqref="C32">
    <cfRule type="expression" dxfId="17217" priority="94">
      <formula>#REF!="WR"</formula>
    </cfRule>
  </conditionalFormatting>
  <conditionalFormatting sqref="C32">
    <cfRule type="expression" dxfId="17216" priority="95">
      <formula>#REF!="RB"</formula>
    </cfRule>
  </conditionalFormatting>
  <conditionalFormatting sqref="C32">
    <cfRule type="expression" dxfId="17215" priority="96">
      <formula>#REF!="QB"</formula>
    </cfRule>
  </conditionalFormatting>
  <conditionalFormatting sqref="C34">
    <cfRule type="expression" dxfId="17214" priority="97">
      <formula>#REF!="K"</formula>
    </cfRule>
  </conditionalFormatting>
  <conditionalFormatting sqref="C34">
    <cfRule type="expression" dxfId="17213" priority="98">
      <formula>#REF!="DEF"</formula>
    </cfRule>
  </conditionalFormatting>
  <conditionalFormatting sqref="C34">
    <cfRule type="expression" dxfId="17212" priority="99">
      <formula>#REF!="TE"</formula>
    </cfRule>
  </conditionalFormatting>
  <conditionalFormatting sqref="C34">
    <cfRule type="expression" dxfId="17211" priority="100">
      <formula>#REF!="WR"</formula>
    </cfRule>
  </conditionalFormatting>
  <conditionalFormatting sqref="C34">
    <cfRule type="expression" dxfId="17210" priority="101">
      <formula>#REF!="RB"</formula>
    </cfRule>
  </conditionalFormatting>
  <conditionalFormatting sqref="C34">
    <cfRule type="expression" dxfId="17209" priority="102">
      <formula>#REF!="QB"</formula>
    </cfRule>
  </conditionalFormatting>
  <conditionalFormatting sqref="C36">
    <cfRule type="expression" dxfId="17208" priority="103">
      <formula>#REF!="K"</formula>
    </cfRule>
  </conditionalFormatting>
  <conditionalFormatting sqref="C36">
    <cfRule type="expression" dxfId="17207" priority="104">
      <formula>#REF!="DEF"</formula>
    </cfRule>
  </conditionalFormatting>
  <conditionalFormatting sqref="C36">
    <cfRule type="expression" dxfId="17206" priority="105">
      <formula>#REF!="TE"</formula>
    </cfRule>
  </conditionalFormatting>
  <conditionalFormatting sqref="C36">
    <cfRule type="expression" dxfId="17205" priority="106">
      <formula>#REF!="WR"</formula>
    </cfRule>
  </conditionalFormatting>
  <conditionalFormatting sqref="C36">
    <cfRule type="expression" dxfId="17204" priority="107">
      <formula>#REF!="RB"</formula>
    </cfRule>
  </conditionalFormatting>
  <conditionalFormatting sqref="C36">
    <cfRule type="expression" dxfId="17203" priority="108">
      <formula>#REF!="QB"</formula>
    </cfRule>
  </conditionalFormatting>
  <conditionalFormatting sqref="C38">
    <cfRule type="expression" dxfId="17202" priority="109">
      <formula>#REF!="K"</formula>
    </cfRule>
  </conditionalFormatting>
  <conditionalFormatting sqref="C38">
    <cfRule type="expression" dxfId="17201" priority="110">
      <formula>#REF!="DEF"</formula>
    </cfRule>
  </conditionalFormatting>
  <conditionalFormatting sqref="C38">
    <cfRule type="expression" dxfId="17200" priority="111">
      <formula>#REF!="TE"</formula>
    </cfRule>
  </conditionalFormatting>
  <conditionalFormatting sqref="C38">
    <cfRule type="expression" dxfId="17199" priority="112">
      <formula>#REF!="WR"</formula>
    </cfRule>
  </conditionalFormatting>
  <conditionalFormatting sqref="C38">
    <cfRule type="expression" dxfId="17198" priority="113">
      <formula>#REF!="RB"</formula>
    </cfRule>
  </conditionalFormatting>
  <conditionalFormatting sqref="C38">
    <cfRule type="expression" dxfId="17197" priority="114">
      <formula>#REF!="QB"</formula>
    </cfRule>
  </conditionalFormatting>
  <conditionalFormatting sqref="C40">
    <cfRule type="expression" dxfId="17196" priority="115">
      <formula>#REF!="K"</formula>
    </cfRule>
  </conditionalFormatting>
  <conditionalFormatting sqref="C40">
    <cfRule type="expression" dxfId="17195" priority="116">
      <formula>#REF!="DEF"</formula>
    </cfRule>
  </conditionalFormatting>
  <conditionalFormatting sqref="C40">
    <cfRule type="expression" dxfId="17194" priority="117">
      <formula>#REF!="TE"</formula>
    </cfRule>
  </conditionalFormatting>
  <conditionalFormatting sqref="C40">
    <cfRule type="expression" dxfId="17193" priority="118">
      <formula>#REF!="WR"</formula>
    </cfRule>
  </conditionalFormatting>
  <conditionalFormatting sqref="C40">
    <cfRule type="expression" dxfId="17192" priority="119">
      <formula>#REF!="RB"</formula>
    </cfRule>
  </conditionalFormatting>
  <conditionalFormatting sqref="C40">
    <cfRule type="expression" dxfId="17191" priority="120">
      <formula>#REF!="QB"</formula>
    </cfRule>
  </conditionalFormatting>
  <conditionalFormatting sqref="C42">
    <cfRule type="expression" dxfId="17190" priority="121">
      <formula>#REF!="K"</formula>
    </cfRule>
  </conditionalFormatting>
  <conditionalFormatting sqref="C42">
    <cfRule type="expression" dxfId="17189" priority="122">
      <formula>#REF!="DEF"</formula>
    </cfRule>
  </conditionalFormatting>
  <conditionalFormatting sqref="C42">
    <cfRule type="expression" dxfId="17188" priority="123">
      <formula>#REF!="TE"</formula>
    </cfRule>
  </conditionalFormatting>
  <conditionalFormatting sqref="C42">
    <cfRule type="expression" dxfId="17187" priority="124">
      <formula>#REF!="WR"</formula>
    </cfRule>
  </conditionalFormatting>
  <conditionalFormatting sqref="C42">
    <cfRule type="expression" dxfId="17186" priority="125">
      <formula>#REF!="RB"</formula>
    </cfRule>
  </conditionalFormatting>
  <conditionalFormatting sqref="C42">
    <cfRule type="expression" dxfId="17185" priority="126">
      <formula>#REF!="QB"</formula>
    </cfRule>
  </conditionalFormatting>
  <conditionalFormatting sqref="C44">
    <cfRule type="expression" dxfId="17184" priority="127">
      <formula>#REF!="K"</formula>
    </cfRule>
  </conditionalFormatting>
  <conditionalFormatting sqref="C44">
    <cfRule type="expression" dxfId="17183" priority="128">
      <formula>#REF!="DEF"</formula>
    </cfRule>
  </conditionalFormatting>
  <conditionalFormatting sqref="C44">
    <cfRule type="expression" dxfId="17182" priority="129">
      <formula>#REF!="TE"</formula>
    </cfRule>
  </conditionalFormatting>
  <conditionalFormatting sqref="C44">
    <cfRule type="expression" dxfId="17181" priority="130">
      <formula>#REF!="WR"</formula>
    </cfRule>
  </conditionalFormatting>
  <conditionalFormatting sqref="C44">
    <cfRule type="expression" dxfId="17180" priority="131">
      <formula>#REF!="RB"</formula>
    </cfRule>
  </conditionalFormatting>
  <conditionalFormatting sqref="C44">
    <cfRule type="expression" dxfId="17179" priority="132">
      <formula>#REF!="QB"</formula>
    </cfRule>
  </conditionalFormatting>
  <conditionalFormatting sqref="C46">
    <cfRule type="expression" dxfId="17178" priority="133">
      <formula>#REF!="K"</formula>
    </cfRule>
  </conditionalFormatting>
  <conditionalFormatting sqref="C46">
    <cfRule type="expression" dxfId="17177" priority="134">
      <formula>#REF!="DEF"</formula>
    </cfRule>
  </conditionalFormatting>
  <conditionalFormatting sqref="C46">
    <cfRule type="expression" dxfId="17176" priority="135">
      <formula>#REF!="TE"</formula>
    </cfRule>
  </conditionalFormatting>
  <conditionalFormatting sqref="C46">
    <cfRule type="expression" dxfId="17175" priority="136">
      <formula>#REF!="WR"</formula>
    </cfRule>
  </conditionalFormatting>
  <conditionalFormatting sqref="C46">
    <cfRule type="expression" dxfId="17174" priority="137">
      <formula>#REF!="RB"</formula>
    </cfRule>
  </conditionalFormatting>
  <conditionalFormatting sqref="C46">
    <cfRule type="expression" dxfId="17173" priority="138">
      <formula>#REF!="QB"</formula>
    </cfRule>
  </conditionalFormatting>
  <conditionalFormatting sqref="C66">
    <cfRule type="expression" dxfId="17172" priority="139">
      <formula>#REF!="K"</formula>
    </cfRule>
  </conditionalFormatting>
  <conditionalFormatting sqref="C66">
    <cfRule type="expression" dxfId="17171" priority="140">
      <formula>#REF!="DEF"</formula>
    </cfRule>
  </conditionalFormatting>
  <conditionalFormatting sqref="C66">
    <cfRule type="expression" dxfId="17170" priority="141">
      <formula>#REF!="TE"</formula>
    </cfRule>
  </conditionalFormatting>
  <conditionalFormatting sqref="C66">
    <cfRule type="expression" dxfId="17169" priority="142">
      <formula>#REF!="WR"</formula>
    </cfRule>
  </conditionalFormatting>
  <conditionalFormatting sqref="C66">
    <cfRule type="expression" dxfId="17168" priority="143">
      <formula>#REF!="RB"</formula>
    </cfRule>
  </conditionalFormatting>
  <conditionalFormatting sqref="C66">
    <cfRule type="expression" dxfId="17167" priority="144">
      <formula>#REF!="QB"</formula>
    </cfRule>
  </conditionalFormatting>
  <conditionalFormatting sqref="C64">
    <cfRule type="expression" dxfId="17166" priority="145">
      <formula>#REF!="K"</formula>
    </cfRule>
  </conditionalFormatting>
  <conditionalFormatting sqref="C64">
    <cfRule type="expression" dxfId="17165" priority="146">
      <formula>#REF!="DEF"</formula>
    </cfRule>
  </conditionalFormatting>
  <conditionalFormatting sqref="C64">
    <cfRule type="expression" dxfId="17164" priority="147">
      <formula>#REF!="TE"</formula>
    </cfRule>
  </conditionalFormatting>
  <conditionalFormatting sqref="C64">
    <cfRule type="expression" dxfId="17163" priority="148">
      <formula>#REF!="WR"</formula>
    </cfRule>
  </conditionalFormatting>
  <conditionalFormatting sqref="C64">
    <cfRule type="expression" dxfId="17162" priority="149">
      <formula>#REF!="RB"</formula>
    </cfRule>
  </conditionalFormatting>
  <conditionalFormatting sqref="C64">
    <cfRule type="expression" dxfId="17161" priority="150">
      <formula>#REF!="QB"</formula>
    </cfRule>
  </conditionalFormatting>
  <conditionalFormatting sqref="C62">
    <cfRule type="expression" dxfId="17160" priority="151">
      <formula>#REF!="K"</formula>
    </cfRule>
  </conditionalFormatting>
  <conditionalFormatting sqref="C62">
    <cfRule type="expression" dxfId="17159" priority="152">
      <formula>#REF!="DEF"</formula>
    </cfRule>
  </conditionalFormatting>
  <conditionalFormatting sqref="C62">
    <cfRule type="expression" dxfId="17158" priority="153">
      <formula>#REF!="TE"</formula>
    </cfRule>
  </conditionalFormatting>
  <conditionalFormatting sqref="C62">
    <cfRule type="expression" dxfId="17157" priority="154">
      <formula>#REF!="WR"</formula>
    </cfRule>
  </conditionalFormatting>
  <conditionalFormatting sqref="C62">
    <cfRule type="expression" dxfId="17156" priority="155">
      <formula>#REF!="RB"</formula>
    </cfRule>
  </conditionalFormatting>
  <conditionalFormatting sqref="C62">
    <cfRule type="expression" dxfId="17155" priority="156">
      <formula>#REF!="QB"</formula>
    </cfRule>
  </conditionalFormatting>
  <conditionalFormatting sqref="C60">
    <cfRule type="expression" dxfId="17154" priority="157">
      <formula>#REF!="K"</formula>
    </cfRule>
  </conditionalFormatting>
  <conditionalFormatting sqref="C60">
    <cfRule type="expression" dxfId="17153" priority="158">
      <formula>#REF!="DEF"</formula>
    </cfRule>
  </conditionalFormatting>
  <conditionalFormatting sqref="C60">
    <cfRule type="expression" dxfId="17152" priority="159">
      <formula>#REF!="TE"</formula>
    </cfRule>
  </conditionalFormatting>
  <conditionalFormatting sqref="C60">
    <cfRule type="expression" dxfId="17151" priority="160">
      <formula>#REF!="WR"</formula>
    </cfRule>
  </conditionalFormatting>
  <conditionalFormatting sqref="C60">
    <cfRule type="expression" dxfId="17150" priority="161">
      <formula>#REF!="RB"</formula>
    </cfRule>
  </conditionalFormatting>
  <conditionalFormatting sqref="C60">
    <cfRule type="expression" dxfId="17149" priority="162">
      <formula>#REF!="QB"</formula>
    </cfRule>
  </conditionalFormatting>
  <conditionalFormatting sqref="C58">
    <cfRule type="expression" dxfId="17148" priority="163">
      <formula>#REF!="K"</formula>
    </cfRule>
  </conditionalFormatting>
  <conditionalFormatting sqref="C58">
    <cfRule type="expression" dxfId="17147" priority="164">
      <formula>#REF!="DEF"</formula>
    </cfRule>
  </conditionalFormatting>
  <conditionalFormatting sqref="C58">
    <cfRule type="expression" dxfId="17146" priority="165">
      <formula>#REF!="TE"</formula>
    </cfRule>
  </conditionalFormatting>
  <conditionalFormatting sqref="C58">
    <cfRule type="expression" dxfId="17145" priority="166">
      <formula>#REF!="WR"</formula>
    </cfRule>
  </conditionalFormatting>
  <conditionalFormatting sqref="C58">
    <cfRule type="expression" dxfId="17144" priority="167">
      <formula>#REF!="RB"</formula>
    </cfRule>
  </conditionalFormatting>
  <conditionalFormatting sqref="C58">
    <cfRule type="expression" dxfId="17143" priority="168">
      <formula>#REF!="QB"</formula>
    </cfRule>
  </conditionalFormatting>
  <conditionalFormatting sqref="C56">
    <cfRule type="expression" dxfId="17142" priority="169">
      <formula>#REF!="K"</formula>
    </cfRule>
  </conditionalFormatting>
  <conditionalFormatting sqref="C56">
    <cfRule type="expression" dxfId="17141" priority="170">
      <formula>#REF!="DEF"</formula>
    </cfRule>
  </conditionalFormatting>
  <conditionalFormatting sqref="C56">
    <cfRule type="expression" dxfId="17140" priority="171">
      <formula>#REF!="TE"</formula>
    </cfRule>
  </conditionalFormatting>
  <conditionalFormatting sqref="C56">
    <cfRule type="expression" dxfId="17139" priority="172">
      <formula>#REF!="WR"</formula>
    </cfRule>
  </conditionalFormatting>
  <conditionalFormatting sqref="C56">
    <cfRule type="expression" dxfId="17138" priority="173">
      <formula>#REF!="RB"</formula>
    </cfRule>
  </conditionalFormatting>
  <conditionalFormatting sqref="C56">
    <cfRule type="expression" dxfId="17137" priority="174">
      <formula>#REF!="QB"</formula>
    </cfRule>
  </conditionalFormatting>
  <conditionalFormatting sqref="C54">
    <cfRule type="expression" dxfId="17136" priority="175">
      <formula>#REF!="K"</formula>
    </cfRule>
  </conditionalFormatting>
  <conditionalFormatting sqref="C54">
    <cfRule type="expression" dxfId="17135" priority="176">
      <formula>#REF!="DEF"</formula>
    </cfRule>
  </conditionalFormatting>
  <conditionalFormatting sqref="C54">
    <cfRule type="expression" dxfId="17134" priority="177">
      <formula>#REF!="TE"</formula>
    </cfRule>
  </conditionalFormatting>
  <conditionalFormatting sqref="C54">
    <cfRule type="expression" dxfId="17133" priority="178">
      <formula>#REF!="WR"</formula>
    </cfRule>
  </conditionalFormatting>
  <conditionalFormatting sqref="C54">
    <cfRule type="expression" dxfId="17132" priority="179">
      <formula>#REF!="RB"</formula>
    </cfRule>
  </conditionalFormatting>
  <conditionalFormatting sqref="C54">
    <cfRule type="expression" dxfId="17131" priority="180">
      <formula>#REF!="QB"</formula>
    </cfRule>
  </conditionalFormatting>
  <conditionalFormatting sqref="C52">
    <cfRule type="expression" dxfId="17130" priority="181">
      <formula>#REF!="K"</formula>
    </cfRule>
  </conditionalFormatting>
  <conditionalFormatting sqref="C52">
    <cfRule type="expression" dxfId="17129" priority="182">
      <formula>#REF!="DEF"</formula>
    </cfRule>
  </conditionalFormatting>
  <conditionalFormatting sqref="C52">
    <cfRule type="expression" dxfId="17128" priority="183">
      <formula>#REF!="TE"</formula>
    </cfRule>
  </conditionalFormatting>
  <conditionalFormatting sqref="C52">
    <cfRule type="expression" dxfId="17127" priority="184">
      <formula>#REF!="WR"</formula>
    </cfRule>
  </conditionalFormatting>
  <conditionalFormatting sqref="C52">
    <cfRule type="expression" dxfId="17126" priority="185">
      <formula>#REF!="RB"</formula>
    </cfRule>
  </conditionalFormatting>
  <conditionalFormatting sqref="C52">
    <cfRule type="expression" dxfId="17125" priority="186">
      <formula>#REF!="QB"</formula>
    </cfRule>
  </conditionalFormatting>
  <conditionalFormatting sqref="C50">
    <cfRule type="expression" dxfId="17124" priority="187">
      <formula>#REF!="K"</formula>
    </cfRule>
  </conditionalFormatting>
  <conditionalFormatting sqref="C50">
    <cfRule type="expression" dxfId="17123" priority="188">
      <formula>#REF!="DEF"</formula>
    </cfRule>
  </conditionalFormatting>
  <conditionalFormatting sqref="C50">
    <cfRule type="expression" dxfId="17122" priority="189">
      <formula>#REF!="TE"</formula>
    </cfRule>
  </conditionalFormatting>
  <conditionalFormatting sqref="C50">
    <cfRule type="expression" dxfId="17121" priority="190">
      <formula>#REF!="WR"</formula>
    </cfRule>
  </conditionalFormatting>
  <conditionalFormatting sqref="C50">
    <cfRule type="expression" dxfId="17120" priority="191">
      <formula>#REF!="RB"</formula>
    </cfRule>
  </conditionalFormatting>
  <conditionalFormatting sqref="C50">
    <cfRule type="expression" dxfId="17119" priority="192">
      <formula>#REF!="QB"</formula>
    </cfRule>
  </conditionalFormatting>
  <conditionalFormatting sqref="C48">
    <cfRule type="expression" dxfId="17118" priority="193">
      <formula>#REF!="K"</formula>
    </cfRule>
  </conditionalFormatting>
  <conditionalFormatting sqref="C48">
    <cfRule type="expression" dxfId="17117" priority="194">
      <formula>#REF!="DEF"</formula>
    </cfRule>
  </conditionalFormatting>
  <conditionalFormatting sqref="C48">
    <cfRule type="expression" dxfId="17116" priority="195">
      <formula>#REF!="TE"</formula>
    </cfRule>
  </conditionalFormatting>
  <conditionalFormatting sqref="C48">
    <cfRule type="expression" dxfId="17115" priority="196">
      <formula>#REF!="WR"</formula>
    </cfRule>
  </conditionalFormatting>
  <conditionalFormatting sqref="C48">
    <cfRule type="expression" dxfId="17114" priority="197">
      <formula>#REF!="RB"</formula>
    </cfRule>
  </conditionalFormatting>
  <conditionalFormatting sqref="C48">
    <cfRule type="expression" dxfId="17113" priority="198">
      <formula>#REF!="QB"</formula>
    </cfRule>
  </conditionalFormatting>
  <pageMargins left="0.7" right="0.7" top="0.78740157499999996" bottom="0.78740157499999996"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D1000"/>
  <sheetViews>
    <sheetView workbookViewId="0"/>
  </sheetViews>
  <sheetFormatPr baseColWidth="10" defaultColWidth="14.44140625" defaultRowHeight="15" customHeight="1"/>
  <cols>
    <col min="1" max="1" width="24.109375" customWidth="1"/>
    <col min="2" max="134" width="10.6640625" customWidth="1"/>
  </cols>
  <sheetData>
    <row r="1" spans="1:134" ht="14.4">
      <c r="A1" s="62" t="s">
        <v>419</v>
      </c>
      <c r="B1" s="62" t="s">
        <v>420</v>
      </c>
      <c r="C1" s="62" t="s">
        <v>421</v>
      </c>
      <c r="D1" s="62" t="s">
        <v>422</v>
      </c>
      <c r="G1" s="62" t="s">
        <v>423</v>
      </c>
      <c r="K1" s="63"/>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row>
    <row r="2" spans="1:134" ht="14.4">
      <c r="A2" s="65" t="s">
        <v>59</v>
      </c>
      <c r="B2" s="65" t="s">
        <v>410</v>
      </c>
      <c r="C2" s="65" t="s">
        <v>424</v>
      </c>
      <c r="D2" s="65" t="str">
        <f t="shared" ref="D2:D256" si="0">IF(LEFT(C2,3)="DST","DEF",IF(LEFT(C2,1)="K","K",LEFT(C2,2)))</f>
        <v>WR</v>
      </c>
      <c r="F2" s="66">
        <v>1</v>
      </c>
      <c r="G2" s="1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H2" s="66" t="str">
        <f ca="1">IFERROR(__xludf.DUMMYFUNCTION("""COMPUTED_VALUE"""),"Bijan Robinson")</f>
        <v>Bijan Robinson</v>
      </c>
      <c r="I2" s="66" t="str">
        <f ca="1">IFERROR(__xludf.DUMMYFUNCTION("""COMPUTED_VALUE"""),"Jahmyr Gibbs")</f>
        <v>Jahmyr Gibbs</v>
      </c>
      <c r="J2" s="66" t="str">
        <f ca="1">IFERROR(__xludf.DUMMYFUNCTION("""COMPUTED_VALUE"""),"CeeDee Lamb")</f>
        <v>CeeDee Lamb</v>
      </c>
      <c r="K2" s="66" t="str">
        <f ca="1">IFERROR(__xludf.DUMMYFUNCTION("""COMPUTED_VALUE"""),"Saquon Barkley")</f>
        <v>Saquon Barkley</v>
      </c>
      <c r="L2" s="66" t="str">
        <f ca="1">IFERROR(__xludf.DUMMYFUNCTION("""COMPUTED_VALUE"""),"Justin Jefferson")</f>
        <v>Justin Jefferson</v>
      </c>
      <c r="M2" s="66" t="str">
        <f ca="1">IFERROR(__xludf.DUMMYFUNCTION("""COMPUTED_VALUE"""),"De'Von Achane")</f>
        <v>De'Von Achane</v>
      </c>
      <c r="N2" s="66" t="str">
        <f ca="1">IFERROR(__xludf.DUMMYFUNCTION("""COMPUTED_VALUE"""),"Puka Nacua")</f>
        <v>Puka Nacua</v>
      </c>
      <c r="O2" s="66" t="str">
        <f ca="1">IFERROR(__xludf.DUMMYFUNCTION("""COMPUTED_VALUE"""),"Malik Nabers")</f>
        <v>Malik Nabers</v>
      </c>
      <c r="P2" s="66" t="str">
        <f ca="1">IFERROR(__xludf.DUMMYFUNCTION("""COMPUTED_VALUE"""),"Nico Collins")</f>
        <v>Nico Collins</v>
      </c>
      <c r="Q2" s="66" t="str">
        <f ca="1">IFERROR(__xludf.DUMMYFUNCTION("""COMPUTED_VALUE"""),"Christian McCaffrey")</f>
        <v>Christian McCaffrey</v>
      </c>
      <c r="R2" s="66" t="str">
        <f ca="1">IFERROR(__xludf.DUMMYFUNCTION("""COMPUTED_VALUE"""),"Amon-Ra St. Brown")</f>
        <v>Amon-Ra St. Brown</v>
      </c>
      <c r="S2" s="66" t="str">
        <f ca="1">IFERROR(__xludf.DUMMYFUNCTION("""COMPUTED_VALUE"""),"Ashton Jeanty")</f>
        <v>Ashton Jeanty</v>
      </c>
      <c r="T2" s="66" t="str">
        <f ca="1">IFERROR(__xludf.DUMMYFUNCTION("""COMPUTED_VALUE"""),"Garrett Wilson")</f>
        <v>Garrett Wilson</v>
      </c>
      <c r="U2" s="66" t="str">
        <f ca="1">IFERROR(__xludf.DUMMYFUNCTION("""COMPUTED_VALUE"""),"Tyreek Hill")</f>
        <v>Tyreek Hill</v>
      </c>
      <c r="V2" s="66" t="str">
        <f ca="1">IFERROR(__xludf.DUMMYFUNCTION("""COMPUTED_VALUE"""),"Derrick Henry")</f>
        <v>Derrick Henry</v>
      </c>
      <c r="W2" s="66" t="str">
        <f ca="1">IFERROR(__xludf.DUMMYFUNCTION("""COMPUTED_VALUE"""),"Ladd McConkey")</f>
        <v>Ladd McConkey</v>
      </c>
      <c r="X2" s="66" t="str">
        <f ca="1">IFERROR(__xludf.DUMMYFUNCTION("""COMPUTED_VALUE"""),"Josh Jacobs")</f>
        <v>Josh Jacobs</v>
      </c>
      <c r="Y2" s="66" t="str">
        <f ca="1">IFERROR(__xludf.DUMMYFUNCTION("""COMPUTED_VALUE"""),"Drake London")</f>
        <v>Drake London</v>
      </c>
      <c r="Z2" s="64" t="str">
        <f ca="1">IFERROR(__xludf.DUMMYFUNCTION("""COMPUTED_VALUE"""),"Chase Brown")</f>
        <v>Chase Brown</v>
      </c>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row>
    <row r="3" spans="1:134" ht="14.4">
      <c r="A3" s="65" t="s">
        <v>425</v>
      </c>
      <c r="B3" s="65" t="s">
        <v>410</v>
      </c>
      <c r="C3" s="65" t="s">
        <v>426</v>
      </c>
      <c r="D3" s="65" t="str">
        <f t="shared" si="0"/>
        <v>RB</v>
      </c>
      <c r="F3" s="66">
        <v>2</v>
      </c>
      <c r="G3" s="66"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H3" s="66" t="str">
        <f ca="1">IFERROR(__xludf.DUMMYFUNCTION("""COMPUTED_VALUE"""),"Mike Evans")</f>
        <v>Mike Evans</v>
      </c>
      <c r="I3" s="66" t="str">
        <f ca="1">IFERROR(__xludf.DUMMYFUNCTION("""COMPUTED_VALUE"""),"James Conner")</f>
        <v>James Conner</v>
      </c>
      <c r="J3" s="66" t="str">
        <f ca="1">IFERROR(__xludf.DUMMYFUNCTION("""COMPUTED_VALUE"""),"Chuba Hubbard")</f>
        <v>Chuba Hubbard</v>
      </c>
      <c r="K3" s="66" t="str">
        <f ca="1">IFERROR(__xludf.DUMMYFUNCTION("""COMPUTED_VALUE"""),"Josh Allen")</f>
        <v>Josh Allen</v>
      </c>
      <c r="L3" s="66" t="str">
        <f ca="1">IFERROR(__xludf.DUMMYFUNCTION("""COMPUTED_VALUE"""),"TreVeyon Henderson")</f>
        <v>TreVeyon Henderson</v>
      </c>
      <c r="M3" s="66" t="str">
        <f ca="1">IFERROR(__xludf.DUMMYFUNCTION("""COMPUTED_VALUE"""),"Lamar Jackson")</f>
        <v>Lamar Jackson</v>
      </c>
      <c r="N3" s="66" t="str">
        <f ca="1">IFERROR(__xludf.DUMMYFUNCTION("""COMPUTED_VALUE"""),"James Cook")</f>
        <v>James Cook</v>
      </c>
      <c r="O3" s="66" t="str">
        <f ca="1">IFERROR(__xludf.DUMMYFUNCTION("""COMPUTED_VALUE"""),"Omarion Hampton")</f>
        <v>Omarion Hampton</v>
      </c>
      <c r="P3" s="66" t="str">
        <f ca="1">IFERROR(__xludf.DUMMYFUNCTION("""COMPUTED_VALUE"""),"Tee Higgins")</f>
        <v>Tee Higgins</v>
      </c>
      <c r="Q3" s="66" t="str">
        <f ca="1">IFERROR(__xludf.DUMMYFUNCTION("""COMPUTED_VALUE"""),"Jaxon Smith-Njigba")</f>
        <v>Jaxon Smith-Njigba</v>
      </c>
      <c r="R3" s="66" t="str">
        <f ca="1">IFERROR(__xludf.DUMMYFUNCTION("""COMPUTED_VALUE"""),"Kenneth Walker III")</f>
        <v>Kenneth Walker III</v>
      </c>
      <c r="S3" s="66" t="str">
        <f ca="1">IFERROR(__xludf.DUMMYFUNCTION("""COMPUTED_VALUE"""),"Alvin Kamara")</f>
        <v>Alvin Kamara</v>
      </c>
      <c r="T3" s="66" t="str">
        <f ca="1">IFERROR(__xludf.DUMMYFUNCTION("""COMPUTED_VALUE"""),"Breece Hall")</f>
        <v>Breece Hall</v>
      </c>
      <c r="U3" s="66" t="str">
        <f ca="1">IFERROR(__xludf.DUMMYFUNCTION("""COMPUTED_VALUE"""),"Bucky Irving")</f>
        <v>Bucky Irving</v>
      </c>
      <c r="V3" s="66" t="str">
        <f ca="1">IFERROR(__xludf.DUMMYFUNCTION("""COMPUTED_VALUE"""),"A.J. Brown")</f>
        <v>A.J. Brown</v>
      </c>
      <c r="W3" s="66" t="str">
        <f ca="1">IFERROR(__xludf.DUMMYFUNCTION("""COMPUTED_VALUE"""),"Jonathan Taylor")</f>
        <v>Jonathan Taylor</v>
      </c>
      <c r="X3" s="66" t="str">
        <f ca="1">IFERROR(__xludf.DUMMYFUNCTION("""COMPUTED_VALUE"""),"Kyren Williams")</f>
        <v>Kyren Williams</v>
      </c>
      <c r="Y3" s="66" t="str">
        <f ca="1">IFERROR(__xludf.DUMMYFUNCTION("""COMPUTED_VALUE"""),"Brock Bowers")</f>
        <v>Brock Bowers</v>
      </c>
      <c r="Z3" s="64" t="str">
        <f ca="1">IFERROR(__xludf.DUMMYFUNCTION("""COMPUTED_VALUE"""),"Brian Thomas Jr.")</f>
        <v>Brian Thomas Jr.</v>
      </c>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row>
    <row r="4" spans="1:134" ht="14.4">
      <c r="A4" s="65" t="s">
        <v>80</v>
      </c>
      <c r="B4" s="65" t="s">
        <v>405</v>
      </c>
      <c r="C4" s="65" t="s">
        <v>427</v>
      </c>
      <c r="D4" s="65" t="str">
        <f t="shared" si="0"/>
        <v>RB</v>
      </c>
      <c r="F4" s="66">
        <v>3</v>
      </c>
      <c r="G4" s="66"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H4" s="66" t="str">
        <f ca="1">IFERROR(__xludf.DUMMYFUNCTION("""COMPUTED_VALUE"""),"RJ Harvey")</f>
        <v>RJ Harvey</v>
      </c>
      <c r="I4" s="66" t="str">
        <f ca="1">IFERROR(__xludf.DUMMYFUNCTION("""COMPUTED_VALUE"""),"Terry McLaurin")</f>
        <v>Terry McLaurin</v>
      </c>
      <c r="J4" s="66" t="str">
        <f ca="1">IFERROR(__xludf.DUMMYFUNCTION("""COMPUTED_VALUE"""),"Jayden Daniels")</f>
        <v>Jayden Daniels</v>
      </c>
      <c r="K4" s="66" t="str">
        <f ca="1">IFERROR(__xludf.DUMMYFUNCTION("""COMPUTED_VALUE"""),"Marvin Harrison Jr.")</f>
        <v>Marvin Harrison Jr.</v>
      </c>
      <c r="L4" s="66" t="str">
        <f ca="1">IFERROR(__xludf.DUMMYFUNCTION("""COMPUTED_VALUE"""),"DJ Moore")</f>
        <v>DJ Moore</v>
      </c>
      <c r="M4" s="66" t="str">
        <f ca="1">IFERROR(__xludf.DUMMYFUNCTION("""COMPUTED_VALUE"""),"Trey McBride")</f>
        <v>Trey McBride</v>
      </c>
      <c r="N4" s="66" t="str">
        <f ca="1">IFERROR(__xludf.DUMMYFUNCTION("""COMPUTED_VALUE"""),"Jalen Hurts")</f>
        <v>Jalen Hurts</v>
      </c>
      <c r="O4" s="66" t="str">
        <f ca="1">IFERROR(__xludf.DUMMYFUNCTION("""COMPUTED_VALUE"""),"Calvin Ridley")</f>
        <v>Calvin Ridley</v>
      </c>
      <c r="P4" s="66" t="str">
        <f ca="1">IFERROR(__xludf.DUMMYFUNCTION("""COMPUTED_VALUE"""),"George Kittle")</f>
        <v>George Kittle</v>
      </c>
      <c r="Q4" s="66" t="str">
        <f ca="1">IFERROR(__xludf.DUMMYFUNCTION("""COMPUTED_VALUE"""),"D'Andre Swift")</f>
        <v>D'Andre Swift</v>
      </c>
      <c r="R4" s="66" t="str">
        <f ca="1">IFERROR(__xludf.DUMMYFUNCTION("""COMPUTED_VALUE"""),"Tony Pollard")</f>
        <v>Tony Pollard</v>
      </c>
      <c r="S4" s="66" t="str">
        <f ca="1">IFERROR(__xludf.DUMMYFUNCTION("""COMPUTED_VALUE"""),"DK Metcalf")</f>
        <v>DK Metcalf</v>
      </c>
      <c r="T4" s="66" t="str">
        <f ca="1">IFERROR(__xludf.DUMMYFUNCTION("""COMPUTED_VALUE"""),"Rhamondre Stevenson")</f>
        <v>Rhamondre Stevenson</v>
      </c>
      <c r="U4" s="66" t="str">
        <f ca="1">IFERROR(__xludf.DUMMYFUNCTION("""COMPUTED_VALUE"""),"DeVonta Smith")</f>
        <v>DeVonta Smith</v>
      </c>
      <c r="V4" s="66" t="str">
        <f ca="1">IFERROR(__xludf.DUMMYFUNCTION("""COMPUTED_VALUE"""),"Aaron Jones Sr.")</f>
        <v>Aaron Jones Sr.</v>
      </c>
      <c r="W4" s="66" t="str">
        <f ca="1">IFERROR(__xludf.DUMMYFUNCTION("""COMPUTED_VALUE"""),"Courtland Sutton")</f>
        <v>Courtland Sutton</v>
      </c>
      <c r="X4" s="66" t="str">
        <f ca="1">IFERROR(__xludf.DUMMYFUNCTION("""COMPUTED_VALUE"""),"Jerry Jeudy")</f>
        <v>Jerry Jeudy</v>
      </c>
      <c r="Y4" s="66" t="str">
        <f ca="1">IFERROR(__xludf.DUMMYFUNCTION("""COMPUTED_VALUE"""),"Isiah Pacheco")</f>
        <v>Isiah Pacheco</v>
      </c>
      <c r="Z4" s="64" t="str">
        <f ca="1">IFERROR(__xludf.DUMMYFUNCTION("""COMPUTED_VALUE"""),"Joe Burrow")</f>
        <v>Joe Burrow</v>
      </c>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row>
    <row r="5" spans="1:134" ht="14.4">
      <c r="A5" s="65" t="s">
        <v>228</v>
      </c>
      <c r="B5" s="65" t="s">
        <v>411</v>
      </c>
      <c r="C5" s="65" t="s">
        <v>428</v>
      </c>
      <c r="D5" s="65" t="str">
        <f t="shared" si="0"/>
        <v>QB</v>
      </c>
      <c r="F5" s="66">
        <v>4</v>
      </c>
      <c r="G5" s="1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H5" s="66" t="str">
        <f ca="1">IFERROR(__xludf.DUMMYFUNCTION("""COMPUTED_VALUE"""),"Rome Odunze")</f>
        <v>Rome Odunze</v>
      </c>
      <c r="I5" s="66" t="str">
        <f ca="1">IFERROR(__xludf.DUMMYFUNCTION("""COMPUTED_VALUE"""),"Jakobi Meyers")</f>
        <v>Jakobi Meyers</v>
      </c>
      <c r="J5" s="66" t="str">
        <f ca="1">IFERROR(__xludf.DUMMYFUNCTION("""COMPUTED_VALUE"""),"Tucker Kraft")</f>
        <v>Tucker Kraft</v>
      </c>
      <c r="K5" s="66" t="str">
        <f ca="1">IFERROR(__xludf.DUMMYFUNCTION("""COMPUTED_VALUE"""),"George Pickens")</f>
        <v>George Pickens</v>
      </c>
      <c r="L5" s="66" t="str">
        <f ca="1">IFERROR(__xludf.DUMMYFUNCTION("""COMPUTED_VALUE"""),"Travis Etienne Jr.")</f>
        <v>Travis Etienne Jr.</v>
      </c>
      <c r="M5" s="66" t="str">
        <f ca="1">IFERROR(__xludf.DUMMYFUNCTION("""COMPUTED_VALUE"""),"Xavier Worthy")</f>
        <v>Xavier Worthy</v>
      </c>
      <c r="N5" s="66" t="str">
        <f ca="1">IFERROR(__xludf.DUMMYFUNCTION("""COMPUTED_VALUE"""),"Jaylen Warren")</f>
        <v>Jaylen Warren</v>
      </c>
      <c r="O5" s="66" t="str">
        <f ca="1">IFERROR(__xludf.DUMMYFUNCTION("""COMPUTED_VALUE"""),"Javonte Williams")</f>
        <v>Javonte Williams</v>
      </c>
      <c r="P5" s="66" t="str">
        <f ca="1">IFERROR(__xludf.DUMMYFUNCTION("""COMPUTED_VALUE"""),"Travis Hunter")</f>
        <v>Travis Hunter</v>
      </c>
      <c r="Q5" s="66" t="str">
        <f ca="1">IFERROR(__xludf.DUMMYFUNCTION("""COMPUTED_VALUE"""),"T.J. Hockenson")</f>
        <v>T.J. Hockenson</v>
      </c>
      <c r="R5" s="66" t="str">
        <f ca="1">IFERROR(__xludf.DUMMYFUNCTION("""COMPUTED_VALUE"""),"Chris Olave")</f>
        <v>Chris Olave</v>
      </c>
      <c r="S5" s="66" t="str">
        <f ca="1">IFERROR(__xludf.DUMMYFUNCTION("""COMPUTED_VALUE"""),"Jaylen Waddle")</f>
        <v>Jaylen Waddle</v>
      </c>
      <c r="T5" s="66" t="str">
        <f ca="1">IFERROR(__xludf.DUMMYFUNCTION("""COMPUTED_VALUE"""),"Mark Andrews")</f>
        <v>Mark Andrews</v>
      </c>
      <c r="U5" s="66" t="str">
        <f ca="1">IFERROR(__xludf.DUMMYFUNCTION("""COMPUTED_VALUE"""),"Tyrone Tracy Jr.")</f>
        <v>Tyrone Tracy Jr.</v>
      </c>
      <c r="V5" s="66" t="str">
        <f ca="1">IFERROR(__xludf.DUMMYFUNCTION("""COMPUTED_VALUE"""),"Travis Kelce")</f>
        <v>Travis Kelce</v>
      </c>
      <c r="W5" s="66" t="str">
        <f ca="1">IFERROR(__xludf.DUMMYFUNCTION("""COMPUTED_VALUE"""),"Zay Flowers")</f>
        <v>Zay Flowers</v>
      </c>
      <c r="X5" s="66" t="str">
        <f ca="1">IFERROR(__xludf.DUMMYFUNCTION("""COMPUTED_VALUE"""),"Sam LaPorta")</f>
        <v>Sam LaPorta</v>
      </c>
      <c r="Y5" s="66" t="str">
        <f ca="1">IFERROR(__xludf.DUMMYFUNCTION("""COMPUTED_VALUE"""),"Tetairoa McMillan")</f>
        <v>Tetairoa McMillan</v>
      </c>
      <c r="Z5" s="64" t="str">
        <f ca="1">IFERROR(__xludf.DUMMYFUNCTION("""COMPUTED_VALUE"""),"Kaleb Johnson")</f>
        <v>Kaleb Johnson</v>
      </c>
      <c r="AA5" s="64"/>
      <c r="AB5" s="64"/>
      <c r="AC5" s="64"/>
      <c r="AD5" s="64"/>
      <c r="AE5" s="64"/>
      <c r="AF5" s="64"/>
      <c r="AG5" s="64"/>
      <c r="AH5" s="64"/>
      <c r="AI5" s="64"/>
      <c r="AJ5" s="64"/>
      <c r="AK5" s="64"/>
      <c r="AL5" s="64"/>
      <c r="AM5" s="64"/>
      <c r="AN5" s="64"/>
      <c r="AO5" s="64"/>
      <c r="AP5" s="64"/>
      <c r="AQ5" s="64"/>
      <c r="AR5" s="64"/>
      <c r="AS5" s="64"/>
      <c r="AT5" s="64"/>
      <c r="AU5" s="64"/>
      <c r="AV5" s="64"/>
      <c r="AW5" s="64"/>
      <c r="AX5" s="64"/>
      <c r="AY5" s="64"/>
      <c r="AZ5" s="64"/>
      <c r="BA5" s="64"/>
      <c r="BB5" s="64"/>
      <c r="BC5" s="64"/>
      <c r="BD5" s="64"/>
      <c r="BE5" s="64"/>
      <c r="BF5" s="64"/>
      <c r="BG5" s="64"/>
      <c r="BH5" s="64"/>
      <c r="BI5" s="64"/>
      <c r="BJ5" s="64"/>
      <c r="BK5" s="64"/>
      <c r="BL5" s="64"/>
      <c r="BM5" s="64"/>
      <c r="BN5" s="64"/>
      <c r="BO5" s="64"/>
      <c r="BP5" s="64"/>
      <c r="BQ5" s="64"/>
      <c r="BR5" s="64"/>
      <c r="BS5" s="64"/>
      <c r="BT5" s="64"/>
      <c r="BU5" s="64"/>
      <c r="BV5" s="64"/>
      <c r="BW5" s="64"/>
      <c r="BX5" s="64"/>
      <c r="BY5" s="64"/>
      <c r="BZ5" s="64"/>
      <c r="CA5" s="64"/>
      <c r="CB5" s="64"/>
      <c r="CC5" s="64"/>
      <c r="CD5" s="64"/>
      <c r="CE5" s="64"/>
      <c r="CF5" s="64"/>
      <c r="CG5" s="64"/>
      <c r="CH5" s="64"/>
      <c r="CI5" s="64"/>
      <c r="CJ5" s="64"/>
      <c r="CK5" s="64"/>
      <c r="CL5" s="64"/>
      <c r="CM5" s="64"/>
      <c r="CN5" s="64"/>
      <c r="CO5" s="64"/>
      <c r="CP5" s="64"/>
      <c r="CQ5" s="64"/>
      <c r="CR5" s="64"/>
      <c r="CS5" s="64"/>
      <c r="CT5" s="64"/>
      <c r="CU5" s="64"/>
      <c r="CV5" s="64"/>
      <c r="CW5" s="64"/>
      <c r="CX5" s="64"/>
      <c r="CY5" s="64"/>
      <c r="CZ5" s="64"/>
      <c r="DA5" s="64"/>
      <c r="DB5" s="64"/>
      <c r="DC5" s="64"/>
      <c r="DD5" s="64"/>
      <c r="DE5" s="64"/>
      <c r="DF5" s="64"/>
      <c r="DG5" s="64"/>
      <c r="DH5" s="64"/>
      <c r="DI5" s="64"/>
      <c r="DJ5" s="64"/>
      <c r="DK5" s="64"/>
      <c r="DL5" s="64"/>
      <c r="DM5" s="64"/>
      <c r="DN5" s="64"/>
      <c r="DO5" s="64"/>
      <c r="DP5" s="64"/>
      <c r="DQ5" s="64"/>
      <c r="DR5" s="64"/>
      <c r="DS5" s="64"/>
      <c r="DT5" s="64"/>
      <c r="DU5" s="64"/>
      <c r="DV5" s="64"/>
      <c r="DW5" s="64"/>
      <c r="DX5" s="64"/>
      <c r="DY5" s="64"/>
      <c r="DZ5" s="64"/>
      <c r="EA5" s="64"/>
      <c r="EB5" s="64"/>
      <c r="EC5" s="64"/>
      <c r="ED5" s="64"/>
    </row>
    <row r="6" spans="1:134" ht="14.4">
      <c r="A6" s="65" t="s">
        <v>210</v>
      </c>
      <c r="B6" s="65" t="s">
        <v>389</v>
      </c>
      <c r="C6" s="65" t="s">
        <v>429</v>
      </c>
      <c r="D6" s="65" t="str">
        <f t="shared" si="0"/>
        <v>WR</v>
      </c>
      <c r="F6" s="66">
        <v>5</v>
      </c>
      <c r="G6" s="66"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H6" s="66" t="str">
        <f ca="1">IFERROR(__xludf.DUMMYFUNCTION("""COMPUTED_VALUE"""),"Dak Prescott")</f>
        <v>Dak Prescott</v>
      </c>
      <c r="I6" s="66" t="str">
        <f ca="1">IFERROR(__xludf.DUMMYFUNCTION("""COMPUTED_VALUE"""),"Zach Charbonnet")</f>
        <v>Zach Charbonnet</v>
      </c>
      <c r="J6" s="66" t="str">
        <f ca="1">IFERROR(__xludf.DUMMYFUNCTION("""COMPUTED_VALUE"""),"Joe Mixon")</f>
        <v>Joe Mixon</v>
      </c>
      <c r="K6" s="66" t="str">
        <f ca="1">IFERROR(__xludf.DUMMYFUNCTION("""COMPUTED_VALUE"""),"J.K. Dobbins")</f>
        <v>J.K. Dobbins</v>
      </c>
      <c r="L6" s="66" t="str">
        <f ca="1">IFERROR(__xludf.DUMMYFUNCTION("""COMPUTED_VALUE"""),"Patrick Mahomes II")</f>
        <v>Patrick Mahomes II</v>
      </c>
      <c r="M6" s="66" t="str">
        <f ca="1">IFERROR(__xludf.DUMMYFUNCTION("""COMPUTED_VALUE"""),"Ricky Pearsall")</f>
        <v>Ricky Pearsall</v>
      </c>
      <c r="N6" s="66" t="str">
        <f ca="1">IFERROR(__xludf.DUMMYFUNCTION("""COMPUTED_VALUE"""),"Jameson Williams")</f>
        <v>Jameson Williams</v>
      </c>
      <c r="O6" s="66" t="str">
        <f ca="1">IFERROR(__xludf.DUMMYFUNCTION("""COMPUTED_VALUE"""),"Tyler Warren")</f>
        <v>Tyler Warren</v>
      </c>
      <c r="P6" s="66" t="str">
        <f ca="1">IFERROR(__xludf.DUMMYFUNCTION("""COMPUTED_VALUE"""),"Jordan Mason")</f>
        <v>Jordan Mason</v>
      </c>
      <c r="Q6" s="66" t="str">
        <f ca="1">IFERROR(__xludf.DUMMYFUNCTION("""COMPUTED_VALUE"""),"Baker Mayfield")</f>
        <v>Baker Mayfield</v>
      </c>
      <c r="R6" s="66" t="str">
        <f ca="1">IFERROR(__xludf.DUMMYFUNCTION("""COMPUTED_VALUE"""),"Deebo Samuel Sr.")</f>
        <v>Deebo Samuel Sr.</v>
      </c>
      <c r="S6" s="66" t="str">
        <f ca="1">IFERROR(__xludf.DUMMYFUNCTION("""COMPUTED_VALUE"""),"Bo Nix")</f>
        <v>Bo Nix</v>
      </c>
      <c r="T6" s="66" t="str">
        <f ca="1">IFERROR(__xludf.DUMMYFUNCTION("""COMPUTED_VALUE"""),"Chris Godwin")</f>
        <v>Chris Godwin</v>
      </c>
      <c r="U6" s="66" t="str">
        <f ca="1">IFERROR(__xludf.DUMMYFUNCTION("""COMPUTED_VALUE"""),"Emeka Egbuka")</f>
        <v>Emeka Egbuka</v>
      </c>
      <c r="V6" s="66" t="str">
        <f ca="1">IFERROR(__xludf.DUMMYFUNCTION("""COMPUTED_VALUE"""),"Rashee Rice")</f>
        <v>Rashee Rice</v>
      </c>
      <c r="W6" s="66" t="str">
        <f ca="1">IFERROR(__xludf.DUMMYFUNCTION("""COMPUTED_VALUE"""),"Quinshon Judkins")</f>
        <v>Quinshon Judkins</v>
      </c>
      <c r="X6" s="66" t="str">
        <f ca="1">IFERROR(__xludf.DUMMYFUNCTION("""COMPUTED_VALUE"""),"Matthew Golden")</f>
        <v>Matthew Golden</v>
      </c>
      <c r="Y6" s="66" t="str">
        <f ca="1">IFERROR(__xludf.DUMMYFUNCTION("""COMPUTED_VALUE"""),"Austin Ekeler")</f>
        <v>Austin Ekeler</v>
      </c>
      <c r="Z6" s="64" t="str">
        <f ca="1">IFERROR(__xludf.DUMMYFUNCTION("""COMPUTED_VALUE"""),"Stefon Diggs")</f>
        <v>Stefon Diggs</v>
      </c>
      <c r="AA6" s="64"/>
      <c r="AB6" s="64"/>
      <c r="AC6" s="64"/>
      <c r="AD6" s="64"/>
      <c r="AE6" s="64"/>
      <c r="AF6" s="64"/>
      <c r="AG6" s="64"/>
      <c r="AH6" s="64"/>
      <c r="AI6" s="64"/>
      <c r="AJ6" s="64"/>
      <c r="AK6" s="64"/>
      <c r="AL6" s="64"/>
      <c r="AM6" s="64"/>
      <c r="AN6" s="64"/>
      <c r="AO6" s="64"/>
      <c r="AP6" s="64"/>
      <c r="AQ6" s="64"/>
      <c r="AR6" s="64"/>
      <c r="AS6" s="64"/>
      <c r="AT6" s="64"/>
      <c r="AU6" s="64"/>
      <c r="AV6" s="64"/>
      <c r="AW6" s="64"/>
      <c r="AX6" s="64"/>
      <c r="AY6" s="64"/>
      <c r="AZ6" s="64"/>
      <c r="BA6" s="64"/>
      <c r="BB6" s="64"/>
      <c r="BC6" s="64"/>
      <c r="BD6" s="64"/>
      <c r="BE6" s="64"/>
      <c r="BF6" s="64"/>
      <c r="BG6" s="64"/>
      <c r="BH6" s="64"/>
      <c r="BI6" s="64"/>
      <c r="BJ6" s="64"/>
      <c r="BK6" s="64"/>
      <c r="BL6" s="64"/>
      <c r="BM6" s="64"/>
      <c r="BN6" s="64"/>
      <c r="BO6" s="64"/>
      <c r="BP6" s="64"/>
      <c r="BQ6" s="64"/>
      <c r="BR6" s="64"/>
      <c r="BS6" s="64"/>
      <c r="BT6" s="64"/>
      <c r="BU6" s="64"/>
      <c r="BV6" s="64"/>
      <c r="BW6" s="64"/>
      <c r="BX6" s="64"/>
      <c r="BY6" s="64"/>
      <c r="BZ6" s="64"/>
      <c r="CA6" s="64"/>
      <c r="CB6" s="64"/>
      <c r="CC6" s="64"/>
      <c r="CD6" s="64"/>
      <c r="CE6" s="64"/>
      <c r="CF6" s="64"/>
      <c r="CG6" s="64"/>
      <c r="CH6" s="64"/>
      <c r="CI6" s="64"/>
      <c r="CJ6" s="64"/>
      <c r="CK6" s="64"/>
      <c r="CL6" s="64"/>
      <c r="CM6" s="64"/>
      <c r="CN6" s="64"/>
      <c r="CO6" s="64"/>
      <c r="CP6" s="64"/>
      <c r="CQ6" s="64"/>
      <c r="CR6" s="64"/>
      <c r="CS6" s="64"/>
      <c r="CT6" s="64"/>
      <c r="CU6" s="64"/>
      <c r="CV6" s="64"/>
      <c r="CW6" s="64"/>
      <c r="CX6" s="64"/>
      <c r="CY6" s="64"/>
      <c r="CZ6" s="64"/>
      <c r="DA6" s="64"/>
      <c r="DB6" s="64"/>
      <c r="DC6" s="64"/>
      <c r="DD6" s="64"/>
      <c r="DE6" s="64"/>
      <c r="DF6" s="64"/>
      <c r="DG6" s="64"/>
      <c r="DH6" s="64"/>
      <c r="DI6" s="64"/>
      <c r="DJ6" s="64"/>
      <c r="DK6" s="64"/>
      <c r="DL6" s="64"/>
      <c r="DM6" s="64"/>
      <c r="DN6" s="64"/>
      <c r="DO6" s="64"/>
      <c r="DP6" s="64"/>
      <c r="DQ6" s="64"/>
      <c r="DR6" s="64"/>
      <c r="DS6" s="64"/>
      <c r="DT6" s="64"/>
      <c r="DU6" s="64"/>
      <c r="DV6" s="64"/>
      <c r="DW6" s="64"/>
      <c r="DX6" s="64"/>
      <c r="DY6" s="64"/>
      <c r="DZ6" s="64"/>
      <c r="EA6" s="64"/>
      <c r="EB6" s="64"/>
      <c r="EC6" s="64"/>
      <c r="ED6" s="64"/>
    </row>
    <row r="7" spans="1:134" ht="14.4">
      <c r="A7" s="65" t="s">
        <v>430</v>
      </c>
      <c r="B7" s="65" t="s">
        <v>394</v>
      </c>
      <c r="C7" s="65" t="s">
        <v>431</v>
      </c>
      <c r="D7" s="65" t="str">
        <f t="shared" si="0"/>
        <v>TE</v>
      </c>
      <c r="F7" s="66">
        <v>6</v>
      </c>
      <c r="G7" s="66"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H7" s="66" t="str">
        <f ca="1">IFERROR(__xludf.DUMMYFUNCTION("""COMPUTED_VALUE"""),"Colston Loveland")</f>
        <v>Colston Loveland</v>
      </c>
      <c r="I7" s="66" t="str">
        <f ca="1">IFERROR(__xludf.DUMMYFUNCTION("""COMPUTED_VALUE"""),"Justin Herbert")</f>
        <v>Justin Herbert</v>
      </c>
      <c r="J7" s="66" t="str">
        <f ca="1">IFERROR(__xludf.DUMMYFUNCTION("""COMPUTED_VALUE"""),"Jauan Jennings")</f>
        <v>Jauan Jennings</v>
      </c>
      <c r="K7" s="66" t="str">
        <f ca="1">IFERROR(__xludf.DUMMYFUNCTION("""COMPUTED_VALUE"""),"Jayden Reed")</f>
        <v>Jayden Reed</v>
      </c>
      <c r="L7" s="66" t="str">
        <f ca="1">IFERROR(__xludf.DUMMYFUNCTION("""COMPUTED_VALUE"""),"Hunter Henry")</f>
        <v>Hunter Henry</v>
      </c>
      <c r="M7" s="66" t="str">
        <f ca="1">IFERROR(__xludf.DUMMYFUNCTION("""COMPUTED_VALUE"""),"Tyjae Spears")</f>
        <v>Tyjae Spears</v>
      </c>
      <c r="N7" s="66" t="str">
        <f ca="1">IFERROR(__xludf.DUMMYFUNCTION("""COMPUTED_VALUE"""),"Dallas Goedert")</f>
        <v>Dallas Goedert</v>
      </c>
      <c r="O7" s="66" t="str">
        <f ca="1">IFERROR(__xludf.DUMMYFUNCTION("""COMPUTED_VALUE"""),"Dalton Kincaid")</f>
        <v>Dalton Kincaid</v>
      </c>
      <c r="P7" s="66" t="str">
        <f ca="1">IFERROR(__xludf.DUMMYFUNCTION("""COMPUTED_VALUE"""),"Jacory Croskey-Merritt")</f>
        <v>Jacory Croskey-Merritt</v>
      </c>
      <c r="Q7" s="66" t="str">
        <f ca="1">IFERROR(__xludf.DUMMYFUNCTION("""COMPUTED_VALUE"""),"Khalil Shakir")</f>
        <v>Khalil Shakir</v>
      </c>
      <c r="R7" s="66" t="str">
        <f ca="1">IFERROR(__xludf.DUMMYFUNCTION("""COMPUTED_VALUE"""),"Najee Harris")</f>
        <v>Najee Harris</v>
      </c>
      <c r="S7" s="66" t="str">
        <f ca="1">IFERROR(__xludf.DUMMYFUNCTION("""COMPUTED_VALUE"""),"Jake Ferguson")</f>
        <v>Jake Ferguson</v>
      </c>
      <c r="T7" s="66" t="str">
        <f ca="1">IFERROR(__xludf.DUMMYFUNCTION("""COMPUTED_VALUE"""),"Christian Kirk")</f>
        <v>Christian Kirk</v>
      </c>
      <c r="U7" s="66" t="str">
        <f ca="1">IFERROR(__xludf.DUMMYFUNCTION("""COMPUTED_VALUE"""),"Jared Goff")</f>
        <v>Jared Goff</v>
      </c>
      <c r="V7" s="66" t="str">
        <f ca="1">IFERROR(__xludf.DUMMYFUNCTION("""COMPUTED_VALUE"""),"Cam Skattebo")</f>
        <v>Cam Skattebo</v>
      </c>
      <c r="W7" s="66" t="str">
        <f ca="1">IFERROR(__xludf.DUMMYFUNCTION("""COMPUTED_VALUE"""),"Nick Chubb")</f>
        <v>Nick Chubb</v>
      </c>
      <c r="X7" s="66" t="str">
        <f ca="1">IFERROR(__xludf.DUMMYFUNCTION("""COMPUTED_VALUE"""),"Jordan Love")</f>
        <v>Jordan Love</v>
      </c>
      <c r="Y7" s="66" t="str">
        <f ca="1">IFERROR(__xludf.DUMMYFUNCTION("""COMPUTED_VALUE"""),"Kyler Murray")</f>
        <v>Kyler Murray</v>
      </c>
      <c r="Z7" s="64" t="str">
        <f ca="1">IFERROR(__xludf.DUMMYFUNCTION("""COMPUTED_VALUE"""),"Evan Engram")</f>
        <v>Evan Engram</v>
      </c>
      <c r="AA7" s="64"/>
      <c r="AB7" s="64"/>
      <c r="AC7" s="64"/>
      <c r="AD7" s="64"/>
      <c r="AE7" s="64"/>
      <c r="AF7" s="64"/>
      <c r="AG7" s="64"/>
      <c r="AH7" s="64"/>
      <c r="AI7" s="64"/>
      <c r="AJ7" s="64"/>
      <c r="AK7" s="64"/>
      <c r="AL7" s="64"/>
      <c r="AM7" s="64"/>
      <c r="AN7" s="64"/>
      <c r="AO7" s="64"/>
      <c r="AP7" s="64"/>
      <c r="AQ7" s="64"/>
      <c r="AR7" s="64"/>
      <c r="AS7" s="64"/>
      <c r="AT7" s="64"/>
      <c r="AU7" s="64"/>
      <c r="AV7" s="64"/>
      <c r="AW7" s="64"/>
      <c r="AX7" s="64"/>
      <c r="AY7" s="64"/>
      <c r="AZ7" s="64"/>
      <c r="BA7" s="64"/>
      <c r="BB7" s="64"/>
      <c r="BC7" s="64"/>
      <c r="BD7" s="64"/>
      <c r="BE7" s="64"/>
      <c r="BF7" s="64"/>
      <c r="BG7" s="64"/>
      <c r="BH7" s="64"/>
      <c r="BI7" s="64"/>
      <c r="BJ7" s="64"/>
      <c r="BK7" s="64"/>
      <c r="BL7" s="64"/>
      <c r="BM7" s="64"/>
      <c r="BN7" s="64"/>
      <c r="BO7" s="64"/>
      <c r="BP7" s="64"/>
      <c r="BQ7" s="64"/>
      <c r="BR7" s="64"/>
      <c r="BS7" s="64"/>
      <c r="BT7" s="64"/>
      <c r="BU7" s="64"/>
      <c r="BV7" s="64"/>
      <c r="BW7" s="64"/>
      <c r="BX7" s="64"/>
      <c r="BY7" s="64"/>
      <c r="BZ7" s="64"/>
      <c r="CA7" s="64"/>
      <c r="CB7" s="64"/>
      <c r="CC7" s="64"/>
      <c r="CD7" s="64"/>
      <c r="CE7" s="64"/>
      <c r="CF7" s="64"/>
      <c r="CG7" s="64"/>
      <c r="CH7" s="64"/>
      <c r="CI7" s="64"/>
      <c r="CJ7" s="64"/>
      <c r="CK7" s="64"/>
      <c r="CL7" s="64"/>
      <c r="CM7" s="64"/>
      <c r="CN7" s="64"/>
      <c r="CO7" s="64"/>
      <c r="CP7" s="64"/>
      <c r="CQ7" s="64"/>
      <c r="CR7" s="64"/>
      <c r="CS7" s="64"/>
      <c r="CT7" s="64"/>
      <c r="CU7" s="64"/>
      <c r="CV7" s="64"/>
      <c r="CW7" s="64"/>
      <c r="CX7" s="64"/>
      <c r="CY7" s="64"/>
      <c r="CZ7" s="64"/>
      <c r="DA7" s="64"/>
      <c r="DB7" s="64"/>
      <c r="DC7" s="64"/>
      <c r="DD7" s="64"/>
      <c r="DE7" s="64"/>
      <c r="DF7" s="64"/>
      <c r="DG7" s="64"/>
      <c r="DH7" s="64"/>
      <c r="DI7" s="64"/>
      <c r="DJ7" s="64"/>
      <c r="DK7" s="64"/>
      <c r="DL7" s="64"/>
      <c r="DM7" s="64"/>
      <c r="DN7" s="64"/>
      <c r="DO7" s="64"/>
      <c r="DP7" s="64"/>
      <c r="DQ7" s="64"/>
      <c r="DR7" s="64"/>
      <c r="DS7" s="64"/>
      <c r="DT7" s="64"/>
      <c r="DU7" s="64"/>
      <c r="DV7" s="64"/>
      <c r="DW7" s="64"/>
      <c r="DX7" s="64"/>
      <c r="DY7" s="64"/>
      <c r="DZ7" s="64"/>
      <c r="EA7" s="64"/>
      <c r="EB7" s="64"/>
      <c r="EC7" s="64"/>
      <c r="ED7" s="64"/>
    </row>
    <row r="8" spans="1:134" ht="14.4">
      <c r="A8" s="65" t="s">
        <v>279</v>
      </c>
      <c r="B8" s="65" t="s">
        <v>398</v>
      </c>
      <c r="C8" s="65" t="s">
        <v>432</v>
      </c>
      <c r="D8" s="65" t="str">
        <f t="shared" si="0"/>
        <v>WR</v>
      </c>
      <c r="F8" s="66">
        <v>7</v>
      </c>
      <c r="G8" s="1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H8" s="66" t="str">
        <f ca="1">IFERROR(__xludf.DUMMYFUNCTION("""COMPUTED_VALUE"""),"Josh Downs")</f>
        <v>Josh Downs</v>
      </c>
      <c r="I8" s="66" t="str">
        <f ca="1">IFERROR(__xludf.DUMMYFUNCTION("""COMPUTED_VALUE"""),"Jerome Ford")</f>
        <v>Jerome Ford</v>
      </c>
      <c r="J8" s="66" t="str">
        <f ca="1">IFERROR(__xludf.DUMMYFUNCTION("""COMPUTED_VALUE"""),"Denver Broncos")</f>
        <v>Denver Broncos</v>
      </c>
      <c r="K8" s="66" t="str">
        <f ca="1">IFERROR(__xludf.DUMMYFUNCTION("""COMPUTED_VALUE"""),"Bhayshul Tuten")</f>
        <v>Bhayshul Tuten</v>
      </c>
      <c r="L8" s="66" t="str">
        <f ca="1">IFERROR(__xludf.DUMMYFUNCTION("""COMPUTED_VALUE"""),"Tank Bigsby")</f>
        <v>Tank Bigsby</v>
      </c>
      <c r="M8" s="66" t="str">
        <f ca="1">IFERROR(__xludf.DUMMYFUNCTION("""COMPUTED_VALUE"""),"Cooper Kupp")</f>
        <v>Cooper Kupp</v>
      </c>
      <c r="N8" s="66" t="str">
        <f ca="1">IFERROR(__xludf.DUMMYFUNCTION("""COMPUTED_VALUE"""),"Jordan Addison")</f>
        <v>Jordan Addison</v>
      </c>
      <c r="O8" s="66" t="str">
        <f ca="1">IFERROR(__xludf.DUMMYFUNCTION("""COMPUTED_VALUE"""),"Rashod Bateman")</f>
        <v>Rashod Bateman</v>
      </c>
      <c r="P8" s="66" t="str">
        <f ca="1">IFERROR(__xludf.DUMMYFUNCTION("""COMPUTED_VALUE"""),"Ray Davis")</f>
        <v>Ray Davis</v>
      </c>
      <c r="Q8" s="66" t="str">
        <f ca="1">IFERROR(__xludf.DUMMYFUNCTION("""COMPUTED_VALUE"""),"Braelon Allen")</f>
        <v>Braelon Allen</v>
      </c>
      <c r="R8" s="66" t="str">
        <f ca="1">IFERROR(__xludf.DUMMYFUNCTION("""COMPUTED_VALUE"""),"C.J. Stroud")</f>
        <v>C.J. Stroud</v>
      </c>
      <c r="S8" s="66" t="str">
        <f ca="1">IFERROR(__xludf.DUMMYFUNCTION("""COMPUTED_VALUE"""),"Michael Pittman Jr.")</f>
        <v>Michael Pittman Jr.</v>
      </c>
      <c r="T8" s="66" t="str">
        <f ca="1">IFERROR(__xludf.DUMMYFUNCTION("""COMPUTED_VALUE"""),"Anthony Richardson Sr.")</f>
        <v>Anthony Richardson Sr.</v>
      </c>
      <c r="U8" s="66" t="str">
        <f ca="1">IFERROR(__xludf.DUMMYFUNCTION("""COMPUTED_VALUE"""),"Luther Burden III")</f>
        <v>Luther Burden III</v>
      </c>
      <c r="V8" s="66" t="str">
        <f ca="1">IFERROR(__xludf.DUMMYFUNCTION("""COMPUTED_VALUE"""),"Justin Fields")</f>
        <v>Justin Fields</v>
      </c>
      <c r="W8" s="66" t="str">
        <f ca="1">IFERROR(__xludf.DUMMYFUNCTION("""COMPUTED_VALUE"""),"Kyle Pitts Sr.")</f>
        <v>Kyle Pitts Sr.</v>
      </c>
      <c r="X8" s="66" t="str">
        <f ca="1">IFERROR(__xludf.DUMMYFUNCTION("""COMPUTED_VALUE"""),"Wan'Dale Robinson")</f>
        <v>Wan'Dale Robinson</v>
      </c>
      <c r="Y8" s="66" t="str">
        <f ca="1">IFERROR(__xludf.DUMMYFUNCTION("""COMPUTED_VALUE"""),"Jaydon Blue")</f>
        <v>Jaydon Blue</v>
      </c>
      <c r="Z8" s="64" t="str">
        <f ca="1">IFERROR(__xludf.DUMMYFUNCTION("""COMPUTED_VALUE"""),"Trey Benson")</f>
        <v>Trey Benson</v>
      </c>
      <c r="AA8" s="64"/>
      <c r="AB8" s="64"/>
      <c r="AC8" s="64"/>
      <c r="AD8" s="64"/>
      <c r="AE8" s="64"/>
      <c r="AF8" s="64"/>
      <c r="AG8" s="64"/>
      <c r="AH8" s="64"/>
      <c r="AI8" s="64"/>
      <c r="AJ8" s="64"/>
      <c r="AK8" s="64"/>
      <c r="AL8" s="64"/>
      <c r="AM8" s="64"/>
      <c r="AN8" s="64"/>
      <c r="AO8" s="64"/>
      <c r="AP8" s="64"/>
      <c r="AQ8" s="64"/>
      <c r="AR8" s="64"/>
      <c r="AS8" s="64"/>
      <c r="AT8" s="64"/>
      <c r="AU8" s="64"/>
      <c r="AV8" s="64"/>
      <c r="AW8" s="64"/>
      <c r="AX8" s="64"/>
      <c r="AY8" s="64"/>
      <c r="AZ8" s="64"/>
      <c r="BA8" s="64"/>
      <c r="BB8" s="64"/>
      <c r="BC8" s="64"/>
      <c r="BD8" s="64"/>
      <c r="BE8" s="64"/>
      <c r="BF8" s="64"/>
      <c r="BG8" s="64"/>
      <c r="BH8" s="64"/>
      <c r="BI8" s="64"/>
      <c r="BJ8" s="64"/>
      <c r="BK8" s="64"/>
      <c r="BL8" s="64"/>
      <c r="BM8" s="64"/>
      <c r="BN8" s="64"/>
      <c r="BO8" s="64"/>
      <c r="BP8" s="64"/>
      <c r="BQ8" s="64"/>
      <c r="BR8" s="64"/>
      <c r="BS8" s="64"/>
      <c r="BT8" s="64"/>
      <c r="BU8" s="64"/>
      <c r="BV8" s="64"/>
      <c r="BW8" s="64"/>
      <c r="BX8" s="64"/>
      <c r="BY8" s="64"/>
      <c r="BZ8" s="64"/>
      <c r="CA8" s="64"/>
      <c r="CB8" s="64"/>
      <c r="CC8" s="64"/>
      <c r="CD8" s="64"/>
      <c r="CE8" s="64"/>
      <c r="CF8" s="64"/>
      <c r="CG8" s="64"/>
      <c r="CH8" s="64"/>
      <c r="CI8" s="64"/>
      <c r="CJ8" s="64"/>
      <c r="CK8" s="64"/>
      <c r="CL8" s="64"/>
      <c r="CM8" s="64"/>
      <c r="CN8" s="64"/>
      <c r="CO8" s="64"/>
      <c r="CP8" s="64"/>
      <c r="CQ8" s="64"/>
      <c r="CR8" s="64"/>
      <c r="CS8" s="64"/>
      <c r="CT8" s="64"/>
      <c r="CU8" s="64"/>
      <c r="CV8" s="64"/>
      <c r="CW8" s="64"/>
      <c r="CX8" s="64"/>
      <c r="CY8" s="64"/>
      <c r="CZ8" s="64"/>
      <c r="DA8" s="64"/>
      <c r="DB8" s="64"/>
      <c r="DC8" s="64"/>
      <c r="DD8" s="64"/>
      <c r="DE8" s="64"/>
      <c r="DF8" s="64"/>
      <c r="DG8" s="64"/>
      <c r="DH8" s="64"/>
      <c r="DI8" s="64"/>
      <c r="DJ8" s="64"/>
      <c r="DK8" s="64"/>
      <c r="DL8" s="64"/>
      <c r="DM8" s="64"/>
      <c r="DN8" s="64"/>
      <c r="DO8" s="64"/>
      <c r="DP8" s="64"/>
      <c r="DQ8" s="64"/>
      <c r="DR8" s="64"/>
      <c r="DS8" s="64"/>
      <c r="DT8" s="64"/>
      <c r="DU8" s="64"/>
      <c r="DV8" s="64"/>
      <c r="DW8" s="64"/>
      <c r="DX8" s="64"/>
      <c r="DY8" s="64"/>
      <c r="DZ8" s="64"/>
      <c r="EA8" s="64"/>
      <c r="EB8" s="64"/>
      <c r="EC8" s="64"/>
      <c r="ED8" s="64"/>
    </row>
    <row r="9" spans="1:134" ht="14.4">
      <c r="A9" s="65" t="s">
        <v>433</v>
      </c>
      <c r="B9" s="65" t="s">
        <v>403</v>
      </c>
      <c r="C9" s="65" t="s">
        <v>434</v>
      </c>
      <c r="D9" s="65" t="str">
        <f t="shared" si="0"/>
        <v>QB</v>
      </c>
      <c r="F9" s="66">
        <v>8</v>
      </c>
      <c r="G9" s="1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H9" s="66" t="str">
        <f ca="1">IFERROR(__xludf.DUMMYFUNCTION("""COMPUTED_VALUE"""),"Zach Ertz")</f>
        <v>Zach Ertz</v>
      </c>
      <c r="I9" s="66" t="str">
        <f ca="1">IFERROR(__xludf.DUMMYFUNCTION("""COMPUTED_VALUE"""),"Jayden Higgins")</f>
        <v>Jayden Higgins</v>
      </c>
      <c r="J9" s="66" t="str">
        <f ca="1">IFERROR(__xludf.DUMMYFUNCTION("""COMPUTED_VALUE"""),"Dylan Sampson")</f>
        <v>Dylan Sampson</v>
      </c>
      <c r="K9" s="66" t="str">
        <f ca="1">IFERROR(__xludf.DUMMYFUNCTION("""COMPUTED_VALUE"""),"Brenton Strange")</f>
        <v>Brenton Strange</v>
      </c>
      <c r="L9" s="66" t="str">
        <f ca="1">IFERROR(__xludf.DUMMYFUNCTION("""COMPUTED_VALUE"""),"Keon Coleman")</f>
        <v>Keon Coleman</v>
      </c>
      <c r="M9" s="66" t="str">
        <f ca="1">IFERROR(__xludf.DUMMYFUNCTION("""COMPUTED_VALUE"""),"Rico Dowdle")</f>
        <v>Rico Dowdle</v>
      </c>
      <c r="N9" s="66" t="str">
        <f ca="1">IFERROR(__xludf.DUMMYFUNCTION("""COMPUTED_VALUE"""),"Houston Texans")</f>
        <v>Houston Texans</v>
      </c>
      <c r="O9" s="66" t="str">
        <f ca="1">IFERROR(__xludf.DUMMYFUNCTION("""COMPUTED_VALUE"""),"Jaylen Wright")</f>
        <v>Jaylen Wright</v>
      </c>
      <c r="P9" s="66" t="str">
        <f ca="1">IFERROR(__xludf.DUMMYFUNCTION("""COMPUTED_VALUE"""),"Drake Maye")</f>
        <v>Drake Maye</v>
      </c>
      <c r="Q9" s="66" t="str">
        <f ca="1">IFERROR(__xludf.DUMMYFUNCTION("""COMPUTED_VALUE"""),"Brandon Aiyuk")</f>
        <v>Brandon Aiyuk</v>
      </c>
      <c r="R9" s="66" t="str">
        <f ca="1">IFERROR(__xludf.DUMMYFUNCTION("""COMPUTED_VALUE"""),"Geno Smith")</f>
        <v>Geno Smith</v>
      </c>
      <c r="S9" s="66" t="str">
        <f ca="1">IFERROR(__xludf.DUMMYFUNCTION("""COMPUTED_VALUE"""),"Isaac Guerendo")</f>
        <v>Isaac Guerendo</v>
      </c>
      <c r="T9" s="66" t="str">
        <f ca="1">IFERROR(__xludf.DUMMYFUNCTION("""COMPUTED_VALUE"""),"Tyler Allgeier")</f>
        <v>Tyler Allgeier</v>
      </c>
      <c r="U9" s="66" t="str">
        <f ca="1">IFERROR(__xludf.DUMMYFUNCTION("""COMPUTED_VALUE"""),"Trevor Lawrence")</f>
        <v>Trevor Lawrence</v>
      </c>
      <c r="V9" s="66" t="str">
        <f ca="1">IFERROR(__xludf.DUMMYFUNCTION("""COMPUTED_VALUE"""),"Rashid Shaheed")</f>
        <v>Rashid Shaheed</v>
      </c>
      <c r="W9" s="66" t="str">
        <f ca="1">IFERROR(__xludf.DUMMYFUNCTION("""COMPUTED_VALUE"""),"Caleb Williams")</f>
        <v>Caleb Williams</v>
      </c>
      <c r="X9" s="66" t="str">
        <f ca="1">IFERROR(__xludf.DUMMYFUNCTION("""COMPUTED_VALUE"""),"Darnell Mooney")</f>
        <v>Darnell Mooney</v>
      </c>
      <c r="Y9" s="66" t="str">
        <f ca="1">IFERROR(__xludf.DUMMYFUNCTION("""COMPUTED_VALUE"""),"Marvin Mims Jr.")</f>
        <v>Marvin Mims Jr.</v>
      </c>
      <c r="Z9" s="64" t="str">
        <f ca="1">IFERROR(__xludf.DUMMYFUNCTION("""COMPUTED_VALUE"""),"Philadelphia Eagles")</f>
        <v>Philadelphia Eagles</v>
      </c>
      <c r="AA9" s="64"/>
      <c r="AB9" s="64"/>
      <c r="AC9" s="64"/>
      <c r="AD9" s="64"/>
      <c r="AE9" s="64"/>
      <c r="AF9" s="64"/>
      <c r="AG9" s="64"/>
      <c r="AH9" s="64"/>
      <c r="AI9" s="64"/>
      <c r="AJ9" s="64"/>
      <c r="AK9" s="64"/>
      <c r="AL9" s="64"/>
      <c r="AM9" s="64"/>
      <c r="AN9" s="64"/>
      <c r="AO9" s="64"/>
      <c r="AP9" s="64"/>
      <c r="AQ9" s="64"/>
      <c r="AR9" s="64"/>
      <c r="AS9" s="64"/>
      <c r="AT9" s="64"/>
      <c r="AU9" s="64"/>
      <c r="AV9" s="64"/>
      <c r="AW9" s="64"/>
      <c r="AX9" s="64"/>
      <c r="AY9" s="64"/>
      <c r="AZ9" s="64"/>
      <c r="BA9" s="64"/>
      <c r="BB9" s="64"/>
      <c r="BC9" s="64"/>
      <c r="BD9" s="64"/>
      <c r="BE9" s="64"/>
      <c r="BF9" s="64"/>
      <c r="BG9" s="64"/>
      <c r="BH9" s="64"/>
      <c r="BI9" s="64"/>
      <c r="BJ9" s="64"/>
      <c r="BK9" s="64"/>
      <c r="BL9" s="64"/>
      <c r="BM9" s="64"/>
      <c r="BN9" s="64"/>
      <c r="BO9" s="64"/>
      <c r="BP9" s="64"/>
      <c r="BQ9" s="64"/>
      <c r="BR9" s="64"/>
      <c r="BS9" s="64"/>
      <c r="BT9" s="64"/>
      <c r="BU9" s="64"/>
      <c r="BV9" s="64"/>
      <c r="BW9" s="64"/>
      <c r="BX9" s="64"/>
      <c r="BY9" s="64"/>
      <c r="BZ9" s="64"/>
      <c r="CA9" s="64"/>
      <c r="CB9" s="64"/>
      <c r="CC9" s="64"/>
      <c r="CD9" s="64"/>
      <c r="CE9" s="64"/>
      <c r="CF9" s="64"/>
      <c r="CG9" s="64"/>
      <c r="CH9" s="64"/>
      <c r="CI9" s="64"/>
      <c r="CJ9" s="64"/>
      <c r="CK9" s="64"/>
      <c r="CL9" s="64"/>
      <c r="CM9" s="64"/>
      <c r="CN9" s="64"/>
      <c r="CO9" s="64"/>
      <c r="CP9" s="64"/>
      <c r="CQ9" s="64"/>
      <c r="CR9" s="64"/>
      <c r="CS9" s="64"/>
      <c r="CT9" s="64"/>
      <c r="CU9" s="64"/>
      <c r="CV9" s="64"/>
      <c r="CW9" s="64"/>
      <c r="CX9" s="64"/>
      <c r="CY9" s="64"/>
      <c r="CZ9" s="64"/>
      <c r="DA9" s="64"/>
      <c r="DB9" s="64"/>
      <c r="DC9" s="64"/>
      <c r="DD9" s="64"/>
      <c r="DE9" s="64"/>
      <c r="DF9" s="64"/>
      <c r="DG9" s="64"/>
      <c r="DH9" s="64"/>
      <c r="DI9" s="64"/>
      <c r="DJ9" s="64"/>
      <c r="DK9" s="64"/>
      <c r="DL9" s="64"/>
      <c r="DM9" s="64"/>
      <c r="DN9" s="64"/>
      <c r="DO9" s="64"/>
      <c r="DP9" s="64"/>
      <c r="DQ9" s="64"/>
      <c r="DR9" s="64"/>
      <c r="DS9" s="64"/>
      <c r="DT9" s="64"/>
      <c r="DU9" s="64"/>
      <c r="DV9" s="64"/>
      <c r="DW9" s="64"/>
      <c r="DX9" s="64"/>
      <c r="DY9" s="64"/>
      <c r="DZ9" s="64"/>
      <c r="EA9" s="64"/>
      <c r="EB9" s="64"/>
      <c r="EC9" s="64"/>
      <c r="ED9" s="64"/>
    </row>
    <row r="10" spans="1:134" ht="14.4">
      <c r="A10" s="65" t="s">
        <v>435</v>
      </c>
      <c r="B10" s="65" t="s">
        <v>412</v>
      </c>
      <c r="C10" s="65" t="s">
        <v>436</v>
      </c>
      <c r="D10" s="65" t="str">
        <f t="shared" si="0"/>
        <v>TE</v>
      </c>
      <c r="F10" s="66">
        <v>9</v>
      </c>
      <c r="G10" s="66"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H10" s="66" t="str">
        <f ca="1">IFERROR(__xludf.DUMMYFUNCTION("""COMPUTED_VALUE"""),"Baltimore Ravens")</f>
        <v>Baltimore Ravens</v>
      </c>
      <c r="I10" s="66" t="str">
        <f ca="1">IFERROR(__xludf.DUMMYFUNCTION("""COMPUTED_VALUE"""),"Elijah Arroyo")</f>
        <v>Elijah Arroyo</v>
      </c>
      <c r="J10" s="66" t="str">
        <f ca="1">IFERROR(__xludf.DUMMYFUNCTION("""COMPUTED_VALUE"""),"Romeo Doubs")</f>
        <v>Romeo Doubs</v>
      </c>
      <c r="K10" s="66" t="str">
        <f ca="1">IFERROR(__xludf.DUMMYFUNCTION("""COMPUTED_VALUE"""),"Harold Fannin Jr.")</f>
        <v>Harold Fannin Jr.</v>
      </c>
      <c r="L10" s="66" t="str">
        <f ca="1">IFERROR(__xludf.DUMMYFUNCTION("""COMPUTED_VALUE"""),"J.J. McCarthy")</f>
        <v>J.J. McCarthy</v>
      </c>
      <c r="M10" s="66" t="str">
        <f ca="1">IFERROR(__xludf.DUMMYFUNCTION("""COMPUTED_VALUE"""),"Joshua Palmer")</f>
        <v>Joshua Palmer</v>
      </c>
      <c r="N10" s="66" t="str">
        <f ca="1">IFERROR(__xludf.DUMMYFUNCTION("""COMPUTED_VALUE"""),"Blake Corum")</f>
        <v>Blake Corum</v>
      </c>
      <c r="O10" s="66" t="str">
        <f ca="1">IFERROR(__xludf.DUMMYFUNCTION("""COMPUTED_VALUE"""),"Michael Penix Jr.")</f>
        <v>Michael Penix Jr.</v>
      </c>
      <c r="P10" s="66" t="str">
        <f ca="1">IFERROR(__xludf.DUMMYFUNCTION("""COMPUTED_VALUE"""),"Cameron Ward")</f>
        <v>Cameron Ward</v>
      </c>
      <c r="Q10" s="66" t="str">
        <f ca="1">IFERROR(__xludf.DUMMYFUNCTION("""COMPUTED_VALUE"""),"Minnesota Vikings")</f>
        <v>Minnesota Vikings</v>
      </c>
      <c r="R10" s="66" t="str">
        <f ca="1">IFERROR(__xludf.DUMMYFUNCTION("""COMPUTED_VALUE"""),"Mike Gesicki")</f>
        <v>Mike Gesicki</v>
      </c>
      <c r="S10" s="66" t="str">
        <f ca="1">IFERROR(__xludf.DUMMYFUNCTION("""COMPUTED_VALUE"""),"Marquise Brown")</f>
        <v>Marquise Brown</v>
      </c>
      <c r="T10" s="66" t="str">
        <f ca="1">IFERROR(__xludf.DUMMYFUNCTION("""COMPUTED_VALUE"""),"Bryce Young")</f>
        <v>Bryce Young</v>
      </c>
      <c r="U10" s="66" t="str">
        <f ca="1">IFERROR(__xludf.DUMMYFUNCTION("""COMPUTED_VALUE"""),"Luke Musgrave")</f>
        <v>Luke Musgrave</v>
      </c>
      <c r="V10" s="66" t="str">
        <f ca="1">IFERROR(__xludf.DUMMYFUNCTION("""COMPUTED_VALUE"""),"Jonnu Smith")</f>
        <v>Jonnu Smith</v>
      </c>
      <c r="W10" s="66" t="str">
        <f ca="1">IFERROR(__xludf.DUMMYFUNCTION("""COMPUTED_VALUE"""),"DJ Giddens")</f>
        <v>DJ Giddens</v>
      </c>
      <c r="X10" s="66" t="str">
        <f ca="1">IFERROR(__xludf.DUMMYFUNCTION("""COMPUTED_VALUE"""),"Sam Darnold")</f>
        <v>Sam Darnold</v>
      </c>
      <c r="Y10" s="66" t="str">
        <f ca="1">IFERROR(__xludf.DUMMYFUNCTION("""COMPUTED_VALUE"""),"Tua Tagovailoa")</f>
        <v>Tua Tagovailoa</v>
      </c>
      <c r="Z10" s="64" t="str">
        <f ca="1">IFERROR(__xludf.DUMMYFUNCTION("""COMPUTED_VALUE"""),"Adam Thielen")</f>
        <v>Adam Thielen</v>
      </c>
      <c r="AA10" s="64"/>
      <c r="AB10" s="64"/>
      <c r="AC10" s="64"/>
      <c r="AD10" s="64"/>
      <c r="AE10" s="64"/>
      <c r="AF10" s="64"/>
      <c r="AG10" s="64"/>
      <c r="AH10" s="64"/>
      <c r="AI10" s="64"/>
      <c r="AJ10" s="64"/>
      <c r="AK10" s="64"/>
      <c r="AL10" s="64"/>
      <c r="AM10" s="64"/>
      <c r="AN10" s="64"/>
      <c r="AO10" s="64"/>
      <c r="AP10" s="64"/>
      <c r="AQ10" s="64"/>
      <c r="AR10" s="64"/>
      <c r="AS10" s="64"/>
      <c r="AT10" s="64"/>
      <c r="AU10" s="64"/>
      <c r="AV10" s="64"/>
      <c r="AW10" s="64"/>
      <c r="AX10" s="64"/>
      <c r="AY10" s="64"/>
      <c r="AZ10" s="64"/>
      <c r="BA10" s="64"/>
      <c r="BB10" s="64"/>
      <c r="BC10" s="64"/>
      <c r="BD10" s="64"/>
      <c r="BE10" s="64"/>
      <c r="BF10" s="64"/>
      <c r="BG10" s="64"/>
      <c r="BH10" s="64"/>
      <c r="BI10" s="64"/>
      <c r="BJ10" s="64"/>
      <c r="BK10" s="64"/>
      <c r="BL10" s="64"/>
      <c r="BM10" s="64"/>
      <c r="BN10" s="64"/>
      <c r="BO10" s="64"/>
      <c r="BP10" s="64"/>
      <c r="BQ10" s="64"/>
      <c r="BR10" s="64"/>
      <c r="BS10" s="64"/>
      <c r="BT10" s="64"/>
      <c r="BU10" s="64"/>
      <c r="BV10" s="64"/>
      <c r="BW10" s="64"/>
      <c r="BX10" s="64"/>
      <c r="BY10" s="64"/>
      <c r="BZ10" s="64"/>
      <c r="CA10" s="64"/>
      <c r="CB10" s="64"/>
      <c r="CC10" s="64"/>
      <c r="CD10" s="64"/>
      <c r="CE10" s="64"/>
      <c r="CF10" s="64"/>
      <c r="CG10" s="64"/>
      <c r="CH10" s="64"/>
      <c r="CI10" s="64"/>
      <c r="CJ10" s="64"/>
      <c r="CK10" s="64"/>
      <c r="CL10" s="64"/>
      <c r="CM10" s="64"/>
      <c r="CN10" s="64"/>
      <c r="CO10" s="64"/>
      <c r="CP10" s="64"/>
      <c r="CQ10" s="64"/>
      <c r="CR10" s="64"/>
      <c r="CS10" s="64"/>
      <c r="CT10" s="64"/>
      <c r="CU10" s="64"/>
      <c r="CV10" s="64"/>
      <c r="CW10" s="64"/>
      <c r="CX10" s="64"/>
      <c r="CY10" s="64"/>
      <c r="CZ10" s="64"/>
      <c r="DA10" s="64"/>
      <c r="DB10" s="64"/>
      <c r="DC10" s="64"/>
      <c r="DD10" s="64"/>
      <c r="DE10" s="64"/>
      <c r="DF10" s="64"/>
      <c r="DG10" s="64"/>
      <c r="DH10" s="64"/>
      <c r="DI10" s="64"/>
      <c r="DJ10" s="64"/>
      <c r="DK10" s="64"/>
      <c r="DL10" s="64"/>
      <c r="DM10" s="64"/>
      <c r="DN10" s="64"/>
      <c r="DO10" s="64"/>
      <c r="DP10" s="64"/>
      <c r="DQ10" s="64"/>
      <c r="DR10" s="64"/>
      <c r="DS10" s="64"/>
      <c r="DT10" s="64"/>
      <c r="DU10" s="64"/>
      <c r="DV10" s="64"/>
      <c r="DW10" s="64"/>
      <c r="DX10" s="64"/>
      <c r="DY10" s="64"/>
      <c r="DZ10" s="64"/>
      <c r="EA10" s="64"/>
      <c r="EB10" s="64"/>
      <c r="EC10" s="64"/>
      <c r="ED10" s="64"/>
    </row>
    <row r="11" spans="1:134" ht="14.4">
      <c r="A11" s="65" t="s">
        <v>437</v>
      </c>
      <c r="B11" s="65" t="s">
        <v>404</v>
      </c>
      <c r="C11" s="65" t="s">
        <v>438</v>
      </c>
      <c r="D11" s="65" t="str">
        <f t="shared" si="0"/>
        <v>RB</v>
      </c>
      <c r="F11" s="66">
        <v>10</v>
      </c>
      <c r="G11" s="1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H11" s="66" t="str">
        <f ca="1">IFERROR(__xludf.DUMMYFUNCTION("""COMPUTED_VALUE"""),"Jaxson Dart")</f>
        <v>Jaxson Dart</v>
      </c>
      <c r="I11" s="66" t="str">
        <f ca="1">IFERROR(__xludf.DUMMYFUNCTION("""COMPUTED_VALUE"""),"Tyler Shough")</f>
        <v>Tyler Shough</v>
      </c>
      <c r="J11" s="66" t="str">
        <f ca="1">IFERROR(__xludf.DUMMYFUNCTION("""COMPUTED_VALUE"""),"Joe Flacco")</f>
        <v>Joe Flacco</v>
      </c>
      <c r="K11" s="66" t="str">
        <f ca="1">IFERROR(__xludf.DUMMYFUNCTION("""COMPUTED_VALUE"""),"Kansas City Chiefs")</f>
        <v>Kansas City Chiefs</v>
      </c>
      <c r="L11" s="66" t="str">
        <f ca="1">IFERROR(__xludf.DUMMYFUNCTION("""COMPUTED_VALUE"""),"Daniel Jones")</f>
        <v>Daniel Jones</v>
      </c>
      <c r="M11" s="66" t="str">
        <f ca="1">IFERROR(__xludf.DUMMYFUNCTION("""COMPUTED_VALUE"""),"Russell Wilson")</f>
        <v>Russell Wilson</v>
      </c>
      <c r="N11" s="66" t="str">
        <f ca="1">IFERROR(__xludf.DUMMYFUNCTION("""COMPUTED_VALUE"""),"Xavier Legette")</f>
        <v>Xavier Legette</v>
      </c>
      <c r="O11" s="66" t="str">
        <f ca="1">IFERROR(__xludf.DUMMYFUNCTION("""COMPUTED_VALUE"""),"Woody Marks")</f>
        <v>Woody Marks</v>
      </c>
      <c r="P11" s="66" t="str">
        <f ca="1">IFERROR(__xludf.DUMMYFUNCTION("""COMPUTED_VALUE"""),"Pittsburgh Steelers")</f>
        <v>Pittsburgh Steelers</v>
      </c>
      <c r="Q11" s="66" t="str">
        <f ca="1">IFERROR(__xludf.DUMMYFUNCTION("""COMPUTED_VALUE"""),"Brandon Aubrey")</f>
        <v>Brandon Aubrey</v>
      </c>
      <c r="R11" s="66" t="str">
        <f ca="1">IFERROR(__xludf.DUMMYFUNCTION("""COMPUTED_VALUE"""),"Kareem Hunt")</f>
        <v>Kareem Hunt</v>
      </c>
      <c r="S11" s="66" t="str">
        <f ca="1">IFERROR(__xludf.DUMMYFUNCTION("""COMPUTED_VALUE"""),"Chig Okonkwo")</f>
        <v>Chig Okonkwo</v>
      </c>
      <c r="T11" s="66" t="str">
        <f ca="1">IFERROR(__xludf.DUMMYFUNCTION("""COMPUTED_VALUE"""),"Kyle Williams")</f>
        <v>Kyle Williams</v>
      </c>
      <c r="U11" s="66" t="str">
        <f ca="1">IFERROR(__xludf.DUMMYFUNCTION("""COMPUTED_VALUE"""),"Tre' Harris")</f>
        <v>Tre' Harris</v>
      </c>
      <c r="V11" s="66" t="str">
        <f ca="1">IFERROR(__xludf.DUMMYFUNCTION("""COMPUTED_VALUE"""),"MarShawn Lloyd")</f>
        <v>MarShawn Lloyd</v>
      </c>
      <c r="W11" s="66" t="str">
        <f ca="1">IFERROR(__xludf.DUMMYFUNCTION("""COMPUTED_VALUE"""),"Aaron Rodgers")</f>
        <v>Aaron Rodgers</v>
      </c>
      <c r="X11" s="66" t="str">
        <f ca="1">IFERROR(__xludf.DUMMYFUNCTION("""COMPUTED_VALUE"""),"DeMario Douglas")</f>
        <v>DeMario Douglas</v>
      </c>
      <c r="Y11" s="66" t="str">
        <f ca="1">IFERROR(__xludf.DUMMYFUNCTION("""COMPUTED_VALUE"""),"Keenan Allen")</f>
        <v>Keenan Allen</v>
      </c>
      <c r="Z11" s="64" t="str">
        <f ca="1">IFERROR(__xludf.DUMMYFUNCTION("""COMPUTED_VALUE"""),"Matthew Stafford")</f>
        <v>Matthew Stafford</v>
      </c>
      <c r="AA11" s="64"/>
      <c r="AB11" s="64"/>
      <c r="AC11" s="64"/>
      <c r="AD11" s="64"/>
      <c r="AE11" s="64"/>
      <c r="AF11" s="64"/>
      <c r="AG11" s="64"/>
      <c r="AH11" s="64"/>
      <c r="AI11" s="64"/>
      <c r="AJ11" s="64"/>
      <c r="AK11" s="64"/>
      <c r="AL11" s="64"/>
      <c r="AM11" s="64"/>
      <c r="AN11" s="64"/>
      <c r="AO11" s="64"/>
      <c r="AP11" s="64"/>
      <c r="AQ11" s="64"/>
      <c r="AR11" s="64"/>
      <c r="AS11" s="64"/>
      <c r="AT11" s="64"/>
      <c r="AU11" s="64"/>
      <c r="AV11" s="64"/>
      <c r="AW11" s="64"/>
      <c r="AX11" s="64"/>
      <c r="AY11" s="64"/>
      <c r="AZ11" s="64"/>
      <c r="BA11" s="64"/>
      <c r="BB11" s="64"/>
      <c r="BC11" s="64"/>
      <c r="BD11" s="64"/>
      <c r="BE11" s="64"/>
      <c r="BF11" s="64"/>
      <c r="BG11" s="64"/>
      <c r="BH11" s="64"/>
      <c r="BI11" s="64"/>
      <c r="BJ11" s="64"/>
      <c r="BK11" s="64"/>
      <c r="BL11" s="64"/>
      <c r="BM11" s="64"/>
      <c r="BN11" s="64"/>
      <c r="BO11" s="64"/>
      <c r="BP11" s="64"/>
      <c r="BQ11" s="64"/>
      <c r="BR11" s="64"/>
      <c r="BS11" s="64"/>
      <c r="BT11" s="64"/>
      <c r="BU11" s="64"/>
      <c r="BV11" s="64"/>
      <c r="BW11" s="64"/>
      <c r="BX11" s="64"/>
      <c r="BY11" s="64"/>
      <c r="BZ11" s="64"/>
      <c r="CA11" s="64"/>
      <c r="CB11" s="64"/>
      <c r="CC11" s="64"/>
      <c r="CD11" s="64"/>
      <c r="CE11" s="64"/>
      <c r="CF11" s="64"/>
      <c r="CG11" s="64"/>
      <c r="CH11" s="64"/>
      <c r="CI11" s="64"/>
      <c r="CJ11" s="64"/>
      <c r="CK11" s="64"/>
      <c r="CL11" s="64"/>
      <c r="CM11" s="64"/>
      <c r="CN11" s="64"/>
      <c r="CO11" s="64"/>
      <c r="CP11" s="64"/>
      <c r="CQ11" s="64"/>
      <c r="CR11" s="64"/>
      <c r="CS11" s="64"/>
      <c r="CT11" s="64"/>
      <c r="CU11" s="64"/>
      <c r="CV11" s="64"/>
      <c r="CW11" s="64"/>
      <c r="CX11" s="64"/>
      <c r="CY11" s="64"/>
      <c r="CZ11" s="64"/>
      <c r="DA11" s="64"/>
      <c r="DB11" s="64"/>
      <c r="DC11" s="64"/>
      <c r="DD11" s="64"/>
      <c r="DE11" s="64"/>
      <c r="DF11" s="64"/>
      <c r="DG11" s="64"/>
      <c r="DH11" s="64"/>
      <c r="DI11" s="64"/>
      <c r="DJ11" s="64"/>
      <c r="DK11" s="64"/>
      <c r="DL11" s="64"/>
      <c r="DM11" s="64"/>
      <c r="DN11" s="64"/>
      <c r="DO11" s="64"/>
      <c r="DP11" s="64"/>
      <c r="DQ11" s="64"/>
      <c r="DR11" s="64"/>
      <c r="DS11" s="64"/>
      <c r="DT11" s="64"/>
      <c r="DU11" s="64"/>
      <c r="DV11" s="64"/>
      <c r="DW11" s="64"/>
      <c r="DX11" s="64"/>
      <c r="DY11" s="64"/>
      <c r="DZ11" s="64"/>
      <c r="EA11" s="64"/>
      <c r="EB11" s="64"/>
      <c r="EC11" s="64"/>
      <c r="ED11" s="64"/>
    </row>
    <row r="12" spans="1:134" ht="14.4">
      <c r="A12" s="65" t="s">
        <v>277</v>
      </c>
      <c r="B12" s="65" t="s">
        <v>398</v>
      </c>
      <c r="C12" s="65" t="s">
        <v>439</v>
      </c>
      <c r="D12" s="65" t="str">
        <f t="shared" si="0"/>
        <v>WR</v>
      </c>
      <c r="F12" s="66">
        <v>11</v>
      </c>
      <c r="G12" s="66"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H12" s="66" t="str">
        <f ca="1">IFERROR(__xludf.DUMMYFUNCTION("""COMPUTED_VALUE"""),"Will Shipley")</f>
        <v>Will Shipley</v>
      </c>
      <c r="I12" s="66" t="str">
        <f ca="1">IFERROR(__xludf.DUMMYFUNCTION("""COMPUTED_VALUE"""),"Mason Taylor")</f>
        <v>Mason Taylor</v>
      </c>
      <c r="J12" s="66" t="str">
        <f ca="1">IFERROR(__xludf.DUMMYFUNCTION("""COMPUTED_VALUE"""),"Pat Freiermuth")</f>
        <v>Pat Freiermuth</v>
      </c>
      <c r="K12" s="66" t="str">
        <f ca="1">IFERROR(__xludf.DUMMYFUNCTION("""COMPUTED_VALUE"""),"Chris Rodriguez Jr.")</f>
        <v>Chris Rodriguez Jr.</v>
      </c>
      <c r="L12" s="66" t="str">
        <f ca="1">IFERROR(__xludf.DUMMYFUNCTION("""COMPUTED_VALUE"""),"Jalen McMillan")</f>
        <v>Jalen McMillan</v>
      </c>
      <c r="M12" s="66" t="str">
        <f ca="1">IFERROR(__xludf.DUMMYFUNCTION("""COMPUTED_VALUE"""),"Washington Commanders")</f>
        <v>Washington Commanders</v>
      </c>
      <c r="N12" s="66" t="str">
        <f ca="1">IFERROR(__xludf.DUMMYFUNCTION("""COMPUTED_VALUE"""),"Shedeur Sanders")</f>
        <v>Shedeur Sanders</v>
      </c>
      <c r="O12" s="66" t="str">
        <f ca="1">IFERROR(__xludf.DUMMYFUNCTION("""COMPUTED_VALUE"""),"Jack Bech")</f>
        <v>Jack Bech</v>
      </c>
      <c r="P12" s="66" t="str">
        <f ca="1">IFERROR(__xludf.DUMMYFUNCTION("""COMPUTED_VALUE"""),"Isaiah Likely")</f>
        <v>Isaiah Likely</v>
      </c>
      <c r="Q12" s="66" t="str">
        <f ca="1">IFERROR(__xludf.DUMMYFUNCTION("""COMPUTED_VALUE"""),"Justice Hill")</f>
        <v>Justice Hill</v>
      </c>
      <c r="R12" s="66" t="str">
        <f ca="1">IFERROR(__xludf.DUMMYFUNCTION("""COMPUTED_VALUE"""),"Michael Wilson")</f>
        <v>Michael Wilson</v>
      </c>
      <c r="S12" s="66" t="str">
        <f ca="1">IFERROR(__xludf.DUMMYFUNCTION("""COMPUTED_VALUE"""),"Jake Bates")</f>
        <v>Jake Bates</v>
      </c>
      <c r="T12" s="66" t="str">
        <f ca="1">IFERROR(__xludf.DUMMYFUNCTION("""COMPUTED_VALUE"""),"Cade Otton")</f>
        <v>Cade Otton</v>
      </c>
      <c r="U12" s="66" t="str">
        <f ca="1">IFERROR(__xludf.DUMMYFUNCTION("""COMPUTED_VALUE"""),"Amari Cooper")</f>
        <v>Amari Cooper</v>
      </c>
      <c r="V12" s="66" t="str">
        <f ca="1">IFERROR(__xludf.DUMMYFUNCTION("""COMPUTED_VALUE"""),"Detroit Lions")</f>
        <v>Detroit Lions</v>
      </c>
      <c r="W12" s="66" t="str">
        <f ca="1">IFERROR(__xludf.DUMMYFUNCTION("""COMPUTED_VALUE"""),"Darren Waller")</f>
        <v>Darren Waller</v>
      </c>
      <c r="X12" s="66" t="str">
        <f ca="1">IFERROR(__xludf.DUMMYFUNCTION("""COMPUTED_VALUE"""),"Buffalo Bills")</f>
        <v>Buffalo Bills</v>
      </c>
      <c r="Y12" s="66" t="str">
        <f ca="1">IFERROR(__xludf.DUMMYFUNCTION("""COMPUTED_VALUE"""),"Keaton Mitchell")</f>
        <v>Keaton Mitchell</v>
      </c>
      <c r="Z12" s="64" t="str">
        <f ca="1">IFERROR(__xludf.DUMMYFUNCTION("""COMPUTED_VALUE"""),"Dalton Schultz")</f>
        <v>Dalton Schultz</v>
      </c>
      <c r="AA12" s="64"/>
      <c r="AB12" s="64"/>
      <c r="AC12" s="64"/>
      <c r="AD12" s="64"/>
      <c r="AE12" s="64"/>
      <c r="AF12" s="64"/>
      <c r="AG12" s="64"/>
      <c r="AH12" s="64"/>
      <c r="AI12" s="64"/>
      <c r="AJ12" s="64"/>
      <c r="AK12" s="64"/>
      <c r="AL12" s="64"/>
      <c r="AM12" s="64"/>
      <c r="AN12" s="64"/>
      <c r="AO12" s="64"/>
      <c r="AP12" s="64"/>
      <c r="AQ12" s="64"/>
      <c r="AR12" s="64"/>
      <c r="AS12" s="64"/>
      <c r="AT12" s="64"/>
      <c r="AU12" s="64"/>
      <c r="AV12" s="64"/>
      <c r="AW12" s="64"/>
      <c r="AX12" s="64"/>
      <c r="AY12" s="64"/>
      <c r="AZ12" s="64"/>
      <c r="BA12" s="64"/>
      <c r="BB12" s="64"/>
      <c r="BC12" s="64"/>
      <c r="BD12" s="64"/>
      <c r="BE12" s="64"/>
      <c r="BF12" s="64"/>
      <c r="BG12" s="64"/>
      <c r="BH12" s="64"/>
      <c r="BI12" s="64"/>
      <c r="BJ12" s="64"/>
      <c r="BK12" s="64"/>
      <c r="BL12" s="64"/>
      <c r="BM12" s="64"/>
      <c r="BN12" s="64"/>
      <c r="BO12" s="64"/>
      <c r="BP12" s="64"/>
      <c r="BQ12" s="64"/>
      <c r="BR12" s="64"/>
      <c r="BS12" s="64"/>
      <c r="BT12" s="64"/>
      <c r="BU12" s="64"/>
      <c r="BV12" s="64"/>
      <c r="BW12" s="64"/>
      <c r="BX12" s="64"/>
      <c r="BY12" s="64"/>
      <c r="BZ12" s="64"/>
      <c r="CA12" s="64"/>
      <c r="CB12" s="64"/>
      <c r="CC12" s="64"/>
      <c r="CD12" s="64"/>
      <c r="CE12" s="64"/>
      <c r="CF12" s="64"/>
      <c r="CG12" s="64"/>
      <c r="CH12" s="64"/>
      <c r="CI12" s="64"/>
      <c r="CJ12" s="64"/>
      <c r="CK12" s="64"/>
      <c r="CL12" s="64"/>
      <c r="CM12" s="64"/>
      <c r="CN12" s="64"/>
      <c r="CO12" s="64"/>
      <c r="CP12" s="64"/>
      <c r="CQ12" s="64"/>
      <c r="CR12" s="64"/>
      <c r="CS12" s="64"/>
      <c r="CT12" s="64"/>
      <c r="CU12" s="64"/>
      <c r="CV12" s="64"/>
      <c r="CW12" s="64"/>
      <c r="CX12" s="64"/>
      <c r="CY12" s="64"/>
      <c r="CZ12" s="64"/>
      <c r="DA12" s="64"/>
      <c r="DB12" s="64"/>
      <c r="DC12" s="64"/>
      <c r="DD12" s="64"/>
      <c r="DE12" s="64"/>
      <c r="DF12" s="64"/>
      <c r="DG12" s="64"/>
      <c r="DH12" s="64"/>
      <c r="DI12" s="64"/>
      <c r="DJ12" s="64"/>
      <c r="DK12" s="64"/>
      <c r="DL12" s="64"/>
      <c r="DM12" s="64"/>
      <c r="DN12" s="64"/>
      <c r="DO12" s="64"/>
      <c r="DP12" s="64"/>
      <c r="DQ12" s="64"/>
      <c r="DR12" s="64"/>
      <c r="DS12" s="64"/>
      <c r="DT12" s="64"/>
      <c r="DU12" s="64"/>
      <c r="DV12" s="64"/>
      <c r="DW12" s="64"/>
      <c r="DX12" s="64"/>
      <c r="DY12" s="64"/>
      <c r="DZ12" s="64"/>
      <c r="EA12" s="64"/>
      <c r="EB12" s="64"/>
      <c r="EC12" s="64"/>
      <c r="ED12" s="64"/>
    </row>
    <row r="13" spans="1:134" ht="14.4">
      <c r="A13" s="65" t="s">
        <v>440</v>
      </c>
      <c r="B13" s="65" t="s">
        <v>409</v>
      </c>
      <c r="C13" s="65" t="s">
        <v>441</v>
      </c>
      <c r="D13" s="65" t="str">
        <f t="shared" si="0"/>
        <v>WR</v>
      </c>
      <c r="F13" s="66">
        <v>12</v>
      </c>
      <c r="G13" s="66"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H13" s="66" t="str">
        <f ca="1">IFERROR(__xludf.DUMMYFUNCTION("""COMPUTED_VALUE"""),"Antonio Gibson")</f>
        <v>Antonio Gibson</v>
      </c>
      <c r="I13" s="66" t="str">
        <f ca="1">IFERROR(__xludf.DUMMYFUNCTION("""COMPUTED_VALUE"""),"Los Angeles Chargers")</f>
        <v>Los Angeles Chargers</v>
      </c>
      <c r="J13" s="66" t="str">
        <f ca="1">IFERROR(__xludf.DUMMYFUNCTION("""COMPUTED_VALUE"""),"Tahj Brooks")</f>
        <v>Tahj Brooks</v>
      </c>
      <c r="K13" s="66" t="str">
        <f ca="1">IFERROR(__xludf.DUMMYFUNCTION("""COMPUTED_VALUE"""),"Jalen Coker")</f>
        <v>Jalen Coker</v>
      </c>
      <c r="L13" s="66" t="str">
        <f ca="1">IFERROR(__xludf.DUMMYFUNCTION("""COMPUTED_VALUE"""),"Kendre Miller")</f>
        <v>Kendre Miller</v>
      </c>
      <c r="M13" s="66" t="str">
        <f ca="1">IFERROR(__xludf.DUMMYFUNCTION("""COMPUTED_VALUE"""),"Brandin Cooks")</f>
        <v>Brandin Cooks</v>
      </c>
      <c r="N13" s="66" t="str">
        <f ca="1">IFERROR(__xludf.DUMMYFUNCTION("""COMPUTED_VALUE"""),"Ka'imi Fairbairn")</f>
        <v>Ka'imi Fairbairn</v>
      </c>
      <c r="O13" s="66" t="str">
        <f ca="1">IFERROR(__xludf.DUMMYFUNCTION("""COMPUTED_VALUE"""),"Cade Stover")</f>
        <v>Cade Stover</v>
      </c>
      <c r="P13" s="66" t="str">
        <f ca="1">IFERROR(__xludf.DUMMYFUNCTION("""COMPUTED_VALUE"""),"Kyle Monangai")</f>
        <v>Kyle Monangai</v>
      </c>
      <c r="Q13" s="66" t="str">
        <f ca="1">IFERROR(__xludf.DUMMYFUNCTION("""COMPUTED_VALUE"""),"DeAndre Hopkins")</f>
        <v>DeAndre Hopkins</v>
      </c>
      <c r="R13" s="66" t="str">
        <f ca="1">IFERROR(__xludf.DUMMYFUNCTION("""COMPUTED_VALUE"""),"Ja'Tavion Sanders")</f>
        <v>Ja'Tavion Sanders</v>
      </c>
      <c r="S13" s="66" t="str">
        <f ca="1">IFERROR(__xludf.DUMMYFUNCTION("""COMPUTED_VALUE"""),"Jalen Milroe")</f>
        <v>Jalen Milroe</v>
      </c>
      <c r="T13" s="66" t="str">
        <f ca="1">IFERROR(__xludf.DUMMYFUNCTION("""COMPUTED_VALUE"""),"Jason Sanders")</f>
        <v>Jason Sanders</v>
      </c>
      <c r="U13" s="66" t="str">
        <f ca="1">IFERROR(__xludf.DUMMYFUNCTION("""COMPUTED_VALUE"""),"Green Bay Packers")</f>
        <v>Green Bay Packers</v>
      </c>
      <c r="V13" s="66" t="str">
        <f ca="1">IFERROR(__xludf.DUMMYFUNCTION("""COMPUTED_VALUE"""),"Spencer Rattler")</f>
        <v>Spencer Rattler</v>
      </c>
      <c r="W13" s="66" t="str">
        <f ca="1">IFERROR(__xludf.DUMMYFUNCTION("""COMPUTED_VALUE"""),"Ollie Gordon II")</f>
        <v>Ollie Gordon II</v>
      </c>
      <c r="X13" s="66" t="str">
        <f ca="1">IFERROR(__xludf.DUMMYFUNCTION("""COMPUTED_VALUE"""),"Chase McLaughlin")</f>
        <v>Chase McLaughlin</v>
      </c>
      <c r="Y13" s="66" t="str">
        <f ca="1">IFERROR(__xludf.DUMMYFUNCTION("""COMPUTED_VALUE"""),"Los Angeles Rams")</f>
        <v>Los Angeles Rams</v>
      </c>
      <c r="Z13" s="64" t="str">
        <f ca="1">IFERROR(__xludf.DUMMYFUNCTION("""COMPUTED_VALUE"""),"Wil Lutz")</f>
        <v>Wil Lutz</v>
      </c>
      <c r="AA13" s="64"/>
      <c r="AB13" s="64"/>
      <c r="AC13" s="64"/>
      <c r="AD13" s="64"/>
      <c r="AE13" s="64"/>
      <c r="AF13" s="64"/>
      <c r="AG13" s="64"/>
      <c r="AH13" s="64"/>
      <c r="AI13" s="64"/>
      <c r="AJ13" s="64"/>
      <c r="AK13" s="64"/>
      <c r="AL13" s="64"/>
      <c r="AM13" s="64"/>
      <c r="AN13" s="64"/>
      <c r="AO13" s="64"/>
      <c r="AP13" s="64"/>
      <c r="AQ13" s="64"/>
      <c r="AR13" s="64"/>
      <c r="AS13" s="64"/>
      <c r="AT13" s="64"/>
      <c r="AU13" s="64"/>
      <c r="AV13" s="64"/>
      <c r="AW13" s="64"/>
      <c r="AX13" s="64"/>
      <c r="AY13" s="64"/>
      <c r="AZ13" s="64"/>
      <c r="BA13" s="64"/>
      <c r="BB13" s="64"/>
      <c r="BC13" s="64"/>
      <c r="BD13" s="64"/>
      <c r="BE13" s="64"/>
      <c r="BF13" s="64"/>
      <c r="BG13" s="64"/>
      <c r="BH13" s="64"/>
      <c r="BI13" s="64"/>
      <c r="BJ13" s="64"/>
      <c r="BK13" s="64"/>
      <c r="BL13" s="64"/>
      <c r="BM13" s="64"/>
      <c r="BN13" s="64"/>
      <c r="BO13" s="64"/>
      <c r="BP13" s="64"/>
      <c r="BQ13" s="64"/>
      <c r="BR13" s="64"/>
      <c r="BS13" s="64"/>
      <c r="BT13" s="64"/>
      <c r="BU13" s="64"/>
      <c r="BV13" s="64"/>
      <c r="BW13" s="64"/>
      <c r="BX13" s="64"/>
      <c r="BY13" s="64"/>
      <c r="BZ13" s="64"/>
      <c r="CA13" s="64"/>
      <c r="CB13" s="64"/>
      <c r="CC13" s="64"/>
      <c r="CD13" s="64"/>
      <c r="CE13" s="64"/>
      <c r="CF13" s="64"/>
      <c r="CG13" s="64"/>
      <c r="CH13" s="64"/>
      <c r="CI13" s="64"/>
      <c r="CJ13" s="64"/>
      <c r="CK13" s="64"/>
      <c r="CL13" s="64"/>
      <c r="CM13" s="64"/>
      <c r="CN13" s="64"/>
      <c r="CO13" s="64"/>
      <c r="CP13" s="64"/>
      <c r="CQ13" s="64"/>
      <c r="CR13" s="64"/>
      <c r="CS13" s="64"/>
      <c r="CT13" s="64"/>
      <c r="CU13" s="64"/>
      <c r="CV13" s="64"/>
      <c r="CW13" s="64"/>
      <c r="CX13" s="64"/>
      <c r="CY13" s="64"/>
      <c r="CZ13" s="64"/>
      <c r="DA13" s="64"/>
      <c r="DB13" s="64"/>
      <c r="DC13" s="64"/>
      <c r="DD13" s="64"/>
      <c r="DE13" s="64"/>
      <c r="DF13" s="64"/>
      <c r="DG13" s="64"/>
      <c r="DH13" s="64"/>
      <c r="DI13" s="64"/>
      <c r="DJ13" s="64"/>
      <c r="DK13" s="64"/>
      <c r="DL13" s="64"/>
      <c r="DM13" s="64"/>
      <c r="DN13" s="64"/>
      <c r="DO13" s="64"/>
      <c r="DP13" s="64"/>
      <c r="DQ13" s="64"/>
      <c r="DR13" s="64"/>
      <c r="DS13" s="64"/>
      <c r="DT13" s="64"/>
      <c r="DU13" s="64"/>
      <c r="DV13" s="64"/>
      <c r="DW13" s="64"/>
      <c r="DX13" s="64"/>
      <c r="DY13" s="64"/>
      <c r="DZ13" s="64"/>
      <c r="EA13" s="64"/>
      <c r="EB13" s="64"/>
      <c r="EC13" s="64"/>
      <c r="ED13" s="64"/>
    </row>
    <row r="14" spans="1:134" ht="14.4">
      <c r="A14" s="65" t="s">
        <v>56</v>
      </c>
      <c r="B14" s="65" t="s">
        <v>407</v>
      </c>
      <c r="C14" s="65" t="s">
        <v>442</v>
      </c>
      <c r="D14" s="65" t="str">
        <f t="shared" si="0"/>
        <v>RB</v>
      </c>
      <c r="F14" s="66">
        <v>13</v>
      </c>
      <c r="G14" s="1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H14" s="66" t="str">
        <f ca="1">IFERROR(__xludf.DUMMYFUNCTION("""COMPUTED_VALUE"""),"Dallas Cowboys")</f>
        <v>Dallas Cowboys</v>
      </c>
      <c r="I14" s="66" t="str">
        <f ca="1">IFERROR(__xludf.DUMMYFUNCTION("""COMPUTED_VALUE"""),"Alec Pierce")</f>
        <v>Alec Pierce</v>
      </c>
      <c r="J14" s="66" t="str">
        <f ca="1">IFERROR(__xludf.DUMMYFUNCTION("""COMPUTED_VALUE"""),"Darius Slayton")</f>
        <v>Darius Slayton</v>
      </c>
      <c r="K14" s="66" t="str">
        <f ca="1">IFERROR(__xludf.DUMMYFUNCTION("""COMPUTED_VALUE"""),"Adonai Mitchell")</f>
        <v>Adonai Mitchell</v>
      </c>
      <c r="L14" s="66" t="str">
        <f ca="1">IFERROR(__xludf.DUMMYFUNCTION("""COMPUTED_VALUE"""),"Juwan Johnson")</f>
        <v>Juwan Johnson</v>
      </c>
      <c r="M14" s="66" t="str">
        <f ca="1">IFERROR(__xludf.DUMMYFUNCTION("""COMPUTED_VALUE"""),"Cole Kmet")</f>
        <v>Cole Kmet</v>
      </c>
      <c r="N14" s="66" t="str">
        <f ca="1">IFERROR(__xludf.DUMMYFUNCTION("""COMPUTED_VALUE"""),"Jaleel McLaughlin")</f>
        <v>Jaleel McLaughlin</v>
      </c>
      <c r="O14" s="66" t="str">
        <f ca="1">IFERROR(__xludf.DUMMYFUNCTION("""COMPUTED_VALUE"""),"Gardner Minshew II")</f>
        <v>Gardner Minshew II</v>
      </c>
      <c r="P14" s="66" t="str">
        <f ca="1">IFERROR(__xludf.DUMMYFUNCTION("""COMPUTED_VALUE"""),"Elic Ayomanor")</f>
        <v>Elic Ayomanor</v>
      </c>
      <c r="Q14" s="66" t="str">
        <f ca="1">IFERROR(__xludf.DUMMYFUNCTION("""COMPUTED_VALUE"""),"Jameis Winston")</f>
        <v>Jameis Winston</v>
      </c>
      <c r="R14" s="66" t="str">
        <f ca="1">IFERROR(__xludf.DUMMYFUNCTION("""COMPUTED_VALUE"""),"Chris Boswell")</f>
        <v>Chris Boswell</v>
      </c>
      <c r="S14" s="66" t="str">
        <f ca="1">IFERROR(__xludf.DUMMYFUNCTION("""COMPUTED_VALUE"""),"San Francisco 49ers")</f>
        <v>San Francisco 49ers</v>
      </c>
      <c r="T14" s="66" t="str">
        <f ca="1">IFERROR(__xludf.DUMMYFUNCTION("""COMPUTED_VALUE"""),"Arizona Cardinals")</f>
        <v>Arizona Cardinals</v>
      </c>
      <c r="U14" s="66" t="str">
        <f ca="1">IFERROR(__xludf.DUMMYFUNCTION("""COMPUTED_VALUE"""),"Jarquez Hunter")</f>
        <v>Jarquez Hunter</v>
      </c>
      <c r="V14" s="66" t="str">
        <f ca="1">IFERROR(__xludf.DUMMYFUNCTION("""COMPUTED_VALUE"""),"Younghoe Koo")</f>
        <v>Younghoe Koo</v>
      </c>
      <c r="W14" s="66" t="str">
        <f ca="1">IFERROR(__xludf.DUMMYFUNCTION("""COMPUTED_VALUE"""),"Tampa Bay Buccaneers")</f>
        <v>Tampa Bay Buccaneers</v>
      </c>
      <c r="X14" s="66" t="str">
        <f ca="1">IFERROR(__xludf.DUMMYFUNCTION("""COMPUTED_VALUE"""),"Noah Gray")</f>
        <v>Noah Gray</v>
      </c>
      <c r="Y14" s="66" t="str">
        <f ca="1">IFERROR(__xludf.DUMMYFUNCTION("""COMPUTED_VALUE"""),"Tyler Lockett")</f>
        <v>Tyler Lockett</v>
      </c>
      <c r="Z14" s="64" t="str">
        <f ca="1">IFERROR(__xludf.DUMMYFUNCTION("""COMPUTED_VALUE"""),"Dontayvion Wicks")</f>
        <v>Dontayvion Wicks</v>
      </c>
      <c r="AA14" s="64"/>
      <c r="AB14" s="64"/>
      <c r="AC14" s="64"/>
      <c r="AD14" s="64"/>
      <c r="AE14" s="64"/>
      <c r="AF14" s="64"/>
      <c r="AG14" s="64"/>
      <c r="AH14" s="64"/>
      <c r="AI14" s="64"/>
      <c r="AJ14" s="64"/>
      <c r="AK14" s="64"/>
      <c r="AL14" s="64"/>
      <c r="AM14" s="64"/>
      <c r="AN14" s="64"/>
      <c r="AO14" s="64"/>
      <c r="AP14" s="64"/>
      <c r="AQ14" s="64"/>
      <c r="AR14" s="64"/>
      <c r="AS14" s="64"/>
      <c r="AT14" s="64"/>
      <c r="AU14" s="64"/>
      <c r="AV14" s="64"/>
      <c r="AW14" s="64"/>
      <c r="AX14" s="64"/>
      <c r="AY14" s="64"/>
      <c r="AZ14" s="64"/>
      <c r="BA14" s="64"/>
      <c r="BB14" s="64"/>
      <c r="BC14" s="64"/>
      <c r="BD14" s="64"/>
      <c r="BE14" s="64"/>
      <c r="BF14" s="64"/>
      <c r="BG14" s="64"/>
      <c r="BH14" s="64"/>
      <c r="BI14" s="64"/>
      <c r="BJ14" s="64"/>
      <c r="BK14" s="64"/>
      <c r="BL14" s="64"/>
      <c r="BM14" s="64"/>
      <c r="BN14" s="64"/>
      <c r="BO14" s="64"/>
      <c r="BP14" s="64"/>
      <c r="BQ14" s="64"/>
      <c r="BR14" s="64"/>
      <c r="BS14" s="64"/>
      <c r="BT14" s="64"/>
      <c r="BU14" s="64"/>
      <c r="BV14" s="64"/>
      <c r="BW14" s="64"/>
      <c r="BX14" s="64"/>
      <c r="BY14" s="64"/>
      <c r="BZ14" s="64"/>
      <c r="CA14" s="64"/>
      <c r="CB14" s="64"/>
      <c r="CC14" s="64"/>
      <c r="CD14" s="64"/>
      <c r="CE14" s="64"/>
      <c r="CF14" s="64"/>
      <c r="CG14" s="64"/>
      <c r="CH14" s="64"/>
      <c r="CI14" s="64"/>
      <c r="CJ14" s="64"/>
      <c r="CK14" s="64"/>
      <c r="CL14" s="64"/>
      <c r="CM14" s="64"/>
      <c r="CN14" s="64"/>
      <c r="CO14" s="64"/>
      <c r="CP14" s="64"/>
      <c r="CQ14" s="64"/>
      <c r="CR14" s="64"/>
      <c r="CS14" s="64"/>
      <c r="CT14" s="64"/>
      <c r="CU14" s="64"/>
      <c r="CV14" s="64"/>
      <c r="CW14" s="64"/>
      <c r="CX14" s="64"/>
      <c r="CY14" s="64"/>
      <c r="CZ14" s="64"/>
      <c r="DA14" s="64"/>
      <c r="DB14" s="64"/>
      <c r="DC14" s="64"/>
      <c r="DD14" s="64"/>
      <c r="DE14" s="64"/>
      <c r="DF14" s="64"/>
      <c r="DG14" s="64"/>
      <c r="DH14" s="64"/>
      <c r="DI14" s="64"/>
      <c r="DJ14" s="64"/>
      <c r="DK14" s="64"/>
      <c r="DL14" s="64"/>
      <c r="DM14" s="64"/>
      <c r="DN14" s="64"/>
      <c r="DO14" s="64"/>
      <c r="DP14" s="64"/>
      <c r="DQ14" s="64"/>
      <c r="DR14" s="64"/>
      <c r="DS14" s="64"/>
      <c r="DT14" s="64"/>
      <c r="DU14" s="64"/>
      <c r="DV14" s="64"/>
      <c r="DW14" s="64"/>
      <c r="DX14" s="64"/>
      <c r="DY14" s="64"/>
      <c r="DZ14" s="64"/>
      <c r="EA14" s="64"/>
      <c r="EB14" s="64"/>
      <c r="EC14" s="64"/>
      <c r="ED14" s="64"/>
    </row>
    <row r="15" spans="1:134" ht="14.4">
      <c r="A15" s="65" t="s">
        <v>247</v>
      </c>
      <c r="B15" s="65" t="s">
        <v>417</v>
      </c>
      <c r="C15" s="65" t="s">
        <v>443</v>
      </c>
      <c r="D15" s="65" t="str">
        <f t="shared" si="0"/>
        <v>WR</v>
      </c>
      <c r="F15" s="66">
        <v>14</v>
      </c>
      <c r="G15" s="66"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H15" s="66" t="str">
        <f ca="1">IFERROR(__xludf.DUMMYFUNCTION("""COMPUTED_VALUE"""),"Jake Elliott")</f>
        <v>Jake Elliott</v>
      </c>
      <c r="I15" s="66" t="str">
        <f ca="1">IFERROR(__xludf.DUMMYFUNCTION("""COMPUTED_VALUE"""),"Chicago Bears")</f>
        <v>Chicago Bears</v>
      </c>
      <c r="J15" s="66" t="str">
        <f ca="1">IFERROR(__xludf.DUMMYFUNCTION("""COMPUTED_VALUE"""),"Dyami Brown")</f>
        <v>Dyami Brown</v>
      </c>
      <c r="K15" s="67" t="str">
        <f ca="1">IFERROR(__xludf.DUMMYFUNCTION("""COMPUTED_VALUE"""),"Tyler Bass")</f>
        <v>Tyler Bass</v>
      </c>
      <c r="L15" s="66" t="str">
        <f ca="1">IFERROR(__xludf.DUMMYFUNCTION("""COMPUTED_VALUE"""),"New York Jets")</f>
        <v>New York Jets</v>
      </c>
      <c r="M15" s="66" t="str">
        <f ca="1">IFERROR(__xludf.DUMMYFUNCTION("""COMPUTED_VALUE"""),"Dameon Pierce")</f>
        <v>Dameon Pierce</v>
      </c>
      <c r="N15" s="66" t="str">
        <f ca="1">IFERROR(__xludf.DUMMYFUNCTION("""COMPUTED_VALUE"""),"Pat Bryant")</f>
        <v>Pat Bryant</v>
      </c>
      <c r="O15" s="66" t="str">
        <f ca="1">IFERROR(__xludf.DUMMYFUNCTION("""COMPUTED_VALUE"""),"Tyler Loop")</f>
        <v>Tyler Loop</v>
      </c>
      <c r="P15" s="66" t="str">
        <f ca="1">IFERROR(__xludf.DUMMYFUNCTION("""COMPUTED_VALUE"""),"Jalen Royals")</f>
        <v>Jalen Royals</v>
      </c>
      <c r="Q15" s="66" t="str">
        <f ca="1">IFERROR(__xludf.DUMMYFUNCTION("""COMPUTED_VALUE"""),"Devin Neal")</f>
        <v>Devin Neal</v>
      </c>
      <c r="R15" s="66" t="str">
        <f ca="1">IFERROR(__xludf.DUMMYFUNCTION("""COMPUTED_VALUE"""),"Noah Fant")</f>
        <v>Noah Fant</v>
      </c>
      <c r="S15" s="66" t="str">
        <f ca="1">IFERROR(__xludf.DUMMYFUNCTION("""COMPUTED_VALUE"""),"Calvin Austin III")</f>
        <v>Calvin Austin III</v>
      </c>
      <c r="T15" s="66" t="str">
        <f ca="1">IFERROR(__xludf.DUMMYFUNCTION("""COMPUTED_VALUE"""),"Matt Gay")</f>
        <v>Matt Gay</v>
      </c>
      <c r="U15" s="66" t="str">
        <f ca="1">IFERROR(__xludf.DUMMYFUNCTION("""COMPUTED_VALUE"""),"Evan McPherson")</f>
        <v>Evan McPherson</v>
      </c>
      <c r="V15" s="66" t="str">
        <f ca="1">IFERROR(__xludf.DUMMYFUNCTION("""COMPUTED_VALUE"""),"Andrei Iosivas")</f>
        <v>Andrei Iosivas</v>
      </c>
      <c r="W15" s="66" t="str">
        <f ca="1">IFERROR(__xludf.DUMMYFUNCTION("""COMPUTED_VALUE"""),"Jaylin Noel")</f>
        <v>Jaylin Noel</v>
      </c>
      <c r="X15" s="66" t="str">
        <f ca="1">IFERROR(__xludf.DUMMYFUNCTION("""COMPUTED_VALUE"""),"Raheem Mostert")</f>
        <v>Raheem Mostert</v>
      </c>
      <c r="Y15" s="66" t="str">
        <f ca="1">IFERROR(__xludf.DUMMYFUNCTION("""COMPUTED_VALUE"""),"Harrison Butker")</f>
        <v>Harrison Butker</v>
      </c>
      <c r="Z15" s="64" t="str">
        <f ca="1">IFERROR(__xludf.DUMMYFUNCTION("""COMPUTED_VALUE"""),"Brashard Smith")</f>
        <v>Brashard Smith</v>
      </c>
      <c r="AA15" s="64"/>
      <c r="AB15" s="64"/>
      <c r="AC15" s="64"/>
      <c r="AD15" s="64"/>
      <c r="AE15" s="64"/>
      <c r="AF15" s="64"/>
      <c r="AG15" s="64"/>
      <c r="AH15" s="64"/>
      <c r="AI15" s="64"/>
      <c r="AJ15" s="64"/>
      <c r="AK15" s="64"/>
      <c r="AL15" s="64"/>
      <c r="AM15" s="64"/>
      <c r="AN15" s="64"/>
      <c r="AO15" s="64"/>
      <c r="AP15" s="64"/>
      <c r="AQ15" s="64"/>
      <c r="AR15" s="64"/>
      <c r="AS15" s="64"/>
      <c r="AT15" s="64"/>
      <c r="AU15" s="64"/>
      <c r="AV15" s="64"/>
      <c r="AW15" s="64"/>
      <c r="AX15" s="64"/>
      <c r="AY15" s="64"/>
      <c r="AZ15" s="64"/>
      <c r="BA15" s="64"/>
      <c r="BB15" s="64"/>
      <c r="BC15" s="64"/>
      <c r="BD15" s="64"/>
      <c r="BE15" s="64"/>
      <c r="BF15" s="64"/>
      <c r="BG15" s="64"/>
      <c r="BH15" s="64"/>
      <c r="BI15" s="64"/>
      <c r="BJ15" s="64"/>
      <c r="BK15" s="64"/>
      <c r="BL15" s="64"/>
      <c r="BM15" s="64"/>
      <c r="BN15" s="64"/>
      <c r="BO15" s="64"/>
      <c r="BP15" s="64"/>
      <c r="BQ15" s="64"/>
      <c r="BR15" s="64"/>
      <c r="BS15" s="64"/>
      <c r="BT15" s="64"/>
      <c r="BU15" s="64"/>
      <c r="BV15" s="64"/>
      <c r="BW15" s="64"/>
      <c r="BX15" s="64"/>
      <c r="BY15" s="64"/>
      <c r="BZ15" s="64"/>
      <c r="CA15" s="64"/>
      <c r="CB15" s="64"/>
      <c r="CC15" s="64"/>
      <c r="CD15" s="64"/>
      <c r="CE15" s="64"/>
      <c r="CF15" s="64"/>
      <c r="CG15" s="64"/>
      <c r="CH15" s="64"/>
      <c r="CI15" s="64"/>
      <c r="CJ15" s="64"/>
      <c r="CK15" s="64"/>
      <c r="CL15" s="64"/>
      <c r="CM15" s="64"/>
      <c r="CN15" s="64"/>
      <c r="CO15" s="64"/>
      <c r="CP15" s="64"/>
      <c r="CQ15" s="64"/>
      <c r="CR15" s="64"/>
      <c r="CS15" s="64"/>
      <c r="CT15" s="64"/>
      <c r="CU15" s="64"/>
      <c r="CV15" s="64"/>
      <c r="CW15" s="64"/>
      <c r="CX15" s="64"/>
      <c r="CY15" s="64"/>
      <c r="CZ15" s="64"/>
      <c r="DA15" s="64"/>
      <c r="DB15" s="64"/>
      <c r="DC15" s="64"/>
      <c r="DD15" s="64"/>
      <c r="DE15" s="64"/>
      <c r="DF15" s="64"/>
      <c r="DG15" s="64"/>
      <c r="DH15" s="64"/>
      <c r="DI15" s="64"/>
      <c r="DJ15" s="64"/>
      <c r="DK15" s="64"/>
      <c r="DL15" s="64"/>
      <c r="DM15" s="64"/>
      <c r="DN15" s="64"/>
      <c r="DO15" s="64"/>
      <c r="DP15" s="64"/>
      <c r="DQ15" s="64"/>
      <c r="DR15" s="64"/>
      <c r="DS15" s="64"/>
      <c r="DT15" s="64"/>
      <c r="DU15" s="64"/>
      <c r="DV15" s="64"/>
      <c r="DW15" s="64"/>
      <c r="DX15" s="64"/>
      <c r="DY15" s="64"/>
      <c r="DZ15" s="64"/>
      <c r="EA15" s="64"/>
      <c r="EB15" s="64"/>
      <c r="EC15" s="64"/>
      <c r="ED15" s="64"/>
    </row>
    <row r="16" spans="1:134" ht="14.4">
      <c r="A16" s="65" t="s">
        <v>33</v>
      </c>
      <c r="B16" s="65" t="s">
        <v>395</v>
      </c>
      <c r="C16" s="65" t="s">
        <v>444</v>
      </c>
      <c r="D16" s="65" t="str">
        <f t="shared" si="0"/>
        <v>WR</v>
      </c>
      <c r="F16" s="66">
        <v>15</v>
      </c>
      <c r="G16" s="66"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H16" s="66" t="str">
        <f ca="1">IFERROR(__xludf.DUMMYFUNCTION("""COMPUTED_VALUE"""),"Jalen Nailor")</f>
        <v>Jalen Nailor</v>
      </c>
      <c r="I16" s="66" t="str">
        <f ca="1">IFERROR(__xludf.DUMMYFUNCTION("""COMPUTED_VALUE"""),"Will Reichard")</f>
        <v>Will Reichard</v>
      </c>
      <c r="J16" s="66" t="str">
        <f ca="1">IFERROR(__xludf.DUMMYFUNCTION("""COMPUTED_VALUE"""),"Joshua Karty")</f>
        <v>Joshua Karty</v>
      </c>
      <c r="K16" s="66" t="str">
        <f ca="1">IFERROR(__xludf.DUMMYFUNCTION("""COMPUTED_VALUE"""),"New England Patriots")</f>
        <v>New England Patriots</v>
      </c>
      <c r="L16" s="66" t="str">
        <f ca="1">IFERROR(__xludf.DUMMYFUNCTION("""COMPUTED_VALUE"""),"Daniel Carlson")</f>
        <v>Daniel Carlson</v>
      </c>
      <c r="M16" s="66" t="str">
        <f ca="1">IFERROR(__xludf.DUMMYFUNCTION("""COMPUTED_VALUE"""),"Cairo Santos")</f>
        <v>Cairo Santos</v>
      </c>
      <c r="N16" s="66" t="str">
        <f ca="1">IFERROR(__xludf.DUMMYFUNCTION("""COMPUTED_VALUE"""),"Elijah Mitchell")</f>
        <v>Elijah Mitchell</v>
      </c>
      <c r="O16" s="66" t="str">
        <f ca="1">IFERROR(__xludf.DUMMYFUNCTION("""COMPUTED_VALUE"""),"Atlanta Falcons")</f>
        <v>Atlanta Falcons</v>
      </c>
      <c r="P16" s="66" t="str">
        <f ca="1">IFERROR(__xludf.DUMMYFUNCTION("""COMPUTED_VALUE"""),"Brandon McManus")</f>
        <v>Brandon McManus</v>
      </c>
      <c r="Q16" s="66" t="str">
        <f ca="1">IFERROR(__xludf.DUMMYFUNCTION("""COMPUTED_VALUE"""),"Devaughn Vele")</f>
        <v>Devaughn Vele</v>
      </c>
      <c r="R16" s="66" t="str">
        <f ca="1">IFERROR(__xludf.DUMMYFUNCTION("""COMPUTED_VALUE"""),"New York Giants")</f>
        <v>New York Giants</v>
      </c>
      <c r="S16" s="66" t="str">
        <f ca="1">IFERROR(__xludf.DUMMYFUNCTION("""COMPUTED_VALUE"""),"Sean Tucker")</f>
        <v>Sean Tucker</v>
      </c>
      <c r="T16" s="66" t="str">
        <f ca="1">IFERROR(__xludf.DUMMYFUNCTION("""COMPUTED_VALUE"""),"Indianapolis Colts")</f>
        <v>Indianapolis Colts</v>
      </c>
      <c r="U16" s="66" t="str">
        <f ca="1">IFERROR(__xludf.DUMMYFUNCTION("""COMPUTED_VALUE"""),"Cleveland Browns")</f>
        <v>Cleveland Browns</v>
      </c>
      <c r="V16" s="66" t="str">
        <f ca="1">IFERROR(__xludf.DUMMYFUNCTION("""COMPUTED_VALUE"""),"Ty Johnson")</f>
        <v>Ty Johnson</v>
      </c>
      <c r="W16" s="66" t="str">
        <f ca="1">IFERROR(__xludf.DUMMYFUNCTION("""COMPUTED_VALUE"""),"Cam Little")</f>
        <v>Cam Little</v>
      </c>
      <c r="X16" s="66" t="str">
        <f ca="1">IFERROR(__xludf.DUMMYFUNCTION("""COMPUTED_VALUE"""),"Trevor Etienne")</f>
        <v>Trevor Etienne</v>
      </c>
      <c r="Y16" s="66" t="str">
        <f ca="1">IFERROR(__xludf.DUMMYFUNCTION("""COMPUTED_VALUE"""),"Roman Wilson")</f>
        <v>Roman Wilson</v>
      </c>
      <c r="Z16" s="64" t="str">
        <f ca="1">IFERROR(__xludf.DUMMYFUNCTION("""COMPUTED_VALUE"""),"Jalen Tolbert")</f>
        <v>Jalen Tolbert</v>
      </c>
      <c r="AA16" s="64"/>
      <c r="AB16" s="64"/>
      <c r="AC16" s="64"/>
      <c r="AD16" s="64"/>
      <c r="AE16" s="64"/>
      <c r="AF16" s="64"/>
      <c r="AG16" s="64"/>
      <c r="AH16" s="64"/>
      <c r="AI16" s="64"/>
      <c r="AJ16" s="64"/>
      <c r="AK16" s="64"/>
      <c r="AL16" s="64"/>
      <c r="AM16" s="64"/>
      <c r="AN16" s="64"/>
      <c r="AO16" s="64"/>
      <c r="AP16" s="64"/>
      <c r="AQ16" s="64"/>
      <c r="AR16" s="64"/>
      <c r="AS16" s="64"/>
      <c r="AT16" s="64"/>
      <c r="AU16" s="64"/>
      <c r="AV16" s="64"/>
      <c r="AW16" s="64"/>
      <c r="AX16" s="64"/>
      <c r="AY16" s="64"/>
      <c r="AZ16" s="64"/>
      <c r="BA16" s="64"/>
      <c r="BB16" s="64"/>
      <c r="BC16" s="64"/>
      <c r="BD16" s="64"/>
      <c r="BE16" s="64"/>
      <c r="BF16" s="64"/>
      <c r="BG16" s="64"/>
      <c r="BH16" s="64"/>
      <c r="BI16" s="64"/>
      <c r="BJ16" s="64"/>
      <c r="BK16" s="64"/>
      <c r="BL16" s="64"/>
      <c r="BM16" s="64"/>
      <c r="BN16" s="64"/>
      <c r="BO16" s="64"/>
      <c r="BP16" s="64"/>
      <c r="BQ16" s="64"/>
      <c r="BR16" s="64"/>
      <c r="BS16" s="64"/>
      <c r="BT16" s="64"/>
      <c r="BU16" s="64"/>
      <c r="BV16" s="64"/>
      <c r="BW16" s="64"/>
      <c r="BX16" s="64"/>
      <c r="BY16" s="64"/>
      <c r="BZ16" s="64"/>
      <c r="CA16" s="64"/>
      <c r="CB16" s="64"/>
      <c r="CC16" s="64"/>
      <c r="CD16" s="64"/>
      <c r="CE16" s="64"/>
      <c r="CF16" s="64"/>
      <c r="CG16" s="64"/>
      <c r="CH16" s="64"/>
      <c r="CI16" s="64"/>
      <c r="CJ16" s="64"/>
      <c r="CK16" s="64"/>
      <c r="CL16" s="64"/>
      <c r="CM16" s="64"/>
      <c r="CN16" s="64"/>
      <c r="CO16" s="64"/>
      <c r="CP16" s="64"/>
      <c r="CQ16" s="64"/>
      <c r="CR16" s="64"/>
      <c r="CS16" s="64"/>
      <c r="CT16" s="64"/>
      <c r="CU16" s="64"/>
      <c r="CV16" s="64"/>
      <c r="CW16" s="64"/>
      <c r="CX16" s="64"/>
      <c r="CY16" s="64"/>
      <c r="CZ16" s="64"/>
      <c r="DA16" s="64"/>
      <c r="DB16" s="64"/>
      <c r="DC16" s="64"/>
      <c r="DD16" s="64"/>
      <c r="DE16" s="64"/>
      <c r="DF16" s="64"/>
      <c r="DG16" s="64"/>
      <c r="DH16" s="64"/>
      <c r="DI16" s="64"/>
      <c r="DJ16" s="64"/>
      <c r="DK16" s="64"/>
      <c r="DL16" s="64"/>
      <c r="DM16" s="64"/>
      <c r="DN16" s="64"/>
      <c r="DO16" s="64"/>
      <c r="DP16" s="64"/>
      <c r="DQ16" s="64"/>
      <c r="DR16" s="64"/>
      <c r="DS16" s="64"/>
      <c r="DT16" s="64"/>
      <c r="DU16" s="64"/>
      <c r="DV16" s="64"/>
      <c r="DW16" s="64"/>
      <c r="DX16" s="64"/>
      <c r="DY16" s="64"/>
      <c r="DZ16" s="64"/>
      <c r="EA16" s="64"/>
      <c r="EB16" s="64"/>
      <c r="EC16" s="64"/>
      <c r="ED16" s="64"/>
    </row>
    <row r="17" spans="1:134" ht="14.4">
      <c r="A17" s="65" t="s">
        <v>311</v>
      </c>
      <c r="B17" s="65" t="s">
        <v>391</v>
      </c>
      <c r="C17" s="65" t="s">
        <v>445</v>
      </c>
      <c r="D17" s="65" t="str">
        <f t="shared" si="0"/>
        <v>WR</v>
      </c>
      <c r="G17" s="14"/>
      <c r="Z17" s="64"/>
      <c r="AA17" s="64"/>
      <c r="AB17" s="64"/>
      <c r="AC17" s="64"/>
      <c r="AD17" s="64"/>
      <c r="AE17" s="64"/>
      <c r="AF17" s="64"/>
      <c r="AG17" s="64"/>
      <c r="AH17" s="64"/>
      <c r="AI17" s="64"/>
      <c r="AJ17" s="64"/>
      <c r="AK17" s="64"/>
      <c r="AL17" s="64"/>
      <c r="AM17" s="64"/>
      <c r="AN17" s="64"/>
      <c r="AO17" s="64"/>
      <c r="AP17" s="64"/>
      <c r="AQ17" s="64"/>
      <c r="AR17" s="64"/>
      <c r="AS17" s="64"/>
      <c r="AT17" s="64"/>
      <c r="AU17" s="64"/>
      <c r="AV17" s="64"/>
      <c r="AW17" s="64"/>
      <c r="AX17" s="64"/>
      <c r="AY17" s="64"/>
      <c r="AZ17" s="64"/>
      <c r="BA17" s="64"/>
      <c r="BB17" s="64"/>
      <c r="BC17" s="64"/>
      <c r="BD17" s="64"/>
      <c r="BE17" s="64"/>
      <c r="BF17" s="64"/>
      <c r="BG17" s="64"/>
      <c r="BH17" s="64"/>
      <c r="BI17" s="64"/>
      <c r="BJ17" s="64"/>
      <c r="BK17" s="64"/>
      <c r="BL17" s="64"/>
      <c r="BM17" s="64"/>
      <c r="BN17" s="64"/>
      <c r="BO17" s="64"/>
      <c r="BP17" s="64"/>
      <c r="BQ17" s="64"/>
      <c r="BR17" s="64"/>
      <c r="BS17" s="64"/>
      <c r="BT17" s="64"/>
      <c r="BU17" s="64"/>
      <c r="BV17" s="64"/>
      <c r="BW17" s="64"/>
      <c r="BX17" s="64"/>
      <c r="BY17" s="64"/>
      <c r="BZ17" s="64"/>
      <c r="CA17" s="64"/>
      <c r="CB17" s="64"/>
      <c r="CC17" s="64"/>
      <c r="CD17" s="64"/>
      <c r="CE17" s="64"/>
      <c r="CF17" s="64"/>
      <c r="CG17" s="64"/>
      <c r="CH17" s="64"/>
      <c r="CI17" s="64"/>
      <c r="CJ17" s="64"/>
      <c r="CK17" s="64"/>
      <c r="CL17" s="64"/>
      <c r="CM17" s="64"/>
      <c r="CN17" s="64"/>
      <c r="CO17" s="64"/>
      <c r="CP17" s="64"/>
      <c r="CQ17" s="64"/>
      <c r="CR17" s="64"/>
      <c r="CS17" s="64"/>
      <c r="CT17" s="64"/>
      <c r="CU17" s="64"/>
      <c r="CV17" s="64"/>
      <c r="CW17" s="64"/>
      <c r="CX17" s="64"/>
      <c r="CY17" s="64"/>
      <c r="CZ17" s="64"/>
      <c r="DA17" s="64"/>
      <c r="DB17" s="64"/>
      <c r="DC17" s="64"/>
      <c r="DD17" s="64"/>
      <c r="DE17" s="64"/>
      <c r="DF17" s="64"/>
      <c r="DG17" s="64"/>
      <c r="DH17" s="64"/>
      <c r="DI17" s="64"/>
      <c r="DJ17" s="64"/>
      <c r="DK17" s="64"/>
      <c r="DL17" s="64"/>
      <c r="DM17" s="64"/>
      <c r="DN17" s="64"/>
      <c r="DO17" s="64"/>
      <c r="DP17" s="64"/>
      <c r="DQ17" s="64"/>
      <c r="DR17" s="64"/>
      <c r="DS17" s="64"/>
      <c r="DT17" s="64"/>
      <c r="DU17" s="64"/>
      <c r="DV17" s="64"/>
      <c r="DW17" s="64"/>
      <c r="DX17" s="64"/>
      <c r="DY17" s="64"/>
      <c r="DZ17" s="64"/>
      <c r="EA17" s="64"/>
      <c r="EB17" s="64"/>
      <c r="EC17" s="64"/>
      <c r="ED17" s="64"/>
    </row>
    <row r="18" spans="1:134" ht="14.4">
      <c r="A18" s="65" t="s">
        <v>446</v>
      </c>
      <c r="B18" s="65" t="s">
        <v>389</v>
      </c>
      <c r="C18" s="65" t="s">
        <v>447</v>
      </c>
      <c r="D18" s="65" t="str">
        <f t="shared" si="0"/>
        <v>QB</v>
      </c>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c r="BB18" s="64"/>
      <c r="BC18" s="64"/>
      <c r="BD18" s="64"/>
      <c r="BE18" s="64"/>
      <c r="BF18" s="64"/>
      <c r="BG18" s="64"/>
      <c r="BH18" s="64"/>
      <c r="BI18" s="64"/>
      <c r="BJ18" s="64"/>
      <c r="BK18" s="64"/>
      <c r="BL18" s="64"/>
      <c r="BM18" s="64"/>
      <c r="BN18" s="64"/>
      <c r="BO18" s="64"/>
      <c r="BP18" s="64"/>
      <c r="BQ18" s="64"/>
      <c r="BR18" s="64"/>
      <c r="BS18" s="64"/>
      <c r="BT18" s="64"/>
      <c r="BU18" s="64"/>
      <c r="BV18" s="64"/>
      <c r="BW18" s="64"/>
      <c r="BX18" s="64"/>
      <c r="BY18" s="64"/>
      <c r="BZ18" s="64"/>
      <c r="CA18" s="64"/>
      <c r="CB18" s="64"/>
      <c r="CC18" s="64"/>
      <c r="CD18" s="64"/>
      <c r="CE18" s="64"/>
      <c r="CF18" s="64"/>
      <c r="CG18" s="64"/>
      <c r="CH18" s="64"/>
      <c r="CI18" s="64"/>
      <c r="CJ18" s="64"/>
      <c r="CK18" s="64"/>
      <c r="CL18" s="64"/>
      <c r="CM18" s="64"/>
      <c r="CN18" s="64"/>
      <c r="CO18" s="64"/>
      <c r="CP18" s="64"/>
      <c r="CQ18" s="64"/>
      <c r="CR18" s="64"/>
      <c r="CS18" s="64"/>
      <c r="CT18" s="64"/>
      <c r="CU18" s="64"/>
      <c r="CV18" s="64"/>
      <c r="CW18" s="64"/>
      <c r="CX18" s="64"/>
      <c r="CY18" s="64"/>
      <c r="CZ18" s="64"/>
      <c r="DA18" s="64"/>
      <c r="DB18" s="64"/>
      <c r="DC18" s="64"/>
      <c r="DD18" s="64"/>
      <c r="DE18" s="64"/>
      <c r="DF18" s="64"/>
      <c r="DG18" s="64"/>
      <c r="DH18" s="64"/>
      <c r="DI18" s="64"/>
      <c r="DJ18" s="64"/>
      <c r="DK18" s="64"/>
      <c r="DL18" s="64"/>
      <c r="DM18" s="64"/>
      <c r="DN18" s="64"/>
      <c r="DO18" s="64"/>
      <c r="DP18" s="64"/>
      <c r="DQ18" s="64"/>
      <c r="DR18" s="64"/>
      <c r="DS18" s="64"/>
      <c r="DT18" s="64"/>
      <c r="DU18" s="64"/>
      <c r="DV18" s="64"/>
      <c r="DW18" s="64"/>
      <c r="DX18" s="64"/>
      <c r="DY18" s="64"/>
      <c r="DZ18" s="64"/>
      <c r="EA18" s="64"/>
      <c r="EB18" s="64"/>
      <c r="EC18" s="64"/>
      <c r="ED18" s="64"/>
    </row>
    <row r="19" spans="1:134" ht="14.4">
      <c r="A19" s="65" t="s">
        <v>162</v>
      </c>
      <c r="B19" s="65" t="s">
        <v>398</v>
      </c>
      <c r="C19" s="65" t="s">
        <v>448</v>
      </c>
      <c r="D19" s="65" t="str">
        <f t="shared" si="0"/>
        <v>QB</v>
      </c>
      <c r="Z19" s="64"/>
      <c r="AA19" s="64"/>
      <c r="AB19" s="64"/>
      <c r="AC19" s="64"/>
      <c r="AD19" s="64"/>
      <c r="AE19" s="64"/>
      <c r="AF19" s="64"/>
      <c r="AG19" s="64"/>
      <c r="AH19" s="64"/>
      <c r="AI19" s="64"/>
      <c r="AJ19" s="64"/>
      <c r="AK19" s="64"/>
      <c r="AL19" s="64"/>
      <c r="AM19" s="64"/>
      <c r="AN19" s="64"/>
      <c r="AO19" s="64"/>
      <c r="AP19" s="64"/>
      <c r="AQ19" s="64"/>
      <c r="AR19" s="64"/>
      <c r="AS19" s="64"/>
      <c r="AT19" s="64"/>
      <c r="AU19" s="64"/>
      <c r="AV19" s="64"/>
      <c r="AW19" s="64"/>
      <c r="AX19" s="64"/>
      <c r="AY19" s="64"/>
      <c r="AZ19" s="64"/>
      <c r="BA19" s="64"/>
      <c r="BB19" s="64"/>
      <c r="BC19" s="64"/>
      <c r="BD19" s="64"/>
      <c r="BE19" s="64"/>
      <c r="BF19" s="64"/>
      <c r="BG19" s="64"/>
      <c r="BH19" s="64"/>
      <c r="BI19" s="64"/>
      <c r="BJ19" s="64"/>
      <c r="BK19" s="64"/>
      <c r="BL19" s="64"/>
      <c r="BM19" s="64"/>
      <c r="BN19" s="64"/>
      <c r="BO19" s="64"/>
      <c r="BP19" s="64"/>
      <c r="BQ19" s="64"/>
      <c r="BR19" s="64"/>
      <c r="BS19" s="64"/>
      <c r="BT19" s="64"/>
      <c r="BU19" s="64"/>
      <c r="BV19" s="64"/>
      <c r="BW19" s="64"/>
      <c r="BX19" s="64"/>
      <c r="BY19" s="64"/>
      <c r="BZ19" s="64"/>
      <c r="CA19" s="64"/>
      <c r="CB19" s="64"/>
      <c r="CC19" s="64"/>
      <c r="CD19" s="64"/>
      <c r="CE19" s="64"/>
      <c r="CF19" s="64"/>
      <c r="CG19" s="64"/>
      <c r="CH19" s="64"/>
      <c r="CI19" s="64"/>
      <c r="CJ19" s="64"/>
      <c r="CK19" s="64"/>
      <c r="CL19" s="64"/>
      <c r="CM19" s="64"/>
      <c r="CN19" s="64"/>
      <c r="CO19" s="64"/>
      <c r="CP19" s="64"/>
      <c r="CQ19" s="64"/>
      <c r="CR19" s="64"/>
      <c r="CS19" s="64"/>
      <c r="CT19" s="64"/>
      <c r="CU19" s="64"/>
      <c r="CV19" s="64"/>
      <c r="CW19" s="64"/>
      <c r="CX19" s="64"/>
      <c r="CY19" s="64"/>
      <c r="CZ19" s="64"/>
      <c r="DA19" s="64"/>
      <c r="DB19" s="64"/>
      <c r="DC19" s="64"/>
      <c r="DD19" s="64"/>
      <c r="DE19" s="64"/>
      <c r="DF19" s="64"/>
      <c r="DG19" s="64"/>
      <c r="DH19" s="64"/>
      <c r="DI19" s="64"/>
      <c r="DJ19" s="64"/>
      <c r="DK19" s="64"/>
      <c r="DL19" s="64"/>
      <c r="DM19" s="64"/>
      <c r="DN19" s="64"/>
      <c r="DO19" s="64"/>
      <c r="DP19" s="64"/>
      <c r="DQ19" s="64"/>
      <c r="DR19" s="64"/>
      <c r="DS19" s="64"/>
      <c r="DT19" s="64"/>
      <c r="DU19" s="64"/>
      <c r="DV19" s="64"/>
      <c r="DW19" s="64"/>
      <c r="DX19" s="64"/>
      <c r="DY19" s="64"/>
      <c r="DZ19" s="64"/>
      <c r="EA19" s="64"/>
      <c r="EB19" s="64"/>
      <c r="EC19" s="64"/>
      <c r="ED19" s="64"/>
    </row>
    <row r="20" spans="1:134" ht="14.4">
      <c r="A20" s="65" t="s">
        <v>255</v>
      </c>
      <c r="B20" s="65" t="s">
        <v>406</v>
      </c>
      <c r="C20" s="65" t="s">
        <v>449</v>
      </c>
      <c r="D20" s="65" t="str">
        <f t="shared" si="0"/>
        <v>RB</v>
      </c>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BX20" s="64"/>
      <c r="BY20" s="64"/>
      <c r="BZ20" s="64"/>
      <c r="CA20" s="64"/>
      <c r="CB20" s="64"/>
      <c r="CC20" s="64"/>
      <c r="CD20" s="64"/>
      <c r="CE20" s="64"/>
      <c r="CF20" s="64"/>
      <c r="CG20" s="64"/>
      <c r="CH20" s="64"/>
      <c r="CI20" s="64"/>
      <c r="CJ20" s="64"/>
      <c r="CK20" s="64"/>
      <c r="CL20" s="64"/>
      <c r="CM20" s="64"/>
      <c r="CN20" s="64"/>
      <c r="CO20" s="64"/>
      <c r="CP20" s="64"/>
      <c r="CQ20" s="64"/>
      <c r="CR20" s="64"/>
      <c r="CS20" s="64"/>
      <c r="CT20" s="64"/>
      <c r="CU20" s="64"/>
      <c r="CV20" s="64"/>
      <c r="CW20" s="64"/>
      <c r="CX20" s="64"/>
      <c r="CY20" s="64"/>
      <c r="CZ20" s="64"/>
      <c r="DA20" s="64"/>
      <c r="DB20" s="64"/>
      <c r="DC20" s="64"/>
      <c r="DD20" s="64"/>
      <c r="DE20" s="64"/>
      <c r="DF20" s="64"/>
      <c r="DG20" s="64"/>
      <c r="DH20" s="64"/>
      <c r="DI20" s="64"/>
      <c r="DJ20" s="64"/>
      <c r="DK20" s="64"/>
      <c r="DL20" s="64"/>
      <c r="DM20" s="64"/>
      <c r="DN20" s="64"/>
      <c r="DO20" s="64"/>
      <c r="DP20" s="64"/>
      <c r="DQ20" s="64"/>
      <c r="DR20" s="64"/>
      <c r="DS20" s="64"/>
      <c r="DT20" s="64"/>
      <c r="DU20" s="64"/>
      <c r="DV20" s="64"/>
      <c r="DW20" s="64"/>
      <c r="DX20" s="64"/>
      <c r="DY20" s="64"/>
      <c r="DZ20" s="64"/>
      <c r="EA20" s="64"/>
      <c r="EB20" s="64"/>
      <c r="EC20" s="64"/>
      <c r="ED20" s="64"/>
    </row>
    <row r="21" spans="1:134" ht="15.75" customHeight="1">
      <c r="A21" s="65" t="s">
        <v>450</v>
      </c>
      <c r="B21" s="65" t="s">
        <v>408</v>
      </c>
      <c r="C21" s="65" t="s">
        <v>451</v>
      </c>
      <c r="D21" s="65" t="str">
        <f t="shared" si="0"/>
        <v>WR</v>
      </c>
      <c r="Z21" s="64"/>
      <c r="AA21" s="64"/>
      <c r="AB21" s="64"/>
      <c r="AC21" s="64"/>
      <c r="AD21" s="64"/>
      <c r="AE21" s="64"/>
      <c r="AF21" s="64"/>
      <c r="AG21" s="64"/>
      <c r="AH21" s="64"/>
      <c r="AI21" s="64"/>
      <c r="AJ21" s="64"/>
      <c r="AK21" s="64"/>
      <c r="AL21" s="64"/>
      <c r="AM21" s="64"/>
      <c r="AN21" s="64"/>
      <c r="AO21" s="64"/>
      <c r="AP21" s="64"/>
      <c r="AQ21" s="64"/>
      <c r="AR21" s="64"/>
      <c r="AS21" s="64"/>
      <c r="AT21" s="64"/>
      <c r="AU21" s="64"/>
      <c r="AV21" s="64"/>
      <c r="AW21" s="64"/>
      <c r="AX21" s="64"/>
      <c r="AY21" s="64"/>
      <c r="AZ21" s="64"/>
      <c r="BA21" s="64"/>
      <c r="BB21" s="64"/>
      <c r="BC21" s="64"/>
      <c r="BD21" s="64"/>
      <c r="BE21" s="64"/>
      <c r="BF21" s="64"/>
      <c r="BG21" s="64"/>
      <c r="BH21" s="64"/>
      <c r="BI21" s="64"/>
      <c r="BJ21" s="64"/>
      <c r="BK21" s="64"/>
      <c r="BL21" s="64"/>
      <c r="BM21" s="64"/>
      <c r="BN21" s="64"/>
      <c r="BO21" s="64"/>
      <c r="BP21" s="64"/>
      <c r="BQ21" s="64"/>
      <c r="BR21" s="64"/>
      <c r="BS21" s="64"/>
      <c r="BT21" s="64"/>
      <c r="BU21" s="64"/>
      <c r="BV21" s="64"/>
      <c r="BW21" s="64"/>
      <c r="BX21" s="64"/>
      <c r="BY21" s="64"/>
      <c r="BZ21" s="64"/>
      <c r="CA21" s="64"/>
      <c r="CB21" s="64"/>
      <c r="CC21" s="64"/>
      <c r="CD21" s="64"/>
      <c r="CE21" s="64"/>
      <c r="CF21" s="64"/>
      <c r="CG21" s="64"/>
      <c r="CH21" s="64"/>
      <c r="CI21" s="64"/>
      <c r="CJ21" s="64"/>
      <c r="CK21" s="64"/>
      <c r="CL21" s="64"/>
      <c r="CM21" s="64"/>
      <c r="CN21" s="64"/>
      <c r="CO21" s="64"/>
      <c r="CP21" s="64"/>
      <c r="CQ21" s="64"/>
      <c r="CR21" s="64"/>
      <c r="CS21" s="64"/>
      <c r="CT21" s="64"/>
      <c r="CU21" s="64"/>
      <c r="CV21" s="64"/>
      <c r="CW21" s="64"/>
      <c r="CX21" s="64"/>
      <c r="CY21" s="64"/>
      <c r="CZ21" s="64"/>
      <c r="DA21" s="64"/>
      <c r="DB21" s="64"/>
      <c r="DC21" s="64"/>
      <c r="DD21" s="64"/>
      <c r="DE21" s="64"/>
      <c r="DF21" s="64"/>
      <c r="DG21" s="64"/>
      <c r="DH21" s="64"/>
      <c r="DI21" s="64"/>
      <c r="DJ21" s="64"/>
      <c r="DK21" s="64"/>
      <c r="DL21" s="64"/>
      <c r="DM21" s="64"/>
      <c r="DN21" s="64"/>
      <c r="DO21" s="64"/>
      <c r="DP21" s="64"/>
      <c r="DQ21" s="64"/>
      <c r="DR21" s="64"/>
      <c r="DS21" s="64"/>
      <c r="DT21" s="64"/>
      <c r="DU21" s="64"/>
      <c r="DV21" s="64"/>
      <c r="DW21" s="64"/>
      <c r="DX21" s="64"/>
      <c r="DY21" s="64"/>
      <c r="DZ21" s="64"/>
      <c r="EA21" s="64"/>
      <c r="EB21" s="64"/>
      <c r="EC21" s="64"/>
      <c r="ED21" s="64"/>
    </row>
    <row r="22" spans="1:134" ht="15.75" customHeight="1">
      <c r="A22" s="65" t="s">
        <v>452</v>
      </c>
      <c r="B22" s="65" t="s">
        <v>409</v>
      </c>
      <c r="C22" s="65" t="s">
        <v>453</v>
      </c>
      <c r="D22" s="65" t="str">
        <f t="shared" si="0"/>
        <v>WR</v>
      </c>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c r="BB22" s="64"/>
      <c r="BC22" s="64"/>
      <c r="BD22" s="64"/>
      <c r="BE22" s="64"/>
      <c r="BF22" s="64"/>
      <c r="BG22" s="64"/>
      <c r="BH22" s="64"/>
      <c r="BI22" s="64"/>
      <c r="BJ22" s="64"/>
      <c r="BK22" s="64"/>
      <c r="BL22" s="64"/>
      <c r="BM22" s="64"/>
      <c r="BN22" s="64"/>
      <c r="BO22" s="64"/>
      <c r="BP22" s="64"/>
      <c r="BQ22" s="64"/>
      <c r="BR22" s="64"/>
      <c r="BS22" s="64"/>
      <c r="BT22" s="64"/>
      <c r="BU22" s="64"/>
      <c r="BV22" s="64"/>
      <c r="BW22" s="64"/>
      <c r="BX22" s="64"/>
      <c r="BY22" s="64"/>
      <c r="BZ22" s="64"/>
      <c r="CA22" s="64"/>
      <c r="CB22" s="64"/>
      <c r="CC22" s="64"/>
      <c r="CD22" s="64"/>
      <c r="CE22" s="64"/>
      <c r="CF22" s="64"/>
      <c r="CG22" s="64"/>
      <c r="CH22" s="64"/>
      <c r="CI22" s="64"/>
      <c r="CJ22" s="64"/>
      <c r="CK22" s="64"/>
      <c r="CL22" s="64"/>
      <c r="CM22" s="64"/>
      <c r="CN22" s="64"/>
      <c r="CO22" s="64"/>
      <c r="CP22" s="64"/>
      <c r="CQ22" s="64"/>
      <c r="CR22" s="64"/>
      <c r="CS22" s="64"/>
      <c r="CT22" s="64"/>
      <c r="CU22" s="64"/>
      <c r="CV22" s="64"/>
      <c r="CW22" s="64"/>
      <c r="CX22" s="64"/>
      <c r="CY22" s="64"/>
      <c r="CZ22" s="64"/>
      <c r="DA22" s="64"/>
      <c r="DB22" s="64"/>
      <c r="DC22" s="64"/>
      <c r="DD22" s="64"/>
      <c r="DE22" s="64"/>
      <c r="DF22" s="64"/>
      <c r="DG22" s="64"/>
      <c r="DH22" s="64"/>
      <c r="DI22" s="64"/>
      <c r="DJ22" s="64"/>
      <c r="DK22" s="64"/>
      <c r="DL22" s="64"/>
      <c r="DM22" s="64"/>
      <c r="DN22" s="64"/>
      <c r="DO22" s="64"/>
      <c r="DP22" s="64"/>
      <c r="DQ22" s="64"/>
      <c r="DR22" s="64"/>
      <c r="DS22" s="64"/>
      <c r="DT22" s="64"/>
      <c r="DU22" s="64"/>
      <c r="DV22" s="64"/>
      <c r="DW22" s="64"/>
      <c r="DX22" s="64"/>
      <c r="DY22" s="64"/>
      <c r="DZ22" s="64"/>
      <c r="EA22" s="64"/>
      <c r="EB22" s="64"/>
      <c r="EC22" s="64"/>
      <c r="ED22" s="64"/>
    </row>
    <row r="23" spans="1:134" ht="15.75" customHeight="1">
      <c r="A23" s="65" t="s">
        <v>288</v>
      </c>
      <c r="B23" s="65" t="s">
        <v>385</v>
      </c>
      <c r="C23" s="65" t="s">
        <v>454</v>
      </c>
      <c r="D23" s="65" t="str">
        <f t="shared" si="0"/>
        <v>DEF</v>
      </c>
      <c r="Z23" s="64"/>
      <c r="AA23" s="64"/>
      <c r="AB23" s="64"/>
      <c r="AC23" s="64"/>
      <c r="AD23" s="64"/>
      <c r="AE23" s="64"/>
      <c r="AF23" s="64"/>
      <c r="AG23" s="64"/>
      <c r="AH23" s="64"/>
      <c r="AI23" s="64"/>
      <c r="AJ23" s="64"/>
      <c r="AK23" s="64"/>
      <c r="AL23" s="64"/>
      <c r="AM23" s="64"/>
      <c r="AN23" s="64"/>
      <c r="AO23" s="64"/>
      <c r="AP23" s="64"/>
      <c r="AQ23" s="64"/>
      <c r="AR23" s="64"/>
      <c r="AS23" s="64"/>
      <c r="AT23" s="64"/>
      <c r="AU23" s="64"/>
      <c r="AV23" s="64"/>
      <c r="AW23" s="64"/>
      <c r="AX23" s="64"/>
      <c r="AY23" s="64"/>
      <c r="AZ23" s="64"/>
      <c r="BA23" s="64"/>
      <c r="BB23" s="64"/>
      <c r="BC23" s="64"/>
      <c r="BD23" s="64"/>
      <c r="BE23" s="64"/>
      <c r="BF23" s="64"/>
      <c r="BG23" s="64"/>
      <c r="BH23" s="64"/>
      <c r="BI23" s="64"/>
      <c r="BJ23" s="64"/>
      <c r="BK23" s="64"/>
      <c r="BL23" s="64"/>
      <c r="BM23" s="64"/>
      <c r="BN23" s="64"/>
      <c r="BO23" s="64"/>
      <c r="BP23" s="64"/>
      <c r="BQ23" s="64"/>
      <c r="BR23" s="64"/>
      <c r="BS23" s="64"/>
      <c r="BT23" s="64"/>
      <c r="BU23" s="64"/>
      <c r="BV23" s="64"/>
      <c r="BW23" s="64"/>
      <c r="BX23" s="64"/>
      <c r="BY23" s="64"/>
      <c r="BZ23" s="64"/>
      <c r="CA23" s="64"/>
      <c r="CB23" s="64"/>
      <c r="CC23" s="64"/>
      <c r="CD23" s="64"/>
      <c r="CE23" s="64"/>
      <c r="CF23" s="64"/>
      <c r="CG23" s="64"/>
      <c r="CH23" s="64"/>
      <c r="CI23" s="64"/>
      <c r="CJ23" s="64"/>
      <c r="CK23" s="64"/>
      <c r="CL23" s="64"/>
      <c r="CM23" s="64"/>
      <c r="CN23" s="64"/>
      <c r="CO23" s="64"/>
      <c r="CP23" s="64"/>
      <c r="CQ23" s="64"/>
      <c r="CR23" s="64"/>
      <c r="CS23" s="64"/>
      <c r="CT23" s="64"/>
      <c r="CU23" s="64"/>
      <c r="CV23" s="64"/>
      <c r="CW23" s="64"/>
      <c r="CX23" s="64"/>
      <c r="CY23" s="64"/>
      <c r="CZ23" s="64"/>
      <c r="DA23" s="64"/>
      <c r="DB23" s="64"/>
      <c r="DC23" s="64"/>
      <c r="DD23" s="64"/>
      <c r="DE23" s="64"/>
      <c r="DF23" s="64"/>
      <c r="DG23" s="64"/>
      <c r="DH23" s="64"/>
      <c r="DI23" s="64"/>
      <c r="DJ23" s="64"/>
      <c r="DK23" s="64"/>
      <c r="DL23" s="64"/>
      <c r="DM23" s="64"/>
      <c r="DN23" s="64"/>
      <c r="DO23" s="64"/>
      <c r="DP23" s="64"/>
      <c r="DQ23" s="64"/>
      <c r="DR23" s="64"/>
      <c r="DS23" s="64"/>
      <c r="DT23" s="64"/>
      <c r="DU23" s="64"/>
      <c r="DV23" s="64"/>
      <c r="DW23" s="64"/>
      <c r="DX23" s="64"/>
      <c r="DY23" s="64"/>
      <c r="DZ23" s="64"/>
      <c r="EA23" s="64"/>
      <c r="EB23" s="64"/>
      <c r="EC23" s="64"/>
      <c r="ED23" s="64"/>
    </row>
    <row r="24" spans="1:134" ht="15.75" customHeight="1">
      <c r="A24" s="65" t="s">
        <v>34</v>
      </c>
      <c r="B24" s="65" t="s">
        <v>403</v>
      </c>
      <c r="C24" s="65" t="s">
        <v>455</v>
      </c>
      <c r="D24" s="65" t="str">
        <f t="shared" si="0"/>
        <v>RB</v>
      </c>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BX24" s="64"/>
      <c r="BY24" s="64"/>
      <c r="BZ24" s="64"/>
      <c r="CA24" s="64"/>
      <c r="CB24" s="64"/>
      <c r="CC24" s="64"/>
      <c r="CD24" s="64"/>
      <c r="CE24" s="64"/>
      <c r="CF24" s="64"/>
      <c r="CG24" s="64"/>
      <c r="CH24" s="64"/>
      <c r="CI24" s="64"/>
      <c r="CJ24" s="64"/>
      <c r="CK24" s="64"/>
      <c r="CL24" s="64"/>
      <c r="CM24" s="64"/>
      <c r="CN24" s="64"/>
      <c r="CO24" s="64"/>
      <c r="CP24" s="64"/>
      <c r="CQ24" s="64"/>
      <c r="CR24" s="64"/>
      <c r="CS24" s="64"/>
      <c r="CT24" s="64"/>
      <c r="CU24" s="64"/>
      <c r="CV24" s="64"/>
      <c r="CW24" s="64"/>
      <c r="CX24" s="64"/>
      <c r="CY24" s="64"/>
      <c r="CZ24" s="64"/>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row>
    <row r="25" spans="1:134" ht="15.75" customHeight="1">
      <c r="A25" s="65" t="s">
        <v>325</v>
      </c>
      <c r="B25" s="65" t="s">
        <v>386</v>
      </c>
      <c r="C25" s="65" t="s">
        <v>456</v>
      </c>
      <c r="D25" s="65" t="str">
        <f t="shared" si="0"/>
        <v>DEF</v>
      </c>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c r="BU25" s="64"/>
      <c r="BV25" s="64"/>
      <c r="BW25" s="64"/>
      <c r="BX25" s="64"/>
      <c r="BY25" s="64"/>
      <c r="BZ25" s="64"/>
      <c r="CA25" s="64"/>
      <c r="CB25" s="64"/>
      <c r="CC25" s="64"/>
      <c r="CD25" s="64"/>
      <c r="CE25" s="64"/>
      <c r="CF25" s="64"/>
      <c r="CG25" s="64"/>
      <c r="CH25" s="64"/>
      <c r="CI25" s="64"/>
      <c r="CJ25" s="64"/>
      <c r="CK25" s="64"/>
      <c r="CL25" s="64"/>
      <c r="CM25" s="64"/>
      <c r="CN25" s="64"/>
      <c r="CO25" s="64"/>
      <c r="CP25" s="64"/>
      <c r="CQ25" s="64"/>
      <c r="CR25" s="64"/>
      <c r="CS25" s="64"/>
      <c r="CT25" s="64"/>
      <c r="CU25" s="64"/>
      <c r="CV25" s="64"/>
      <c r="CW25" s="64"/>
      <c r="CX25" s="64"/>
      <c r="CY25" s="64"/>
      <c r="CZ25" s="64"/>
      <c r="DA25" s="64"/>
      <c r="DB25" s="64"/>
      <c r="DC25" s="64"/>
      <c r="DD25" s="64"/>
      <c r="DE25" s="64"/>
      <c r="DF25" s="64"/>
      <c r="DG25" s="64"/>
      <c r="DH25" s="64"/>
      <c r="DI25" s="64"/>
      <c r="DJ25" s="64"/>
      <c r="DK25" s="64"/>
      <c r="DL25" s="64"/>
      <c r="DM25" s="64"/>
      <c r="DN25" s="64"/>
      <c r="DO25" s="64"/>
      <c r="DP25" s="64"/>
      <c r="DQ25" s="64"/>
      <c r="DR25" s="64"/>
      <c r="DS25" s="64"/>
      <c r="DT25" s="64"/>
      <c r="DU25" s="64"/>
      <c r="DV25" s="64"/>
      <c r="DW25" s="64"/>
      <c r="DX25" s="64"/>
      <c r="DY25" s="64"/>
      <c r="DZ25" s="64"/>
      <c r="EA25" s="64"/>
      <c r="EB25" s="64"/>
      <c r="EC25" s="64"/>
      <c r="ED25" s="64"/>
    </row>
    <row r="26" spans="1:134" ht="15.75" customHeight="1">
      <c r="A26" s="65" t="s">
        <v>457</v>
      </c>
      <c r="B26" s="65" t="s">
        <v>394</v>
      </c>
      <c r="C26" s="65" t="s">
        <v>458</v>
      </c>
      <c r="D26" s="65" t="str">
        <f t="shared" si="0"/>
        <v>RB</v>
      </c>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row>
    <row r="27" spans="1:134" ht="15.75" customHeight="1">
      <c r="A27" s="65" t="s">
        <v>125</v>
      </c>
      <c r="B27" s="65" t="s">
        <v>416</v>
      </c>
      <c r="C27" s="65" t="s">
        <v>459</v>
      </c>
      <c r="D27" s="65" t="str">
        <f t="shared" si="0"/>
        <v>RB</v>
      </c>
      <c r="Z27" s="64"/>
      <c r="AA27" s="64"/>
      <c r="AB27" s="64"/>
      <c r="AC27" s="64"/>
      <c r="AD27" s="64"/>
      <c r="AE27" s="64"/>
      <c r="AF27" s="64"/>
      <c r="AG27" s="64"/>
      <c r="AH27" s="64"/>
      <c r="AI27" s="64"/>
      <c r="AJ27" s="64"/>
      <c r="AK27" s="64"/>
      <c r="AL27" s="64"/>
      <c r="AM27" s="64"/>
      <c r="AN27" s="64"/>
      <c r="AO27" s="64"/>
      <c r="AP27" s="64"/>
      <c r="AQ27" s="64"/>
      <c r="AR27" s="64"/>
      <c r="AS27" s="64"/>
      <c r="AT27" s="64"/>
      <c r="AU27" s="64"/>
      <c r="AV27" s="64"/>
      <c r="AW27" s="64"/>
      <c r="AX27" s="64"/>
      <c r="AY27" s="64"/>
      <c r="AZ27" s="64"/>
      <c r="BA27" s="64"/>
      <c r="BB27" s="64"/>
      <c r="BC27" s="64"/>
      <c r="BD27" s="64"/>
      <c r="BE27" s="64"/>
      <c r="BF27" s="64"/>
      <c r="BG27" s="64"/>
      <c r="BH27" s="64"/>
      <c r="BI27" s="64"/>
      <c r="BJ27" s="64"/>
      <c r="BK27" s="64"/>
      <c r="BL27" s="64"/>
      <c r="BM27" s="64"/>
      <c r="BN27" s="64"/>
      <c r="BO27" s="64"/>
      <c r="BP27" s="64"/>
      <c r="BQ27" s="64"/>
      <c r="BR27" s="64"/>
      <c r="BS27" s="64"/>
      <c r="BT27" s="64"/>
      <c r="BU27" s="64"/>
      <c r="BV27" s="64"/>
      <c r="BW27" s="64"/>
      <c r="BX27" s="64"/>
      <c r="BY27" s="64"/>
      <c r="BZ27" s="64"/>
      <c r="CA27" s="64"/>
      <c r="CB27" s="64"/>
      <c r="CC27" s="64"/>
      <c r="CD27" s="64"/>
      <c r="CE27" s="64"/>
      <c r="CF27" s="64"/>
      <c r="CG27" s="64"/>
      <c r="CH27" s="64"/>
      <c r="CI27" s="64"/>
      <c r="CJ27" s="64"/>
      <c r="CK27" s="64"/>
      <c r="CL27" s="64"/>
      <c r="CM27" s="64"/>
      <c r="CN27" s="64"/>
      <c r="CO27" s="64"/>
      <c r="CP27" s="64"/>
      <c r="CQ27" s="64"/>
      <c r="CR27" s="64"/>
      <c r="CS27" s="64"/>
      <c r="CT27" s="64"/>
      <c r="CU27" s="64"/>
      <c r="CV27" s="64"/>
      <c r="CW27" s="64"/>
      <c r="CX27" s="64"/>
      <c r="CY27" s="64"/>
      <c r="CZ27" s="64"/>
      <c r="DA27" s="64"/>
      <c r="DB27" s="64"/>
      <c r="DC27" s="64"/>
      <c r="DD27" s="64"/>
      <c r="DE27" s="64"/>
      <c r="DF27" s="64"/>
      <c r="DG27" s="64"/>
      <c r="DH27" s="64"/>
      <c r="DI27" s="64"/>
      <c r="DJ27" s="64"/>
      <c r="DK27" s="64"/>
      <c r="DL27" s="64"/>
      <c r="DM27" s="64"/>
      <c r="DN27" s="64"/>
      <c r="DO27" s="64"/>
      <c r="DP27" s="64"/>
      <c r="DQ27" s="64"/>
      <c r="DR27" s="64"/>
      <c r="DS27" s="64"/>
      <c r="DT27" s="64"/>
      <c r="DU27" s="64"/>
      <c r="DV27" s="64"/>
      <c r="DW27" s="64"/>
      <c r="DX27" s="64"/>
      <c r="DY27" s="64"/>
      <c r="DZ27" s="64"/>
      <c r="EA27" s="64"/>
      <c r="EB27" s="64"/>
      <c r="EC27" s="64"/>
      <c r="ED27" s="64"/>
    </row>
    <row r="28" spans="1:134" ht="15.75" customHeight="1">
      <c r="A28" s="65" t="s">
        <v>460</v>
      </c>
      <c r="B28" s="65" t="s">
        <v>406</v>
      </c>
      <c r="C28" s="65" t="s">
        <v>461</v>
      </c>
      <c r="D28" s="65" t="str">
        <f t="shared" si="0"/>
        <v>TE</v>
      </c>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BX28" s="64"/>
      <c r="BY28" s="64"/>
      <c r="BZ28" s="64"/>
      <c r="CA28" s="64"/>
      <c r="CB28" s="64"/>
      <c r="CC28" s="64"/>
      <c r="CD28" s="64"/>
      <c r="CE28" s="64"/>
      <c r="CF28" s="64"/>
      <c r="CG28" s="64"/>
      <c r="CH28" s="64"/>
      <c r="CI28" s="64"/>
      <c r="CJ28" s="64"/>
      <c r="CK28" s="64"/>
      <c r="CL28" s="64"/>
      <c r="CM28" s="64"/>
      <c r="CN28" s="64"/>
      <c r="CO28" s="64"/>
      <c r="CP28" s="64"/>
      <c r="CQ28" s="64"/>
      <c r="CR28" s="64"/>
      <c r="CS28" s="64"/>
      <c r="CT28" s="64"/>
      <c r="CU28" s="64"/>
      <c r="CV28" s="64"/>
      <c r="CW28" s="64"/>
      <c r="CX28" s="64"/>
      <c r="CY28" s="64"/>
      <c r="CZ28" s="64"/>
      <c r="DA28" s="64"/>
      <c r="DB28" s="64"/>
      <c r="DC28" s="64"/>
      <c r="DD28" s="64"/>
      <c r="DE28" s="64"/>
      <c r="DF28" s="64"/>
      <c r="DG28" s="64"/>
      <c r="DH28" s="64"/>
      <c r="DI28" s="64"/>
      <c r="DJ28" s="64"/>
      <c r="DK28" s="64"/>
      <c r="DL28" s="64"/>
      <c r="DM28" s="64"/>
      <c r="DN28" s="64"/>
      <c r="DO28" s="64"/>
      <c r="DP28" s="64"/>
      <c r="DQ28" s="64"/>
      <c r="DR28" s="64"/>
      <c r="DS28" s="64"/>
      <c r="DT28" s="64"/>
      <c r="DU28" s="64"/>
      <c r="DV28" s="64"/>
      <c r="DW28" s="64"/>
      <c r="DX28" s="64"/>
      <c r="DY28" s="64"/>
      <c r="DZ28" s="64"/>
      <c r="EA28" s="64"/>
      <c r="EB28" s="64"/>
      <c r="EC28" s="64"/>
      <c r="ED28" s="64"/>
    </row>
    <row r="29" spans="1:134" ht="15.75" customHeight="1">
      <c r="A29" s="65" t="s">
        <v>117</v>
      </c>
      <c r="B29" s="65" t="s">
        <v>414</v>
      </c>
      <c r="C29" s="65" t="s">
        <v>462</v>
      </c>
      <c r="D29" s="65" t="str">
        <f t="shared" si="0"/>
        <v>QB</v>
      </c>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c r="DO29" s="64"/>
      <c r="DP29" s="64"/>
      <c r="DQ29" s="64"/>
      <c r="DR29" s="64"/>
      <c r="DS29" s="64"/>
      <c r="DT29" s="64"/>
      <c r="DU29" s="64"/>
      <c r="DV29" s="64"/>
      <c r="DW29" s="64"/>
      <c r="DX29" s="64"/>
      <c r="DY29" s="64"/>
      <c r="DZ29" s="64"/>
      <c r="EA29" s="64"/>
      <c r="EB29" s="64"/>
      <c r="EC29" s="64"/>
      <c r="ED29" s="64"/>
    </row>
    <row r="30" spans="1:134" ht="15.75" customHeight="1">
      <c r="A30" s="65" t="s">
        <v>192</v>
      </c>
      <c r="B30" s="65" t="s">
        <v>387</v>
      </c>
      <c r="C30" s="65" t="s">
        <v>463</v>
      </c>
      <c r="D30" s="65" t="str">
        <f t="shared" si="0"/>
        <v>DEF</v>
      </c>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c r="DA30" s="64"/>
      <c r="DB30" s="64"/>
      <c r="DC30" s="64"/>
      <c r="DD30" s="64"/>
      <c r="DE30" s="64"/>
      <c r="DF30" s="64"/>
      <c r="DG30" s="64"/>
      <c r="DH30" s="64"/>
      <c r="DI30" s="64"/>
      <c r="DJ30" s="64"/>
      <c r="DK30" s="64"/>
      <c r="DL30" s="64"/>
      <c r="DM30" s="64"/>
      <c r="DN30" s="64"/>
      <c r="DO30" s="64"/>
      <c r="DP30" s="64"/>
      <c r="DQ30" s="64"/>
      <c r="DR30" s="64"/>
      <c r="DS30" s="64"/>
      <c r="DT30" s="64"/>
      <c r="DU30" s="64"/>
      <c r="DV30" s="64"/>
      <c r="DW30" s="64"/>
      <c r="DX30" s="64"/>
      <c r="DY30" s="64"/>
      <c r="DZ30" s="64"/>
      <c r="EA30" s="64"/>
      <c r="EB30" s="64"/>
      <c r="EC30" s="64"/>
      <c r="ED30" s="64"/>
    </row>
    <row r="31" spans="1:134" ht="15.75" customHeight="1">
      <c r="A31" s="65" t="s">
        <v>464</v>
      </c>
      <c r="B31" s="65" t="s">
        <v>416</v>
      </c>
      <c r="C31" s="65" t="s">
        <v>465</v>
      </c>
      <c r="D31" s="65" t="str">
        <f t="shared" si="0"/>
        <v>TE</v>
      </c>
      <c r="Z31" s="64"/>
      <c r="AA31" s="64"/>
      <c r="AB31" s="64"/>
      <c r="AC31" s="64"/>
      <c r="AD31" s="64"/>
      <c r="AE31" s="64"/>
      <c r="AF31" s="64"/>
      <c r="AG31" s="64"/>
      <c r="AH31" s="64"/>
      <c r="AI31" s="64"/>
      <c r="AJ31" s="64"/>
      <c r="AK31" s="64"/>
      <c r="AL31" s="64"/>
      <c r="AM31" s="64"/>
      <c r="AN31" s="64"/>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c r="BU31" s="64"/>
      <c r="BV31" s="64"/>
      <c r="BW31" s="64"/>
      <c r="BX31" s="64"/>
      <c r="BY31" s="64"/>
      <c r="BZ31" s="64"/>
      <c r="CA31" s="64"/>
      <c r="CB31" s="64"/>
      <c r="CC31" s="64"/>
      <c r="CD31" s="64"/>
      <c r="CE31" s="64"/>
      <c r="CF31" s="64"/>
      <c r="CG31" s="64"/>
      <c r="CH31" s="64"/>
      <c r="CI31" s="64"/>
      <c r="CJ31" s="64"/>
      <c r="CK31" s="64"/>
      <c r="CL31" s="64"/>
      <c r="CM31" s="64"/>
      <c r="CN31" s="64"/>
      <c r="CO31" s="64"/>
      <c r="CP31" s="64"/>
      <c r="CQ31" s="64"/>
      <c r="CR31" s="64"/>
      <c r="CS31" s="64"/>
      <c r="CT31" s="64"/>
      <c r="CU31" s="64"/>
      <c r="CV31" s="64"/>
      <c r="CW31" s="64"/>
      <c r="CX31" s="64"/>
      <c r="CY31" s="64"/>
      <c r="CZ31" s="64"/>
      <c r="DA31" s="64"/>
      <c r="DB31" s="64"/>
      <c r="DC31" s="64"/>
      <c r="DD31" s="64"/>
      <c r="DE31" s="64"/>
      <c r="DF31" s="64"/>
      <c r="DG31" s="64"/>
      <c r="DH31" s="64"/>
      <c r="DI31" s="64"/>
      <c r="DJ31" s="64"/>
      <c r="DK31" s="64"/>
      <c r="DL31" s="64"/>
      <c r="DM31" s="64"/>
      <c r="DN31" s="64"/>
      <c r="DO31" s="64"/>
      <c r="DP31" s="64"/>
      <c r="DQ31" s="64"/>
      <c r="DR31" s="64"/>
      <c r="DS31" s="64"/>
      <c r="DT31" s="64"/>
      <c r="DU31" s="64"/>
      <c r="DV31" s="64"/>
      <c r="DW31" s="64"/>
      <c r="DX31" s="64"/>
      <c r="DY31" s="64"/>
      <c r="DZ31" s="64"/>
      <c r="EA31" s="64"/>
      <c r="EB31" s="64"/>
      <c r="EC31" s="64"/>
      <c r="ED31" s="64"/>
    </row>
    <row r="32" spans="1:134" ht="15.75" customHeight="1">
      <c r="A32" s="65" t="s">
        <v>153</v>
      </c>
      <c r="B32" s="65" t="s">
        <v>399</v>
      </c>
      <c r="C32" s="65" t="s">
        <v>466</v>
      </c>
      <c r="D32" s="65" t="str">
        <f t="shared" si="0"/>
        <v>RB</v>
      </c>
      <c r="Z32" s="64"/>
      <c r="AA32" s="64"/>
      <c r="AB32" s="64"/>
      <c r="AC32" s="64"/>
      <c r="AD32" s="64"/>
      <c r="AE32" s="64"/>
      <c r="AF32" s="64"/>
      <c r="AG32" s="64"/>
      <c r="AH32" s="64"/>
      <c r="AI32" s="64"/>
      <c r="AJ32" s="64"/>
      <c r="AK32" s="64"/>
      <c r="AL32" s="64"/>
      <c r="AM32" s="64"/>
      <c r="AN32" s="64"/>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c r="BU32" s="64"/>
      <c r="BV32" s="64"/>
      <c r="BW32" s="64"/>
      <c r="BX32" s="64"/>
      <c r="BY32" s="64"/>
      <c r="BZ32" s="64"/>
      <c r="CA32" s="64"/>
      <c r="CB32" s="64"/>
      <c r="CC32" s="64"/>
      <c r="CD32" s="64"/>
      <c r="CE32" s="64"/>
      <c r="CF32" s="64"/>
      <c r="CG32" s="64"/>
      <c r="CH32" s="64"/>
      <c r="CI32" s="64"/>
      <c r="CJ32" s="64"/>
      <c r="CK32" s="64"/>
      <c r="CL32" s="64"/>
      <c r="CM32" s="64"/>
      <c r="CN32" s="64"/>
      <c r="CO32" s="64"/>
      <c r="CP32" s="64"/>
      <c r="CQ32" s="64"/>
      <c r="CR32" s="64"/>
      <c r="CS32" s="64"/>
      <c r="CT32" s="64"/>
      <c r="CU32" s="64"/>
      <c r="CV32" s="64"/>
      <c r="CW32" s="64"/>
      <c r="CX32" s="64"/>
      <c r="CY32" s="64"/>
      <c r="CZ32" s="64"/>
      <c r="DA32" s="64"/>
      <c r="DB32" s="64"/>
      <c r="DC32" s="64"/>
      <c r="DD32" s="64"/>
      <c r="DE32" s="64"/>
      <c r="DF32" s="64"/>
      <c r="DG32" s="64"/>
      <c r="DH32" s="64"/>
      <c r="DI32" s="64"/>
      <c r="DJ32" s="64"/>
      <c r="DK32" s="64"/>
      <c r="DL32" s="64"/>
      <c r="DM32" s="64"/>
      <c r="DN32" s="64"/>
      <c r="DO32" s="64"/>
      <c r="DP32" s="64"/>
      <c r="DQ32" s="64"/>
      <c r="DR32" s="64"/>
      <c r="DS32" s="64"/>
      <c r="DT32" s="64"/>
      <c r="DU32" s="64"/>
      <c r="DV32" s="64"/>
      <c r="DW32" s="64"/>
      <c r="DX32" s="64"/>
      <c r="DY32" s="64"/>
      <c r="DZ32" s="64"/>
      <c r="EA32" s="64"/>
      <c r="EB32" s="64"/>
      <c r="EC32" s="64"/>
      <c r="ED32" s="64"/>
    </row>
    <row r="33" spans="1:134" ht="15.75" customHeight="1">
      <c r="A33" s="65" t="s">
        <v>23</v>
      </c>
      <c r="B33" s="65" t="s">
        <v>386</v>
      </c>
      <c r="C33" s="65" t="s">
        <v>467</v>
      </c>
      <c r="D33" s="65" t="str">
        <f t="shared" si="0"/>
        <v>RB</v>
      </c>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BX33" s="64"/>
      <c r="BY33" s="64"/>
      <c r="BZ33" s="64"/>
      <c r="CA33" s="64"/>
      <c r="CB33" s="64"/>
      <c r="CC33" s="64"/>
      <c r="CD33" s="64"/>
      <c r="CE33" s="64"/>
      <c r="CF33" s="64"/>
      <c r="CG33" s="64"/>
      <c r="CH33" s="64"/>
      <c r="CI33" s="64"/>
      <c r="CJ33" s="64"/>
      <c r="CK33" s="64"/>
      <c r="CL33" s="64"/>
      <c r="CM33" s="64"/>
      <c r="CN33" s="64"/>
      <c r="CO33" s="64"/>
      <c r="CP33" s="64"/>
      <c r="CQ33" s="64"/>
      <c r="CR33" s="64"/>
      <c r="CS33" s="64"/>
      <c r="CT33" s="64"/>
      <c r="CU33" s="64"/>
      <c r="CV33" s="64"/>
      <c r="CW33" s="64"/>
      <c r="CX33" s="64"/>
      <c r="CY33" s="64"/>
      <c r="CZ33" s="64"/>
      <c r="DA33" s="64"/>
      <c r="DB33" s="64"/>
      <c r="DC33" s="64"/>
      <c r="DD33" s="64"/>
      <c r="DE33" s="64"/>
      <c r="DF33" s="64"/>
      <c r="DG33" s="64"/>
      <c r="DH33" s="64"/>
      <c r="DI33" s="64"/>
      <c r="DJ33" s="64"/>
      <c r="DK33" s="64"/>
      <c r="DL33" s="64"/>
      <c r="DM33" s="64"/>
      <c r="DN33" s="64"/>
      <c r="DO33" s="64"/>
      <c r="DP33" s="64"/>
      <c r="DQ33" s="64"/>
      <c r="DR33" s="64"/>
      <c r="DS33" s="64"/>
      <c r="DT33" s="64"/>
      <c r="DU33" s="64"/>
      <c r="DV33" s="64"/>
      <c r="DW33" s="64"/>
      <c r="DX33" s="64"/>
      <c r="DY33" s="64"/>
      <c r="DZ33" s="64"/>
      <c r="EA33" s="64"/>
      <c r="EB33" s="64"/>
      <c r="EC33" s="64"/>
      <c r="ED33" s="64"/>
    </row>
    <row r="34" spans="1:134" ht="15.75" customHeight="1">
      <c r="A34" s="65" t="s">
        <v>198</v>
      </c>
      <c r="B34" s="65" t="s">
        <v>402</v>
      </c>
      <c r="C34" s="65" t="s">
        <v>468</v>
      </c>
      <c r="D34" s="65" t="str">
        <f t="shared" si="0"/>
        <v>RB</v>
      </c>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BX34" s="64"/>
      <c r="BY34" s="64"/>
      <c r="BZ34" s="64"/>
      <c r="CA34" s="64"/>
      <c r="CB34" s="64"/>
      <c r="CC34" s="64"/>
      <c r="CD34" s="64"/>
      <c r="CE34" s="64"/>
      <c r="CF34" s="64"/>
      <c r="CG34" s="64"/>
      <c r="CH34" s="64"/>
      <c r="CI34" s="64"/>
      <c r="CJ34" s="64"/>
      <c r="CK34" s="64"/>
      <c r="CL34" s="64"/>
      <c r="CM34" s="64"/>
      <c r="CN34" s="64"/>
      <c r="CO34" s="64"/>
      <c r="CP34" s="64"/>
      <c r="CQ34" s="64"/>
      <c r="CR34" s="64"/>
      <c r="CS34" s="64"/>
      <c r="CT34" s="64"/>
      <c r="CU34" s="64"/>
      <c r="CV34" s="64"/>
      <c r="CW34" s="64"/>
      <c r="CX34" s="64"/>
      <c r="CY34" s="64"/>
      <c r="CZ34" s="64"/>
      <c r="DA34" s="64"/>
      <c r="DB34" s="64"/>
      <c r="DC34" s="64"/>
      <c r="DD34" s="64"/>
      <c r="DE34" s="64"/>
      <c r="DF34" s="64"/>
      <c r="DG34" s="64"/>
      <c r="DH34" s="64"/>
      <c r="DI34" s="64"/>
      <c r="DJ34" s="64"/>
      <c r="DK34" s="64"/>
      <c r="DL34" s="64"/>
      <c r="DM34" s="64"/>
      <c r="DN34" s="64"/>
      <c r="DO34" s="64"/>
      <c r="DP34" s="64"/>
      <c r="DQ34" s="64"/>
      <c r="DR34" s="64"/>
      <c r="DS34" s="64"/>
      <c r="DT34" s="64"/>
      <c r="DU34" s="64"/>
      <c r="DV34" s="64"/>
      <c r="DW34" s="64"/>
      <c r="DX34" s="64"/>
      <c r="DY34" s="64"/>
      <c r="DZ34" s="64"/>
      <c r="EA34" s="64"/>
      <c r="EB34" s="64"/>
      <c r="EC34" s="64"/>
      <c r="ED34" s="64"/>
    </row>
    <row r="35" spans="1:134" ht="15.75" customHeight="1">
      <c r="A35" s="65" t="s">
        <v>469</v>
      </c>
      <c r="B35" s="65" t="s">
        <v>407</v>
      </c>
      <c r="C35" s="65" t="s">
        <v>470</v>
      </c>
      <c r="D35" s="65" t="str">
        <f t="shared" si="0"/>
        <v>K</v>
      </c>
      <c r="Z35" s="64"/>
      <c r="AA35" s="64"/>
      <c r="AB35" s="64"/>
      <c r="AC35" s="64"/>
      <c r="AD35" s="64"/>
      <c r="AE35" s="64"/>
      <c r="AF35" s="64"/>
      <c r="AG35" s="64"/>
      <c r="AH35" s="64"/>
      <c r="AI35" s="64"/>
      <c r="AJ35" s="64"/>
      <c r="AK35" s="64"/>
      <c r="AL35" s="64"/>
      <c r="AM35" s="64"/>
      <c r="AN35" s="64"/>
      <c r="AO35" s="64"/>
      <c r="AP35" s="64"/>
      <c r="AQ35" s="64"/>
      <c r="AR35" s="64"/>
      <c r="AS35" s="64"/>
      <c r="AT35" s="64"/>
      <c r="AU35" s="64"/>
      <c r="AV35" s="64"/>
      <c r="AW35" s="64"/>
      <c r="AX35" s="64"/>
      <c r="AY35" s="64"/>
      <c r="AZ35" s="64"/>
      <c r="BA35" s="64"/>
      <c r="BB35" s="64"/>
      <c r="BC35" s="64"/>
      <c r="BD35" s="64"/>
      <c r="BE35" s="64"/>
      <c r="BF35" s="64"/>
      <c r="BG35" s="64"/>
      <c r="BH35" s="64"/>
      <c r="BI35" s="64"/>
      <c r="BJ35" s="64"/>
      <c r="BK35" s="64"/>
      <c r="BL35" s="64"/>
      <c r="BM35" s="64"/>
      <c r="BN35" s="64"/>
      <c r="BO35" s="64"/>
      <c r="BP35" s="64"/>
      <c r="BQ35" s="64"/>
      <c r="BR35" s="64"/>
      <c r="BS35" s="64"/>
      <c r="BT35" s="64"/>
      <c r="BU35" s="64"/>
      <c r="BV35" s="64"/>
      <c r="BW35" s="64"/>
      <c r="BX35" s="64"/>
      <c r="BY35" s="64"/>
      <c r="BZ35" s="64"/>
      <c r="CA35" s="64"/>
      <c r="CB35" s="64"/>
      <c r="CC35" s="64"/>
      <c r="CD35" s="64"/>
      <c r="CE35" s="64"/>
      <c r="CF35" s="64"/>
      <c r="CG35" s="64"/>
      <c r="CH35" s="64"/>
      <c r="CI35" s="64"/>
      <c r="CJ35" s="64"/>
      <c r="CK35" s="64"/>
      <c r="CL35" s="64"/>
      <c r="CM35" s="64"/>
      <c r="CN35" s="64"/>
      <c r="CO35" s="64"/>
      <c r="CP35" s="64"/>
      <c r="CQ35" s="64"/>
      <c r="CR35" s="64"/>
      <c r="CS35" s="64"/>
      <c r="CT35" s="64"/>
      <c r="CU35" s="64"/>
      <c r="CV35" s="64"/>
      <c r="CW35" s="64"/>
      <c r="CX35" s="64"/>
      <c r="CY35" s="64"/>
      <c r="CZ35" s="64"/>
      <c r="DA35" s="64"/>
      <c r="DB35" s="64"/>
      <c r="DC35" s="64"/>
      <c r="DD35" s="64"/>
      <c r="DE35" s="64"/>
      <c r="DF35" s="64"/>
      <c r="DG35" s="64"/>
      <c r="DH35" s="64"/>
      <c r="DI35" s="64"/>
      <c r="DJ35" s="64"/>
      <c r="DK35" s="64"/>
      <c r="DL35" s="64"/>
      <c r="DM35" s="64"/>
      <c r="DN35" s="64"/>
      <c r="DO35" s="64"/>
      <c r="DP35" s="64"/>
      <c r="DQ35" s="64"/>
      <c r="DR35" s="64"/>
      <c r="DS35" s="64"/>
      <c r="DT35" s="64"/>
      <c r="DU35" s="64"/>
      <c r="DV35" s="64"/>
      <c r="DW35" s="64"/>
      <c r="DX35" s="64"/>
      <c r="DY35" s="64"/>
      <c r="DZ35" s="64"/>
      <c r="EA35" s="64"/>
      <c r="EB35" s="64"/>
      <c r="EC35" s="64"/>
      <c r="ED35" s="64"/>
    </row>
    <row r="36" spans="1:134" ht="15.75" customHeight="1">
      <c r="A36" s="65" t="s">
        <v>119</v>
      </c>
      <c r="B36" s="65" t="s">
        <v>394</v>
      </c>
      <c r="C36" s="65" t="s">
        <v>471</v>
      </c>
      <c r="D36" s="65" t="str">
        <f t="shared" si="0"/>
        <v>QB</v>
      </c>
      <c r="Z36" s="64"/>
      <c r="AA36" s="64"/>
      <c r="AB36" s="64"/>
      <c r="AC36" s="64"/>
      <c r="AD36" s="64"/>
      <c r="AE36" s="64"/>
      <c r="AF36" s="64"/>
      <c r="AG36" s="64"/>
      <c r="AH36" s="64"/>
      <c r="AI36" s="64"/>
      <c r="AJ36" s="64"/>
      <c r="AK36" s="64"/>
      <c r="AL36" s="64"/>
      <c r="AM36" s="64"/>
      <c r="AN36" s="64"/>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c r="BU36" s="64"/>
      <c r="BV36" s="64"/>
      <c r="BW36" s="64"/>
      <c r="BX36" s="64"/>
      <c r="BY36" s="64"/>
      <c r="BZ36" s="64"/>
      <c r="CA36" s="64"/>
      <c r="CB36" s="64"/>
      <c r="CC36" s="64"/>
      <c r="CD36" s="64"/>
      <c r="CE36" s="64"/>
      <c r="CF36" s="64"/>
      <c r="CG36" s="64"/>
      <c r="CH36" s="64"/>
      <c r="CI36" s="64"/>
      <c r="CJ36" s="64"/>
      <c r="CK36" s="64"/>
      <c r="CL36" s="64"/>
      <c r="CM36" s="64"/>
      <c r="CN36" s="64"/>
      <c r="CO36" s="64"/>
      <c r="CP36" s="64"/>
      <c r="CQ36" s="64"/>
      <c r="CR36" s="64"/>
      <c r="CS36" s="64"/>
      <c r="CT36" s="64"/>
      <c r="CU36" s="64"/>
      <c r="CV36" s="64"/>
      <c r="CW36" s="64"/>
      <c r="CX36" s="64"/>
      <c r="CY36" s="64"/>
      <c r="CZ36" s="64"/>
      <c r="DA36" s="64"/>
      <c r="DB36" s="64"/>
      <c r="DC36" s="64"/>
      <c r="DD36" s="64"/>
      <c r="DE36" s="64"/>
      <c r="DF36" s="64"/>
      <c r="DG36" s="64"/>
      <c r="DH36" s="64"/>
      <c r="DI36" s="64"/>
      <c r="DJ36" s="64"/>
      <c r="DK36" s="64"/>
      <c r="DL36" s="64"/>
      <c r="DM36" s="64"/>
      <c r="DN36" s="64"/>
      <c r="DO36" s="64"/>
      <c r="DP36" s="64"/>
      <c r="DQ36" s="64"/>
      <c r="DR36" s="64"/>
      <c r="DS36" s="64"/>
      <c r="DT36" s="64"/>
      <c r="DU36" s="64"/>
      <c r="DV36" s="64"/>
      <c r="DW36" s="64"/>
      <c r="DX36" s="64"/>
      <c r="DY36" s="64"/>
      <c r="DZ36" s="64"/>
      <c r="EA36" s="64"/>
      <c r="EB36" s="64"/>
      <c r="EC36" s="64"/>
      <c r="ED36" s="64"/>
    </row>
    <row r="37" spans="1:134" ht="15.75" customHeight="1">
      <c r="A37" s="65" t="s">
        <v>159</v>
      </c>
      <c r="B37" s="65" t="s">
        <v>409</v>
      </c>
      <c r="C37" s="65" t="s">
        <v>472</v>
      </c>
      <c r="D37" s="65" t="str">
        <f t="shared" si="0"/>
        <v>RB</v>
      </c>
      <c r="Z37" s="64"/>
      <c r="AA37" s="64"/>
      <c r="AB37" s="64"/>
      <c r="AC37" s="64"/>
      <c r="AD37" s="64"/>
      <c r="AE37" s="64"/>
      <c r="AF37" s="64"/>
      <c r="AG37" s="64"/>
      <c r="AH37" s="64"/>
      <c r="AI37" s="64"/>
      <c r="AJ37" s="64"/>
      <c r="AK37" s="64"/>
      <c r="AL37" s="64"/>
      <c r="AM37" s="64"/>
      <c r="AN37" s="64"/>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c r="BU37" s="64"/>
      <c r="BV37" s="64"/>
      <c r="BW37" s="64"/>
      <c r="BX37" s="64"/>
      <c r="BY37" s="64"/>
      <c r="BZ37" s="64"/>
      <c r="CA37" s="64"/>
      <c r="CB37" s="64"/>
      <c r="CC37" s="64"/>
      <c r="CD37" s="64"/>
      <c r="CE37" s="64"/>
      <c r="CF37" s="64"/>
      <c r="CG37" s="64"/>
      <c r="CH37" s="64"/>
      <c r="CI37" s="64"/>
      <c r="CJ37" s="64"/>
      <c r="CK37" s="64"/>
      <c r="CL37" s="64"/>
      <c r="CM37" s="64"/>
      <c r="CN37" s="64"/>
      <c r="CO37" s="64"/>
      <c r="CP37" s="64"/>
      <c r="CQ37" s="64"/>
      <c r="CR37" s="64"/>
      <c r="CS37" s="64"/>
      <c r="CT37" s="64"/>
      <c r="CU37" s="64"/>
      <c r="CV37" s="64"/>
      <c r="CW37" s="64"/>
      <c r="CX37" s="64"/>
      <c r="CY37" s="64"/>
      <c r="CZ37" s="64"/>
      <c r="DA37" s="64"/>
      <c r="DB37" s="64"/>
      <c r="DC37" s="64"/>
      <c r="DD37" s="64"/>
      <c r="DE37" s="64"/>
      <c r="DF37" s="64"/>
      <c r="DG37" s="64"/>
      <c r="DH37" s="64"/>
      <c r="DI37" s="64"/>
      <c r="DJ37" s="64"/>
      <c r="DK37" s="64"/>
      <c r="DL37" s="64"/>
      <c r="DM37" s="64"/>
      <c r="DN37" s="64"/>
      <c r="DO37" s="64"/>
      <c r="DP37" s="64"/>
      <c r="DQ37" s="64"/>
      <c r="DR37" s="64"/>
      <c r="DS37" s="64"/>
      <c r="DT37" s="64"/>
      <c r="DU37" s="64"/>
      <c r="DV37" s="64"/>
      <c r="DW37" s="64"/>
      <c r="DX37" s="64"/>
      <c r="DY37" s="64"/>
      <c r="DZ37" s="64"/>
      <c r="EA37" s="64"/>
      <c r="EB37" s="64"/>
      <c r="EC37" s="64"/>
      <c r="ED37" s="64"/>
    </row>
    <row r="38" spans="1:134" ht="15.75" customHeight="1">
      <c r="A38" s="65" t="s">
        <v>260</v>
      </c>
      <c r="B38" s="65" t="s">
        <v>407</v>
      </c>
      <c r="C38" s="65" t="s">
        <v>473</v>
      </c>
      <c r="D38" s="65" t="str">
        <f t="shared" si="0"/>
        <v>WR</v>
      </c>
      <c r="Z38" s="64"/>
      <c r="AA38" s="64"/>
      <c r="AB38" s="64"/>
      <c r="AC38" s="64"/>
      <c r="AD38" s="64"/>
      <c r="AE38" s="64"/>
      <c r="AF38" s="64"/>
      <c r="AG38" s="64"/>
      <c r="AH38" s="64"/>
      <c r="AI38" s="64"/>
      <c r="AJ38" s="64"/>
      <c r="AK38" s="64"/>
      <c r="AL38" s="64"/>
      <c r="AM38" s="64"/>
      <c r="AN38" s="64"/>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c r="BU38" s="64"/>
      <c r="BV38" s="64"/>
      <c r="BW38" s="64"/>
      <c r="BX38" s="64"/>
      <c r="BY38" s="64"/>
      <c r="BZ38" s="64"/>
      <c r="CA38" s="64"/>
      <c r="CB38" s="64"/>
      <c r="CC38" s="64"/>
      <c r="CD38" s="64"/>
      <c r="CE38" s="64"/>
      <c r="CF38" s="64"/>
      <c r="CG38" s="64"/>
      <c r="CH38" s="64"/>
      <c r="CI38" s="64"/>
      <c r="CJ38" s="64"/>
      <c r="CK38" s="64"/>
      <c r="CL38" s="64"/>
      <c r="CM38" s="64"/>
      <c r="CN38" s="64"/>
      <c r="CO38" s="64"/>
      <c r="CP38" s="64"/>
      <c r="CQ38" s="64"/>
      <c r="CR38" s="64"/>
      <c r="CS38" s="64"/>
      <c r="CT38" s="64"/>
      <c r="CU38" s="64"/>
      <c r="CV38" s="64"/>
      <c r="CW38" s="64"/>
      <c r="CX38" s="64"/>
      <c r="CY38" s="64"/>
      <c r="CZ38" s="64"/>
      <c r="DA38" s="64"/>
      <c r="DB38" s="64"/>
      <c r="DC38" s="64"/>
      <c r="DD38" s="64"/>
      <c r="DE38" s="64"/>
      <c r="DF38" s="64"/>
      <c r="DG38" s="64"/>
      <c r="DH38" s="64"/>
      <c r="DI38" s="64"/>
      <c r="DJ38" s="64"/>
      <c r="DK38" s="64"/>
      <c r="DL38" s="64"/>
      <c r="DM38" s="64"/>
      <c r="DN38" s="64"/>
      <c r="DO38" s="64"/>
      <c r="DP38" s="64"/>
      <c r="DQ38" s="64"/>
      <c r="DR38" s="64"/>
      <c r="DS38" s="64"/>
      <c r="DT38" s="64"/>
      <c r="DU38" s="64"/>
      <c r="DV38" s="64"/>
      <c r="DW38" s="64"/>
      <c r="DX38" s="64"/>
      <c r="DY38" s="64"/>
      <c r="DZ38" s="64"/>
      <c r="EA38" s="64"/>
      <c r="EB38" s="64"/>
      <c r="EC38" s="64"/>
      <c r="ED38" s="64"/>
    </row>
    <row r="39" spans="1:134" ht="15.75" customHeight="1">
      <c r="A39" s="65" t="s">
        <v>180</v>
      </c>
      <c r="B39" s="65" t="s">
        <v>413</v>
      </c>
      <c r="C39" s="65" t="s">
        <v>474</v>
      </c>
      <c r="D39" s="65" t="str">
        <f t="shared" si="0"/>
        <v>WR</v>
      </c>
      <c r="Z39" s="64"/>
      <c r="AA39" s="64"/>
      <c r="AB39" s="64"/>
      <c r="AC39" s="64"/>
      <c r="AD39" s="64"/>
      <c r="AE39" s="64"/>
      <c r="AF39" s="64"/>
      <c r="AG39" s="64"/>
      <c r="AH39" s="64"/>
      <c r="AI39" s="64"/>
      <c r="AJ39" s="64"/>
      <c r="AK39" s="64"/>
      <c r="AL39" s="64"/>
      <c r="AM39" s="64"/>
      <c r="AN39" s="64"/>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c r="BU39" s="64"/>
      <c r="BV39" s="64"/>
      <c r="BW39" s="64"/>
      <c r="BX39" s="64"/>
      <c r="BY39" s="64"/>
      <c r="BZ39" s="64"/>
      <c r="CA39" s="64"/>
      <c r="CB39" s="64"/>
      <c r="CC39" s="64"/>
      <c r="CD39" s="64"/>
      <c r="CE39" s="64"/>
      <c r="CF39" s="64"/>
      <c r="CG39" s="64"/>
      <c r="CH39" s="64"/>
      <c r="CI39" s="64"/>
      <c r="CJ39" s="64"/>
      <c r="CK39" s="64"/>
      <c r="CL39" s="64"/>
      <c r="CM39" s="64"/>
      <c r="CN39" s="64"/>
      <c r="CO39" s="64"/>
      <c r="CP39" s="64"/>
      <c r="CQ39" s="64"/>
      <c r="CR39" s="64"/>
      <c r="CS39" s="64"/>
      <c r="CT39" s="64"/>
      <c r="CU39" s="64"/>
      <c r="CV39" s="64"/>
      <c r="CW39" s="64"/>
      <c r="CX39" s="64"/>
      <c r="CY39" s="64"/>
      <c r="CZ39" s="64"/>
      <c r="DA39" s="64"/>
      <c r="DB39" s="64"/>
      <c r="DC39" s="64"/>
      <c r="DD39" s="64"/>
      <c r="DE39" s="64"/>
      <c r="DF39" s="64"/>
      <c r="DG39" s="64"/>
      <c r="DH39" s="64"/>
      <c r="DI39" s="64"/>
      <c r="DJ39" s="64"/>
      <c r="DK39" s="64"/>
      <c r="DL39" s="64"/>
      <c r="DM39" s="64"/>
      <c r="DN39" s="64"/>
      <c r="DO39" s="64"/>
      <c r="DP39" s="64"/>
      <c r="DQ39" s="64"/>
      <c r="DR39" s="64"/>
      <c r="DS39" s="64"/>
      <c r="DT39" s="64"/>
      <c r="DU39" s="64"/>
      <c r="DV39" s="64"/>
      <c r="DW39" s="64"/>
      <c r="DX39" s="64"/>
      <c r="DY39" s="64"/>
      <c r="DZ39" s="64"/>
      <c r="EA39" s="64"/>
      <c r="EB39" s="64"/>
      <c r="EC39" s="64"/>
      <c r="ED39" s="64"/>
    </row>
    <row r="40" spans="1:134" ht="15.75" customHeight="1">
      <c r="A40" s="65" t="s">
        <v>222</v>
      </c>
      <c r="B40" s="65" t="s">
        <v>393</v>
      </c>
      <c r="C40" s="65" t="s">
        <v>475</v>
      </c>
      <c r="D40" s="65" t="str">
        <f t="shared" si="0"/>
        <v>K</v>
      </c>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c r="BU40" s="64"/>
      <c r="BV40" s="64"/>
      <c r="BW40" s="64"/>
      <c r="BX40" s="64"/>
      <c r="BY40" s="64"/>
      <c r="BZ40" s="64"/>
      <c r="CA40" s="64"/>
      <c r="CB40" s="64"/>
      <c r="CC40" s="64"/>
      <c r="CD40" s="64"/>
      <c r="CE40" s="64"/>
      <c r="CF40" s="64"/>
      <c r="CG40" s="64"/>
      <c r="CH40" s="64"/>
      <c r="CI40" s="64"/>
      <c r="CJ40" s="64"/>
      <c r="CK40" s="64"/>
      <c r="CL40" s="64"/>
      <c r="CM40" s="64"/>
      <c r="CN40" s="64"/>
      <c r="CO40" s="64"/>
      <c r="CP40" s="64"/>
      <c r="CQ40" s="64"/>
      <c r="CR40" s="64"/>
      <c r="CS40" s="64"/>
      <c r="CT40" s="64"/>
      <c r="CU40" s="64"/>
      <c r="CV40" s="64"/>
      <c r="CW40" s="64"/>
      <c r="CX40" s="64"/>
      <c r="CY40" s="64"/>
      <c r="CZ40" s="64"/>
      <c r="DA40" s="64"/>
      <c r="DB40" s="64"/>
      <c r="DC40" s="64"/>
      <c r="DD40" s="64"/>
      <c r="DE40" s="64"/>
      <c r="DF40" s="64"/>
      <c r="DG40" s="64"/>
      <c r="DH40" s="64"/>
      <c r="DI40" s="64"/>
      <c r="DJ40" s="64"/>
      <c r="DK40" s="64"/>
      <c r="DL40" s="64"/>
      <c r="DM40" s="64"/>
      <c r="DN40" s="64"/>
      <c r="DO40" s="64"/>
      <c r="DP40" s="64"/>
      <c r="DQ40" s="64"/>
      <c r="DR40" s="64"/>
      <c r="DS40" s="64"/>
      <c r="DT40" s="64"/>
      <c r="DU40" s="64"/>
      <c r="DV40" s="64"/>
      <c r="DW40" s="64"/>
      <c r="DX40" s="64"/>
      <c r="DY40" s="64"/>
      <c r="DZ40" s="64"/>
      <c r="EA40" s="64"/>
      <c r="EB40" s="64"/>
      <c r="EC40" s="64"/>
      <c r="ED40" s="64"/>
    </row>
    <row r="41" spans="1:134" ht="15.75" customHeight="1">
      <c r="A41" s="65" t="s">
        <v>326</v>
      </c>
      <c r="B41" s="65" t="s">
        <v>396</v>
      </c>
      <c r="C41" s="65" t="s">
        <v>476</v>
      </c>
      <c r="D41" s="65" t="str">
        <f t="shared" si="0"/>
        <v>K</v>
      </c>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c r="BU41" s="64"/>
      <c r="BV41" s="64"/>
      <c r="BW41" s="64"/>
      <c r="BX41" s="64"/>
      <c r="BY41" s="64"/>
      <c r="BZ41" s="64"/>
      <c r="CA41" s="64"/>
      <c r="CB41" s="64"/>
      <c r="CC41" s="64"/>
      <c r="CD41" s="64"/>
      <c r="CE41" s="64"/>
      <c r="CF41" s="64"/>
      <c r="CG41" s="64"/>
      <c r="CH41" s="64"/>
      <c r="CI41" s="64"/>
      <c r="CJ41" s="64"/>
      <c r="CK41" s="64"/>
      <c r="CL41" s="64"/>
      <c r="CM41" s="64"/>
      <c r="CN41" s="64"/>
      <c r="CO41" s="64"/>
      <c r="CP41" s="64"/>
      <c r="CQ41" s="64"/>
      <c r="CR41" s="64"/>
      <c r="CS41" s="64"/>
      <c r="CT41" s="64"/>
      <c r="CU41" s="64"/>
      <c r="CV41" s="64"/>
      <c r="CW41" s="64"/>
      <c r="CX41" s="64"/>
      <c r="CY41" s="64"/>
      <c r="CZ41" s="64"/>
      <c r="DA41" s="64"/>
      <c r="DB41" s="64"/>
      <c r="DC41" s="64"/>
      <c r="DD41" s="64"/>
      <c r="DE41" s="64"/>
      <c r="DF41" s="64"/>
      <c r="DG41" s="64"/>
      <c r="DH41" s="64"/>
      <c r="DI41" s="64"/>
      <c r="DJ41" s="64"/>
      <c r="DK41" s="64"/>
      <c r="DL41" s="64"/>
      <c r="DM41" s="64"/>
      <c r="DN41" s="64"/>
      <c r="DO41" s="64"/>
      <c r="DP41" s="64"/>
      <c r="DQ41" s="64"/>
      <c r="DR41" s="64"/>
      <c r="DS41" s="64"/>
      <c r="DT41" s="64"/>
      <c r="DU41" s="64"/>
      <c r="DV41" s="64"/>
      <c r="DW41" s="64"/>
      <c r="DX41" s="64"/>
      <c r="DY41" s="64"/>
      <c r="DZ41" s="64"/>
      <c r="EA41" s="64"/>
      <c r="EB41" s="64"/>
      <c r="EC41" s="64"/>
      <c r="ED41" s="64"/>
    </row>
    <row r="42" spans="1:134" ht="15.75" customHeight="1">
      <c r="A42" s="65" t="s">
        <v>315</v>
      </c>
      <c r="B42" s="65" t="s">
        <v>400</v>
      </c>
      <c r="C42" s="65" t="s">
        <v>477</v>
      </c>
      <c r="D42" s="65" t="str">
        <f t="shared" si="0"/>
        <v>RB</v>
      </c>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64"/>
      <c r="BX42" s="64"/>
      <c r="BY42" s="64"/>
      <c r="BZ42" s="64"/>
      <c r="CA42" s="64"/>
      <c r="CB42" s="64"/>
      <c r="CC42" s="64"/>
      <c r="CD42" s="64"/>
      <c r="CE42" s="64"/>
      <c r="CF42" s="64"/>
      <c r="CG42" s="64"/>
      <c r="CH42" s="64"/>
      <c r="CI42" s="64"/>
      <c r="CJ42" s="64"/>
      <c r="CK42" s="64"/>
      <c r="CL42" s="64"/>
      <c r="CM42" s="64"/>
      <c r="CN42" s="64"/>
      <c r="CO42" s="64"/>
      <c r="CP42" s="64"/>
      <c r="CQ42" s="64"/>
      <c r="CR42" s="64"/>
      <c r="CS42" s="64"/>
      <c r="CT42" s="64"/>
      <c r="CU42" s="64"/>
      <c r="CV42" s="64"/>
      <c r="CW42" s="64"/>
      <c r="CX42" s="64"/>
      <c r="CY42" s="64"/>
      <c r="CZ42" s="64"/>
      <c r="DA42" s="64"/>
      <c r="DB42" s="64"/>
      <c r="DC42" s="64"/>
      <c r="DD42" s="64"/>
      <c r="DE42" s="64"/>
      <c r="DF42" s="64"/>
      <c r="DG42" s="64"/>
      <c r="DH42" s="64"/>
      <c r="DI42" s="64"/>
      <c r="DJ42" s="64"/>
      <c r="DK42" s="64"/>
      <c r="DL42" s="64"/>
      <c r="DM42" s="64"/>
      <c r="DN42" s="64"/>
      <c r="DO42" s="64"/>
      <c r="DP42" s="64"/>
      <c r="DQ42" s="64"/>
      <c r="DR42" s="64"/>
      <c r="DS42" s="64"/>
      <c r="DT42" s="64"/>
      <c r="DU42" s="64"/>
      <c r="DV42" s="64"/>
      <c r="DW42" s="64"/>
      <c r="DX42" s="64"/>
      <c r="DY42" s="64"/>
      <c r="DZ42" s="64"/>
      <c r="EA42" s="64"/>
      <c r="EB42" s="64"/>
      <c r="EC42" s="64"/>
      <c r="ED42" s="64"/>
    </row>
    <row r="43" spans="1:134" ht="15.75" customHeight="1">
      <c r="A43" s="65" t="s">
        <v>57</v>
      </c>
      <c r="B43" s="65" t="s">
        <v>409</v>
      </c>
      <c r="C43" s="65" t="s">
        <v>478</v>
      </c>
      <c r="D43" s="65" t="str">
        <f t="shared" si="0"/>
        <v>RB</v>
      </c>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c r="BU43" s="64"/>
      <c r="BV43" s="64"/>
      <c r="BW43" s="64"/>
      <c r="BX43" s="64"/>
      <c r="BY43" s="64"/>
      <c r="BZ43" s="64"/>
      <c r="CA43" s="64"/>
      <c r="CB43" s="64"/>
      <c r="CC43" s="64"/>
      <c r="CD43" s="64"/>
      <c r="CE43" s="64"/>
      <c r="CF43" s="64"/>
      <c r="CG43" s="64"/>
      <c r="CH43" s="64"/>
      <c r="CI43" s="64"/>
      <c r="CJ43" s="64"/>
      <c r="CK43" s="64"/>
      <c r="CL43" s="64"/>
      <c r="CM43" s="64"/>
      <c r="CN43" s="64"/>
      <c r="CO43" s="64"/>
      <c r="CP43" s="64"/>
      <c r="CQ43" s="64"/>
      <c r="CR43" s="64"/>
      <c r="CS43" s="64"/>
      <c r="CT43" s="64"/>
      <c r="CU43" s="64"/>
      <c r="CV43" s="64"/>
      <c r="CW43" s="64"/>
      <c r="CX43" s="64"/>
      <c r="CY43" s="64"/>
      <c r="CZ43" s="64"/>
      <c r="DA43" s="64"/>
      <c r="DB43" s="64"/>
      <c r="DC43" s="64"/>
      <c r="DD43" s="64"/>
      <c r="DE43" s="64"/>
      <c r="DF43" s="64"/>
      <c r="DG43" s="64"/>
      <c r="DH43" s="64"/>
      <c r="DI43" s="64"/>
      <c r="DJ43" s="64"/>
      <c r="DK43" s="64"/>
      <c r="DL43" s="64"/>
      <c r="DM43" s="64"/>
      <c r="DN43" s="64"/>
      <c r="DO43" s="64"/>
      <c r="DP43" s="64"/>
      <c r="DQ43" s="64"/>
      <c r="DR43" s="64"/>
      <c r="DS43" s="64"/>
      <c r="DT43" s="64"/>
      <c r="DU43" s="64"/>
      <c r="DV43" s="64"/>
      <c r="DW43" s="64"/>
      <c r="DX43" s="64"/>
      <c r="DY43" s="64"/>
      <c r="DZ43" s="64"/>
      <c r="EA43" s="64"/>
      <c r="EB43" s="64"/>
      <c r="EC43" s="64"/>
      <c r="ED43" s="64"/>
    </row>
    <row r="44" spans="1:134" ht="15.75" customHeight="1">
      <c r="A44" s="65" t="s">
        <v>174</v>
      </c>
      <c r="B44" s="65" t="s">
        <v>399</v>
      </c>
      <c r="C44" s="65" t="s">
        <v>479</v>
      </c>
      <c r="D44" s="65" t="str">
        <f t="shared" si="0"/>
        <v>TE</v>
      </c>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c r="BU44" s="64"/>
      <c r="BV44" s="64"/>
      <c r="BW44" s="64"/>
      <c r="BX44" s="64"/>
      <c r="BY44" s="64"/>
      <c r="BZ44" s="64"/>
      <c r="CA44" s="64"/>
      <c r="CB44" s="64"/>
      <c r="CC44" s="64"/>
      <c r="CD44" s="64"/>
      <c r="CE44" s="64"/>
      <c r="CF44" s="64"/>
      <c r="CG44" s="64"/>
      <c r="CH44" s="64"/>
      <c r="CI44" s="64"/>
      <c r="CJ44" s="64"/>
      <c r="CK44" s="64"/>
      <c r="CL44" s="64"/>
      <c r="CM44" s="64"/>
      <c r="CN44" s="64"/>
      <c r="CO44" s="64"/>
      <c r="CP44" s="64"/>
      <c r="CQ44" s="64"/>
      <c r="CR44" s="64"/>
      <c r="CS44" s="64"/>
      <c r="CT44" s="64"/>
      <c r="CU44" s="64"/>
      <c r="CV44" s="64"/>
      <c r="CW44" s="64"/>
      <c r="CX44" s="64"/>
      <c r="CY44" s="64"/>
      <c r="CZ44" s="64"/>
      <c r="DA44" s="64"/>
      <c r="DB44" s="64"/>
      <c r="DC44" s="64"/>
      <c r="DD44" s="64"/>
      <c r="DE44" s="64"/>
      <c r="DF44" s="64"/>
      <c r="DG44" s="64"/>
      <c r="DH44" s="64"/>
      <c r="DI44" s="64"/>
      <c r="DJ44" s="64"/>
      <c r="DK44" s="64"/>
      <c r="DL44" s="64"/>
      <c r="DM44" s="64"/>
      <c r="DN44" s="64"/>
      <c r="DO44" s="64"/>
      <c r="DP44" s="64"/>
      <c r="DQ44" s="64"/>
      <c r="DR44" s="64"/>
      <c r="DS44" s="64"/>
      <c r="DT44" s="64"/>
      <c r="DU44" s="64"/>
      <c r="DV44" s="64"/>
      <c r="DW44" s="64"/>
      <c r="DX44" s="64"/>
      <c r="DY44" s="64"/>
      <c r="DZ44" s="64"/>
      <c r="EA44" s="64"/>
      <c r="EB44" s="64"/>
      <c r="EC44" s="64"/>
      <c r="ED44" s="64"/>
    </row>
    <row r="45" spans="1:134" ht="15.75" customHeight="1">
      <c r="A45" s="65" t="s">
        <v>107</v>
      </c>
      <c r="B45" s="65" t="s">
        <v>416</v>
      </c>
      <c r="C45" s="65" t="s">
        <v>480</v>
      </c>
      <c r="D45" s="65" t="str">
        <f t="shared" si="0"/>
        <v>RB</v>
      </c>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c r="BU45" s="64"/>
      <c r="BV45" s="64"/>
      <c r="BW45" s="64"/>
      <c r="BX45" s="64"/>
      <c r="BY45" s="64"/>
      <c r="BZ45" s="64"/>
      <c r="CA45" s="64"/>
      <c r="CB45" s="64"/>
      <c r="CC45" s="64"/>
      <c r="CD45" s="64"/>
      <c r="CE45" s="64"/>
      <c r="CF45" s="64"/>
      <c r="CG45" s="64"/>
      <c r="CH45" s="64"/>
      <c r="CI45" s="64"/>
      <c r="CJ45" s="64"/>
      <c r="CK45" s="64"/>
      <c r="CL45" s="64"/>
      <c r="CM45" s="64"/>
      <c r="CN45" s="64"/>
      <c r="CO45" s="64"/>
      <c r="CP45" s="64"/>
      <c r="CQ45" s="64"/>
      <c r="CR45" s="64"/>
      <c r="CS45" s="64"/>
      <c r="CT45" s="64"/>
      <c r="CU45" s="64"/>
      <c r="CV45" s="64"/>
      <c r="CW45" s="64"/>
      <c r="CX45" s="64"/>
      <c r="CY45" s="64"/>
      <c r="CZ45" s="64"/>
      <c r="DA45" s="64"/>
      <c r="DB45" s="64"/>
      <c r="DC45" s="64"/>
      <c r="DD45" s="64"/>
      <c r="DE45" s="64"/>
      <c r="DF45" s="64"/>
      <c r="DG45" s="64"/>
      <c r="DH45" s="64"/>
      <c r="DI45" s="64"/>
      <c r="DJ45" s="64"/>
      <c r="DK45" s="64"/>
      <c r="DL45" s="64"/>
      <c r="DM45" s="64"/>
      <c r="DN45" s="64"/>
      <c r="DO45" s="64"/>
      <c r="DP45" s="64"/>
      <c r="DQ45" s="64"/>
      <c r="DR45" s="64"/>
      <c r="DS45" s="64"/>
      <c r="DT45" s="64"/>
      <c r="DU45" s="64"/>
      <c r="DV45" s="64"/>
      <c r="DW45" s="64"/>
      <c r="DX45" s="64"/>
      <c r="DY45" s="64"/>
      <c r="DZ45" s="64"/>
      <c r="EA45" s="64"/>
      <c r="EB45" s="64"/>
      <c r="EC45" s="64"/>
      <c r="ED45" s="64"/>
    </row>
    <row r="46" spans="1:134" ht="15.75" customHeight="1">
      <c r="A46" s="65" t="s">
        <v>63</v>
      </c>
      <c r="B46" s="65" t="s">
        <v>399</v>
      </c>
      <c r="C46" s="65" t="s">
        <v>481</v>
      </c>
      <c r="D46" s="65" t="str">
        <f t="shared" si="0"/>
        <v>WR</v>
      </c>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c r="CY46" s="64"/>
      <c r="CZ46" s="64"/>
      <c r="DA46" s="64"/>
      <c r="DB46" s="64"/>
      <c r="DC46" s="64"/>
      <c r="DD46" s="64"/>
      <c r="DE46" s="64"/>
      <c r="DF46" s="64"/>
      <c r="DG46" s="64"/>
      <c r="DH46" s="64"/>
      <c r="DI46" s="64"/>
      <c r="DJ46" s="64"/>
      <c r="DK46" s="64"/>
      <c r="DL46" s="64"/>
      <c r="DM46" s="64"/>
      <c r="DN46" s="64"/>
      <c r="DO46" s="64"/>
      <c r="DP46" s="64"/>
      <c r="DQ46" s="64"/>
      <c r="DR46" s="64"/>
      <c r="DS46" s="64"/>
      <c r="DT46" s="64"/>
      <c r="DU46" s="64"/>
      <c r="DV46" s="64"/>
      <c r="DW46" s="64"/>
      <c r="DX46" s="64"/>
      <c r="DY46" s="64"/>
      <c r="DZ46" s="64"/>
      <c r="EA46" s="64"/>
      <c r="EB46" s="64"/>
      <c r="EC46" s="64"/>
      <c r="ED46" s="64"/>
    </row>
    <row r="47" spans="1:134" ht="15.75" customHeight="1">
      <c r="A47" s="65" t="s">
        <v>62</v>
      </c>
      <c r="B47" s="65" t="s">
        <v>403</v>
      </c>
      <c r="C47" s="65" t="s">
        <v>482</v>
      </c>
      <c r="D47" s="65" t="str">
        <f t="shared" si="0"/>
        <v>TE</v>
      </c>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64"/>
      <c r="BX47" s="64"/>
      <c r="BY47" s="64"/>
      <c r="BZ47" s="64"/>
      <c r="CA47" s="64"/>
      <c r="CB47" s="64"/>
      <c r="CC47" s="64"/>
      <c r="CD47" s="64"/>
      <c r="CE47" s="64"/>
      <c r="CF47" s="64"/>
      <c r="CG47" s="64"/>
      <c r="CH47" s="64"/>
      <c r="CI47" s="64"/>
      <c r="CJ47" s="64"/>
      <c r="CK47" s="64"/>
      <c r="CL47" s="64"/>
      <c r="CM47" s="64"/>
      <c r="CN47" s="64"/>
      <c r="CO47" s="64"/>
      <c r="CP47" s="64"/>
      <c r="CQ47" s="64"/>
      <c r="CR47" s="64"/>
      <c r="CS47" s="64"/>
      <c r="CT47" s="64"/>
      <c r="CU47" s="64"/>
      <c r="CV47" s="64"/>
      <c r="CW47" s="64"/>
      <c r="CX47" s="64"/>
      <c r="CY47" s="64"/>
      <c r="CZ47" s="64"/>
      <c r="DA47" s="64"/>
      <c r="DB47" s="64"/>
      <c r="DC47" s="64"/>
      <c r="DD47" s="64"/>
      <c r="DE47" s="64"/>
      <c r="DF47" s="64"/>
      <c r="DG47" s="64"/>
      <c r="DH47" s="64"/>
      <c r="DI47" s="64"/>
      <c r="DJ47" s="64"/>
      <c r="DK47" s="64"/>
      <c r="DL47" s="64"/>
      <c r="DM47" s="64"/>
      <c r="DN47" s="64"/>
      <c r="DO47" s="64"/>
      <c r="DP47" s="64"/>
      <c r="DQ47" s="64"/>
      <c r="DR47" s="64"/>
      <c r="DS47" s="64"/>
      <c r="DT47" s="64"/>
      <c r="DU47" s="64"/>
      <c r="DV47" s="64"/>
      <c r="DW47" s="64"/>
      <c r="DX47" s="64"/>
      <c r="DY47" s="64"/>
      <c r="DZ47" s="64"/>
      <c r="EA47" s="64"/>
      <c r="EB47" s="64"/>
      <c r="EC47" s="64"/>
      <c r="ED47" s="64"/>
    </row>
    <row r="48" spans="1:134" ht="15.75" customHeight="1">
      <c r="A48" s="65" t="s">
        <v>128</v>
      </c>
      <c r="B48" s="65" t="s">
        <v>413</v>
      </c>
      <c r="C48" s="65" t="s">
        <v>483</v>
      </c>
      <c r="D48" s="65" t="str">
        <f t="shared" si="0"/>
        <v>QB</v>
      </c>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c r="BU48" s="64"/>
      <c r="BV48" s="64"/>
      <c r="BW48" s="64"/>
      <c r="BX48" s="64"/>
      <c r="BY48" s="64"/>
      <c r="BZ48" s="64"/>
      <c r="CA48" s="64"/>
      <c r="CB48" s="64"/>
      <c r="CC48" s="64"/>
      <c r="CD48" s="64"/>
      <c r="CE48" s="64"/>
      <c r="CF48" s="64"/>
      <c r="CG48" s="64"/>
      <c r="CH48" s="64"/>
      <c r="CI48" s="64"/>
      <c r="CJ48" s="64"/>
      <c r="CK48" s="64"/>
      <c r="CL48" s="64"/>
      <c r="CM48" s="64"/>
      <c r="CN48" s="64"/>
      <c r="CO48" s="64"/>
      <c r="CP48" s="64"/>
      <c r="CQ48" s="64"/>
      <c r="CR48" s="64"/>
      <c r="CS48" s="64"/>
      <c r="CT48" s="64"/>
      <c r="CU48" s="64"/>
      <c r="CV48" s="64"/>
      <c r="CW48" s="64"/>
      <c r="CX48" s="64"/>
      <c r="CY48" s="64"/>
      <c r="CZ48" s="64"/>
      <c r="DA48" s="64"/>
      <c r="DB48" s="64"/>
      <c r="DC48" s="64"/>
      <c r="DD48" s="64"/>
      <c r="DE48" s="64"/>
      <c r="DF48" s="64"/>
      <c r="DG48" s="64"/>
      <c r="DH48" s="64"/>
      <c r="DI48" s="64"/>
      <c r="DJ48" s="64"/>
      <c r="DK48" s="64"/>
      <c r="DL48" s="64"/>
      <c r="DM48" s="64"/>
      <c r="DN48" s="64"/>
      <c r="DO48" s="64"/>
      <c r="DP48" s="64"/>
      <c r="DQ48" s="64"/>
      <c r="DR48" s="64"/>
      <c r="DS48" s="64"/>
      <c r="DT48" s="64"/>
      <c r="DU48" s="64"/>
      <c r="DV48" s="64"/>
      <c r="DW48" s="64"/>
      <c r="DX48" s="64"/>
      <c r="DY48" s="64"/>
      <c r="DZ48" s="64"/>
      <c r="EA48" s="64"/>
      <c r="EB48" s="64"/>
      <c r="EC48" s="64"/>
      <c r="ED48" s="64"/>
    </row>
    <row r="49" spans="1:134" ht="15.75" customHeight="1">
      <c r="A49" s="65" t="s">
        <v>204</v>
      </c>
      <c r="B49" s="65" t="s">
        <v>389</v>
      </c>
      <c r="C49" s="65" t="s">
        <v>484</v>
      </c>
      <c r="D49" s="65" t="str">
        <f t="shared" si="0"/>
        <v>QB</v>
      </c>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64"/>
      <c r="BX49" s="64"/>
      <c r="BY49" s="64"/>
      <c r="BZ49" s="64"/>
      <c r="CA49" s="64"/>
      <c r="CB49" s="64"/>
      <c r="CC49" s="64"/>
      <c r="CD49" s="64"/>
      <c r="CE49" s="64"/>
      <c r="CF49" s="64"/>
      <c r="CG49" s="64"/>
      <c r="CH49" s="64"/>
      <c r="CI49" s="64"/>
      <c r="CJ49" s="64"/>
      <c r="CK49" s="64"/>
      <c r="CL49" s="64"/>
      <c r="CM49" s="64"/>
      <c r="CN49" s="64"/>
      <c r="CO49" s="64"/>
      <c r="CP49" s="64"/>
      <c r="CQ49" s="64"/>
      <c r="CR49" s="64"/>
      <c r="CS49" s="64"/>
      <c r="CT49" s="64"/>
      <c r="CU49" s="64"/>
      <c r="CV49" s="64"/>
      <c r="CW49" s="64"/>
      <c r="CX49" s="64"/>
      <c r="CY49" s="64"/>
      <c r="CZ49" s="64"/>
      <c r="DA49" s="64"/>
      <c r="DB49" s="64"/>
      <c r="DC49" s="64"/>
      <c r="DD49" s="64"/>
      <c r="DE49" s="64"/>
      <c r="DF49" s="64"/>
      <c r="DG49" s="64"/>
      <c r="DH49" s="64"/>
      <c r="DI49" s="64"/>
      <c r="DJ49" s="64"/>
      <c r="DK49" s="64"/>
      <c r="DL49" s="64"/>
      <c r="DM49" s="64"/>
      <c r="DN49" s="64"/>
      <c r="DO49" s="64"/>
      <c r="DP49" s="64"/>
      <c r="DQ49" s="64"/>
      <c r="DR49" s="64"/>
      <c r="DS49" s="64"/>
      <c r="DT49" s="64"/>
      <c r="DU49" s="64"/>
      <c r="DV49" s="64"/>
      <c r="DW49" s="64"/>
      <c r="DX49" s="64"/>
      <c r="DY49" s="64"/>
      <c r="DZ49" s="64"/>
      <c r="EA49" s="64"/>
      <c r="EB49" s="64"/>
      <c r="EC49" s="64"/>
      <c r="ED49" s="64"/>
    </row>
    <row r="50" spans="1:134" ht="15.75" customHeight="1">
      <c r="A50" s="65" t="s">
        <v>58</v>
      </c>
      <c r="B50" s="65" t="s">
        <v>414</v>
      </c>
      <c r="C50" s="65" t="s">
        <v>485</v>
      </c>
      <c r="D50" s="65" t="str">
        <f t="shared" si="0"/>
        <v>RB</v>
      </c>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c r="CY50" s="64"/>
      <c r="CZ50" s="64"/>
      <c r="DA50" s="64"/>
      <c r="DB50" s="64"/>
      <c r="DC50" s="64"/>
      <c r="DD50" s="64"/>
      <c r="DE50" s="64"/>
      <c r="DF50" s="64"/>
      <c r="DG50" s="64"/>
      <c r="DH50" s="64"/>
      <c r="DI50" s="64"/>
      <c r="DJ50" s="64"/>
      <c r="DK50" s="64"/>
      <c r="DL50" s="64"/>
      <c r="DM50" s="64"/>
      <c r="DN50" s="64"/>
      <c r="DO50" s="64"/>
      <c r="DP50" s="64"/>
      <c r="DQ50" s="64"/>
      <c r="DR50" s="64"/>
      <c r="DS50" s="64"/>
      <c r="DT50" s="64"/>
      <c r="DU50" s="64"/>
      <c r="DV50" s="64"/>
      <c r="DW50" s="64"/>
      <c r="DX50" s="64"/>
      <c r="DY50" s="64"/>
      <c r="DZ50" s="64"/>
      <c r="EA50" s="64"/>
      <c r="EB50" s="64"/>
      <c r="EC50" s="64"/>
      <c r="ED50" s="64"/>
    </row>
    <row r="51" spans="1:134" ht="15.75" customHeight="1">
      <c r="A51" s="65" t="s">
        <v>250</v>
      </c>
      <c r="B51" s="65" t="s">
        <v>388</v>
      </c>
      <c r="C51" s="65" t="s">
        <v>486</v>
      </c>
      <c r="D51" s="65" t="str">
        <f t="shared" si="0"/>
        <v>DEF</v>
      </c>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64"/>
      <c r="BX51" s="64"/>
      <c r="BY51" s="64"/>
      <c r="BZ51" s="64"/>
      <c r="CA51" s="64"/>
      <c r="CB51" s="64"/>
      <c r="CC51" s="64"/>
      <c r="CD51" s="64"/>
      <c r="CE51" s="64"/>
      <c r="CF51" s="64"/>
      <c r="CG51" s="64"/>
      <c r="CH51" s="64"/>
      <c r="CI51" s="64"/>
      <c r="CJ51" s="64"/>
      <c r="CK51" s="64"/>
      <c r="CL51" s="64"/>
      <c r="CM51" s="64"/>
      <c r="CN51" s="64"/>
      <c r="CO51" s="64"/>
      <c r="CP51" s="64"/>
      <c r="CQ51" s="64"/>
      <c r="CR51" s="64"/>
      <c r="CS51" s="64"/>
      <c r="CT51" s="64"/>
      <c r="CU51" s="64"/>
      <c r="CV51" s="64"/>
      <c r="CW51" s="64"/>
      <c r="CX51" s="64"/>
      <c r="CY51" s="64"/>
      <c r="CZ51" s="64"/>
      <c r="DA51" s="64"/>
      <c r="DB51" s="64"/>
      <c r="DC51" s="64"/>
      <c r="DD51" s="64"/>
      <c r="DE51" s="64"/>
      <c r="DF51" s="64"/>
      <c r="DG51" s="64"/>
      <c r="DH51" s="64"/>
      <c r="DI51" s="64"/>
      <c r="DJ51" s="64"/>
      <c r="DK51" s="64"/>
      <c r="DL51" s="64"/>
      <c r="DM51" s="64"/>
      <c r="DN51" s="64"/>
      <c r="DO51" s="64"/>
      <c r="DP51" s="64"/>
      <c r="DQ51" s="64"/>
      <c r="DR51" s="64"/>
      <c r="DS51" s="64"/>
      <c r="DT51" s="64"/>
      <c r="DU51" s="64"/>
      <c r="DV51" s="64"/>
      <c r="DW51" s="64"/>
      <c r="DX51" s="64"/>
      <c r="DY51" s="64"/>
      <c r="DZ51" s="64"/>
      <c r="EA51" s="64"/>
      <c r="EB51" s="64"/>
      <c r="EC51" s="64"/>
      <c r="ED51" s="64"/>
    </row>
    <row r="52" spans="1:134" ht="15.75" customHeight="1">
      <c r="A52" s="65" t="s">
        <v>160</v>
      </c>
      <c r="B52" s="65" t="s">
        <v>397</v>
      </c>
      <c r="C52" s="65" t="s">
        <v>487</v>
      </c>
      <c r="D52" s="65" t="str">
        <f t="shared" si="0"/>
        <v>QB</v>
      </c>
      <c r="Z52" s="64"/>
      <c r="AA52" s="64"/>
      <c r="AB52" s="64"/>
      <c r="AC52" s="64"/>
      <c r="AD52" s="64"/>
      <c r="AE52" s="64"/>
      <c r="AF52" s="64"/>
      <c r="AG52" s="64"/>
      <c r="AH52" s="64"/>
      <c r="AI52" s="64"/>
      <c r="AJ52" s="64"/>
      <c r="AK52" s="64"/>
      <c r="AL52" s="64"/>
      <c r="AM52" s="64"/>
      <c r="AN52" s="64"/>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c r="BU52" s="64"/>
      <c r="BV52" s="64"/>
      <c r="BW52" s="64"/>
      <c r="BX52" s="64"/>
      <c r="BY52" s="64"/>
      <c r="BZ52" s="64"/>
      <c r="CA52" s="64"/>
      <c r="CB52" s="64"/>
      <c r="CC52" s="64"/>
      <c r="CD52" s="64"/>
      <c r="CE52" s="64"/>
      <c r="CF52" s="64"/>
      <c r="CG52" s="64"/>
      <c r="CH52" s="64"/>
      <c r="CI52" s="64"/>
      <c r="CJ52" s="64"/>
      <c r="CK52" s="64"/>
      <c r="CL52" s="64"/>
      <c r="CM52" s="64"/>
      <c r="CN52" s="64"/>
      <c r="CO52" s="64"/>
      <c r="CP52" s="64"/>
      <c r="CQ52" s="64"/>
      <c r="CR52" s="64"/>
      <c r="CS52" s="64"/>
      <c r="CT52" s="64"/>
      <c r="CU52" s="64"/>
      <c r="CV52" s="64"/>
      <c r="CW52" s="64"/>
      <c r="CX52" s="64"/>
      <c r="CY52" s="64"/>
      <c r="CZ52" s="64"/>
      <c r="DA52" s="64"/>
      <c r="DB52" s="64"/>
      <c r="DC52" s="64"/>
      <c r="DD52" s="64"/>
      <c r="DE52" s="64"/>
      <c r="DF52" s="64"/>
      <c r="DG52" s="64"/>
      <c r="DH52" s="64"/>
      <c r="DI52" s="64"/>
      <c r="DJ52" s="64"/>
      <c r="DK52" s="64"/>
      <c r="DL52" s="64"/>
      <c r="DM52" s="64"/>
      <c r="DN52" s="64"/>
      <c r="DO52" s="64"/>
      <c r="DP52" s="64"/>
      <c r="DQ52" s="64"/>
      <c r="DR52" s="64"/>
      <c r="DS52" s="64"/>
      <c r="DT52" s="64"/>
      <c r="DU52" s="64"/>
      <c r="DV52" s="64"/>
      <c r="DW52" s="64"/>
      <c r="DX52" s="64"/>
      <c r="DY52" s="64"/>
      <c r="DZ52" s="64"/>
      <c r="EA52" s="64"/>
      <c r="EB52" s="64"/>
      <c r="EC52" s="64"/>
      <c r="ED52" s="64"/>
    </row>
    <row r="53" spans="1:134" ht="15.75" customHeight="1">
      <c r="A53" s="65" t="s">
        <v>246</v>
      </c>
      <c r="B53" s="65" t="s">
        <v>414</v>
      </c>
      <c r="C53" s="65" t="s">
        <v>488</v>
      </c>
      <c r="D53" s="65" t="str">
        <f t="shared" si="0"/>
        <v>TE</v>
      </c>
      <c r="Z53" s="64"/>
      <c r="AA53" s="64"/>
      <c r="AB53" s="64"/>
      <c r="AC53" s="64"/>
      <c r="AD53" s="64"/>
      <c r="AE53" s="64"/>
      <c r="AF53" s="64"/>
      <c r="AG53" s="64"/>
      <c r="AH53" s="64"/>
      <c r="AI53" s="64"/>
      <c r="AJ53" s="64"/>
      <c r="AK53" s="64"/>
      <c r="AL53" s="64"/>
      <c r="AM53" s="64"/>
      <c r="AN53" s="64"/>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c r="BU53" s="64"/>
      <c r="BV53" s="64"/>
      <c r="BW53" s="64"/>
      <c r="BX53" s="64"/>
      <c r="BY53" s="64"/>
      <c r="BZ53" s="64"/>
      <c r="CA53" s="64"/>
      <c r="CB53" s="64"/>
      <c r="CC53" s="64"/>
      <c r="CD53" s="64"/>
      <c r="CE53" s="64"/>
      <c r="CF53" s="64"/>
      <c r="CG53" s="64"/>
      <c r="CH53" s="64"/>
      <c r="CI53" s="64"/>
      <c r="CJ53" s="64"/>
      <c r="CK53" s="64"/>
      <c r="CL53" s="64"/>
      <c r="CM53" s="64"/>
      <c r="CN53" s="64"/>
      <c r="CO53" s="64"/>
      <c r="CP53" s="64"/>
      <c r="CQ53" s="64"/>
      <c r="CR53" s="64"/>
      <c r="CS53" s="64"/>
      <c r="CT53" s="64"/>
      <c r="CU53" s="64"/>
      <c r="CV53" s="64"/>
      <c r="CW53" s="64"/>
      <c r="CX53" s="64"/>
      <c r="CY53" s="64"/>
      <c r="CZ53" s="64"/>
      <c r="DA53" s="64"/>
      <c r="DB53" s="64"/>
      <c r="DC53" s="64"/>
      <c r="DD53" s="64"/>
      <c r="DE53" s="64"/>
      <c r="DF53" s="64"/>
      <c r="DG53" s="64"/>
      <c r="DH53" s="64"/>
      <c r="DI53" s="64"/>
      <c r="DJ53" s="64"/>
      <c r="DK53" s="64"/>
      <c r="DL53" s="64"/>
      <c r="DM53" s="64"/>
      <c r="DN53" s="64"/>
      <c r="DO53" s="64"/>
      <c r="DP53" s="64"/>
      <c r="DQ53" s="64"/>
      <c r="DR53" s="64"/>
      <c r="DS53" s="64"/>
      <c r="DT53" s="64"/>
      <c r="DU53" s="64"/>
      <c r="DV53" s="64"/>
      <c r="DW53" s="64"/>
      <c r="DX53" s="64"/>
      <c r="DY53" s="64"/>
      <c r="DZ53" s="64"/>
      <c r="EA53" s="64"/>
      <c r="EB53" s="64"/>
      <c r="EC53" s="64"/>
      <c r="ED53" s="64"/>
    </row>
    <row r="54" spans="1:134" ht="15.75" customHeight="1">
      <c r="A54" s="65" t="s">
        <v>262</v>
      </c>
      <c r="B54" s="65" t="s">
        <v>397</v>
      </c>
      <c r="C54" s="65" t="s">
        <v>489</v>
      </c>
      <c r="D54" s="65" t="str">
        <f t="shared" si="0"/>
        <v>TE</v>
      </c>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c r="BU54" s="64"/>
      <c r="BV54" s="64"/>
      <c r="BW54" s="64"/>
      <c r="BX54" s="64"/>
      <c r="BY54" s="64"/>
      <c r="BZ54" s="64"/>
      <c r="CA54" s="64"/>
      <c r="CB54" s="64"/>
      <c r="CC54" s="64"/>
      <c r="CD54" s="64"/>
      <c r="CE54" s="64"/>
      <c r="CF54" s="64"/>
      <c r="CG54" s="64"/>
      <c r="CH54" s="64"/>
      <c r="CI54" s="64"/>
      <c r="CJ54" s="64"/>
      <c r="CK54" s="64"/>
      <c r="CL54" s="64"/>
      <c r="CM54" s="64"/>
      <c r="CN54" s="64"/>
      <c r="CO54" s="64"/>
      <c r="CP54" s="64"/>
      <c r="CQ54" s="64"/>
      <c r="CR54" s="64"/>
      <c r="CS54" s="64"/>
      <c r="CT54" s="64"/>
      <c r="CU54" s="64"/>
      <c r="CV54" s="64"/>
      <c r="CW54" s="64"/>
      <c r="CX54" s="64"/>
      <c r="CY54" s="64"/>
      <c r="CZ54" s="64"/>
      <c r="DA54" s="64"/>
      <c r="DB54" s="64"/>
      <c r="DC54" s="64"/>
      <c r="DD54" s="64"/>
      <c r="DE54" s="64"/>
      <c r="DF54" s="64"/>
      <c r="DG54" s="64"/>
      <c r="DH54" s="64"/>
      <c r="DI54" s="64"/>
      <c r="DJ54" s="64"/>
      <c r="DK54" s="64"/>
      <c r="DL54" s="64"/>
      <c r="DM54" s="64"/>
      <c r="DN54" s="64"/>
      <c r="DO54" s="64"/>
      <c r="DP54" s="64"/>
      <c r="DQ54" s="64"/>
      <c r="DR54" s="64"/>
      <c r="DS54" s="64"/>
      <c r="DT54" s="64"/>
      <c r="DU54" s="64"/>
      <c r="DV54" s="64"/>
      <c r="DW54" s="64"/>
      <c r="DX54" s="64"/>
      <c r="DY54" s="64"/>
      <c r="DZ54" s="64"/>
      <c r="EA54" s="64"/>
      <c r="EB54" s="64"/>
      <c r="EC54" s="64"/>
      <c r="ED54" s="64"/>
    </row>
    <row r="55" spans="1:134" ht="15.75" customHeight="1">
      <c r="A55" s="65" t="s">
        <v>323</v>
      </c>
      <c r="B55" s="65" t="s">
        <v>390</v>
      </c>
      <c r="C55" s="65" t="s">
        <v>490</v>
      </c>
      <c r="D55" s="65" t="str">
        <f t="shared" si="0"/>
        <v>K</v>
      </c>
      <c r="Z55" s="64"/>
      <c r="AA55" s="64"/>
      <c r="AB55" s="64"/>
      <c r="AC55" s="64"/>
      <c r="AD55" s="64"/>
      <c r="AE55" s="64"/>
      <c r="AF55" s="64"/>
      <c r="AG55" s="64"/>
      <c r="AH55" s="64"/>
      <c r="AI55" s="64"/>
      <c r="AJ55" s="64"/>
      <c r="AK55" s="64"/>
      <c r="AL55" s="64"/>
      <c r="AM55" s="64"/>
      <c r="AN55" s="64"/>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c r="BU55" s="64"/>
      <c r="BV55" s="64"/>
      <c r="BW55" s="64"/>
      <c r="BX55" s="64"/>
      <c r="BY55" s="64"/>
      <c r="BZ55" s="64"/>
      <c r="CA55" s="64"/>
      <c r="CB55" s="64"/>
      <c r="CC55" s="64"/>
      <c r="CD55" s="64"/>
      <c r="CE55" s="64"/>
      <c r="CF55" s="64"/>
      <c r="CG55" s="64"/>
      <c r="CH55" s="64"/>
      <c r="CI55" s="64"/>
      <c r="CJ55" s="64"/>
      <c r="CK55" s="64"/>
      <c r="CL55" s="64"/>
      <c r="CM55" s="64"/>
      <c r="CN55" s="64"/>
      <c r="CO55" s="64"/>
      <c r="CP55" s="64"/>
      <c r="CQ55" s="64"/>
      <c r="CR55" s="64"/>
      <c r="CS55" s="64"/>
      <c r="CT55" s="64"/>
      <c r="CU55" s="64"/>
      <c r="CV55" s="64"/>
      <c r="CW55" s="64"/>
      <c r="CX55" s="64"/>
      <c r="CY55" s="64"/>
      <c r="CZ55" s="64"/>
      <c r="DA55" s="64"/>
      <c r="DB55" s="64"/>
      <c r="DC55" s="64"/>
      <c r="DD55" s="64"/>
      <c r="DE55" s="64"/>
      <c r="DF55" s="64"/>
      <c r="DG55" s="64"/>
      <c r="DH55" s="64"/>
      <c r="DI55" s="64"/>
      <c r="DJ55" s="64"/>
      <c r="DK55" s="64"/>
      <c r="DL55" s="64"/>
      <c r="DM55" s="64"/>
      <c r="DN55" s="64"/>
      <c r="DO55" s="64"/>
      <c r="DP55" s="64"/>
      <c r="DQ55" s="64"/>
      <c r="DR55" s="64"/>
      <c r="DS55" s="64"/>
      <c r="DT55" s="64"/>
      <c r="DU55" s="64"/>
      <c r="DV55" s="64"/>
      <c r="DW55" s="64"/>
      <c r="DX55" s="64"/>
      <c r="DY55" s="64"/>
      <c r="DZ55" s="64"/>
      <c r="EA55" s="64"/>
      <c r="EB55" s="64"/>
      <c r="EC55" s="64"/>
      <c r="ED55" s="64"/>
    </row>
    <row r="56" spans="1:134" ht="15.75" customHeight="1">
      <c r="A56" s="65" t="s">
        <v>186</v>
      </c>
      <c r="B56" s="65" t="s">
        <v>390</v>
      </c>
      <c r="C56" s="65" t="s">
        <v>491</v>
      </c>
      <c r="D56" s="65" t="str">
        <f t="shared" si="0"/>
        <v>QB</v>
      </c>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c r="BU56" s="64"/>
      <c r="BV56" s="64"/>
      <c r="BW56" s="64"/>
      <c r="BX56" s="64"/>
      <c r="BY56" s="64"/>
      <c r="BZ56" s="64"/>
      <c r="CA56" s="64"/>
      <c r="CB56" s="64"/>
      <c r="CC56" s="64"/>
      <c r="CD56" s="64"/>
      <c r="CE56" s="64"/>
      <c r="CF56" s="64"/>
      <c r="CG56" s="64"/>
      <c r="CH56" s="64"/>
      <c r="CI56" s="64"/>
      <c r="CJ56" s="64"/>
      <c r="CK56" s="64"/>
      <c r="CL56" s="64"/>
      <c r="CM56" s="64"/>
      <c r="CN56" s="64"/>
      <c r="CO56" s="64"/>
      <c r="CP56" s="64"/>
      <c r="CQ56" s="64"/>
      <c r="CR56" s="64"/>
      <c r="CS56" s="64"/>
      <c r="CT56" s="64"/>
      <c r="CU56" s="64"/>
      <c r="CV56" s="64"/>
      <c r="CW56" s="64"/>
      <c r="CX56" s="64"/>
      <c r="CY56" s="64"/>
      <c r="CZ56" s="64"/>
      <c r="DA56" s="64"/>
      <c r="DB56" s="64"/>
      <c r="DC56" s="64"/>
      <c r="DD56" s="64"/>
      <c r="DE56" s="64"/>
      <c r="DF56" s="64"/>
      <c r="DG56" s="64"/>
      <c r="DH56" s="64"/>
      <c r="DI56" s="64"/>
      <c r="DJ56" s="64"/>
      <c r="DK56" s="64"/>
      <c r="DL56" s="64"/>
      <c r="DM56" s="64"/>
      <c r="DN56" s="64"/>
      <c r="DO56" s="64"/>
      <c r="DP56" s="64"/>
      <c r="DQ56" s="64"/>
      <c r="DR56" s="64"/>
      <c r="DS56" s="64"/>
      <c r="DT56" s="64"/>
      <c r="DU56" s="64"/>
      <c r="DV56" s="64"/>
      <c r="DW56" s="64"/>
      <c r="DX56" s="64"/>
      <c r="DY56" s="64"/>
      <c r="DZ56" s="64"/>
      <c r="EA56" s="64"/>
      <c r="EB56" s="64"/>
      <c r="EC56" s="64"/>
      <c r="ED56" s="64"/>
    </row>
    <row r="57" spans="1:134" ht="15.75" customHeight="1">
      <c r="A57" s="65" t="s">
        <v>308</v>
      </c>
      <c r="B57" s="65" t="s">
        <v>411</v>
      </c>
      <c r="C57" s="65" t="s">
        <v>492</v>
      </c>
      <c r="D57" s="65" t="str">
        <f t="shared" si="0"/>
        <v>WR</v>
      </c>
      <c r="Z57" s="64"/>
      <c r="AA57" s="64"/>
      <c r="AB57" s="64"/>
      <c r="AC57" s="64"/>
      <c r="AD57" s="64"/>
      <c r="AE57" s="64"/>
      <c r="AF57" s="64"/>
      <c r="AG57" s="64"/>
      <c r="AH57" s="64"/>
      <c r="AI57" s="64"/>
      <c r="AJ57" s="64"/>
      <c r="AK57" s="64"/>
      <c r="AL57" s="64"/>
      <c r="AM57" s="64"/>
      <c r="AN57" s="64"/>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c r="BU57" s="64"/>
      <c r="BV57" s="64"/>
      <c r="BW57" s="64"/>
      <c r="BX57" s="64"/>
      <c r="BY57" s="64"/>
      <c r="BZ57" s="64"/>
      <c r="CA57" s="64"/>
      <c r="CB57" s="64"/>
      <c r="CC57" s="64"/>
      <c r="CD57" s="64"/>
      <c r="CE57" s="64"/>
      <c r="CF57" s="64"/>
      <c r="CG57" s="64"/>
      <c r="CH57" s="64"/>
      <c r="CI57" s="64"/>
      <c r="CJ57" s="64"/>
      <c r="CK57" s="64"/>
      <c r="CL57" s="64"/>
      <c r="CM57" s="64"/>
      <c r="CN57" s="64"/>
      <c r="CO57" s="64"/>
      <c r="CP57" s="64"/>
      <c r="CQ57" s="64"/>
      <c r="CR57" s="64"/>
      <c r="CS57" s="64"/>
      <c r="CT57" s="64"/>
      <c r="CU57" s="64"/>
      <c r="CV57" s="64"/>
      <c r="CW57" s="64"/>
      <c r="CX57" s="64"/>
      <c r="CY57" s="64"/>
      <c r="CZ57" s="64"/>
      <c r="DA57" s="64"/>
      <c r="DB57" s="64"/>
      <c r="DC57" s="64"/>
      <c r="DD57" s="64"/>
      <c r="DE57" s="64"/>
      <c r="DF57" s="64"/>
      <c r="DG57" s="64"/>
      <c r="DH57" s="64"/>
      <c r="DI57" s="64"/>
      <c r="DJ57" s="64"/>
      <c r="DK57" s="64"/>
      <c r="DL57" s="64"/>
      <c r="DM57" s="64"/>
      <c r="DN57" s="64"/>
      <c r="DO57" s="64"/>
      <c r="DP57" s="64"/>
      <c r="DQ57" s="64"/>
      <c r="DR57" s="64"/>
      <c r="DS57" s="64"/>
      <c r="DT57" s="64"/>
      <c r="DU57" s="64"/>
      <c r="DV57" s="64"/>
      <c r="DW57" s="64"/>
      <c r="DX57" s="64"/>
      <c r="DY57" s="64"/>
      <c r="DZ57" s="64"/>
      <c r="EA57" s="64"/>
      <c r="EB57" s="64"/>
      <c r="EC57" s="64"/>
      <c r="ED57" s="64"/>
    </row>
    <row r="58" spans="1:134" ht="15.75" customHeight="1">
      <c r="A58" s="65" t="s">
        <v>73</v>
      </c>
      <c r="B58" s="65" t="s">
        <v>415</v>
      </c>
      <c r="C58" s="65" t="s">
        <v>493</v>
      </c>
      <c r="D58" s="65" t="str">
        <f t="shared" si="0"/>
        <v>WR</v>
      </c>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c r="BU58" s="64"/>
      <c r="BV58" s="64"/>
      <c r="BW58" s="64"/>
      <c r="BX58" s="64"/>
      <c r="BY58" s="64"/>
      <c r="BZ58" s="64"/>
      <c r="CA58" s="64"/>
      <c r="CB58" s="64"/>
      <c r="CC58" s="64"/>
      <c r="CD58" s="64"/>
      <c r="CE58" s="64"/>
      <c r="CF58" s="64"/>
      <c r="CG58" s="64"/>
      <c r="CH58" s="64"/>
      <c r="CI58" s="64"/>
      <c r="CJ58" s="64"/>
      <c r="CK58" s="64"/>
      <c r="CL58" s="64"/>
      <c r="CM58" s="64"/>
      <c r="CN58" s="64"/>
      <c r="CO58" s="64"/>
      <c r="CP58" s="64"/>
      <c r="CQ58" s="64"/>
      <c r="CR58" s="64"/>
      <c r="CS58" s="64"/>
      <c r="CT58" s="64"/>
      <c r="CU58" s="64"/>
      <c r="CV58" s="64"/>
      <c r="CW58" s="64"/>
      <c r="CX58" s="64"/>
      <c r="CY58" s="64"/>
      <c r="CZ58" s="64"/>
      <c r="DA58" s="64"/>
      <c r="DB58" s="64"/>
      <c r="DC58" s="64"/>
      <c r="DD58" s="64"/>
      <c r="DE58" s="64"/>
      <c r="DF58" s="64"/>
      <c r="DG58" s="64"/>
      <c r="DH58" s="64"/>
      <c r="DI58" s="64"/>
      <c r="DJ58" s="64"/>
      <c r="DK58" s="64"/>
      <c r="DL58" s="64"/>
      <c r="DM58" s="64"/>
      <c r="DN58" s="64"/>
      <c r="DO58" s="64"/>
      <c r="DP58" s="64"/>
      <c r="DQ58" s="64"/>
      <c r="DR58" s="64"/>
      <c r="DS58" s="64"/>
      <c r="DT58" s="64"/>
      <c r="DU58" s="64"/>
      <c r="DV58" s="64"/>
      <c r="DW58" s="64"/>
      <c r="DX58" s="64"/>
      <c r="DY58" s="64"/>
      <c r="DZ58" s="64"/>
      <c r="EA58" s="64"/>
      <c r="EB58" s="64"/>
      <c r="EC58" s="64"/>
      <c r="ED58" s="64"/>
    </row>
    <row r="59" spans="1:134" ht="15.75" customHeight="1">
      <c r="A59" s="65" t="s">
        <v>494</v>
      </c>
      <c r="B59" s="65" t="s">
        <v>407</v>
      </c>
      <c r="C59" s="65" t="s">
        <v>495</v>
      </c>
      <c r="D59" s="65" t="str">
        <f t="shared" si="0"/>
        <v>RB</v>
      </c>
      <c r="Z59" s="64"/>
      <c r="AA59" s="64"/>
      <c r="AB59" s="64"/>
      <c r="AC59" s="64"/>
      <c r="AD59" s="64"/>
      <c r="AE59" s="64"/>
      <c r="AF59" s="64"/>
      <c r="AG59" s="64"/>
      <c r="AH59" s="64"/>
      <c r="AI59" s="64"/>
      <c r="AJ59" s="64"/>
      <c r="AK59" s="64"/>
      <c r="AL59" s="64"/>
      <c r="AM59" s="64"/>
      <c r="AN59" s="64"/>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c r="BU59" s="64"/>
      <c r="BV59" s="64"/>
      <c r="BW59" s="64"/>
      <c r="BX59" s="64"/>
      <c r="BY59" s="64"/>
      <c r="BZ59" s="64"/>
      <c r="CA59" s="64"/>
      <c r="CB59" s="64"/>
      <c r="CC59" s="64"/>
      <c r="CD59" s="64"/>
      <c r="CE59" s="64"/>
      <c r="CF59" s="64"/>
      <c r="CG59" s="64"/>
      <c r="CH59" s="64"/>
      <c r="CI59" s="64"/>
      <c r="CJ59" s="64"/>
      <c r="CK59" s="64"/>
      <c r="CL59" s="64"/>
      <c r="CM59" s="64"/>
      <c r="CN59" s="64"/>
      <c r="CO59" s="64"/>
      <c r="CP59" s="64"/>
      <c r="CQ59" s="64"/>
      <c r="CR59" s="64"/>
      <c r="CS59" s="64"/>
      <c r="CT59" s="64"/>
      <c r="CU59" s="64"/>
      <c r="CV59" s="64"/>
      <c r="CW59" s="64"/>
      <c r="CX59" s="64"/>
      <c r="CY59" s="64"/>
      <c r="CZ59" s="64"/>
      <c r="DA59" s="64"/>
      <c r="DB59" s="64"/>
      <c r="DC59" s="64"/>
      <c r="DD59" s="64"/>
      <c r="DE59" s="64"/>
      <c r="DF59" s="64"/>
      <c r="DG59" s="64"/>
      <c r="DH59" s="64"/>
      <c r="DI59" s="64"/>
      <c r="DJ59" s="64"/>
      <c r="DK59" s="64"/>
      <c r="DL59" s="64"/>
      <c r="DM59" s="64"/>
      <c r="DN59" s="64"/>
      <c r="DO59" s="64"/>
      <c r="DP59" s="64"/>
      <c r="DQ59" s="64"/>
      <c r="DR59" s="64"/>
      <c r="DS59" s="64"/>
      <c r="DT59" s="64"/>
      <c r="DU59" s="64"/>
      <c r="DV59" s="64"/>
      <c r="DW59" s="64"/>
      <c r="DX59" s="64"/>
      <c r="DY59" s="64"/>
      <c r="DZ59" s="64"/>
      <c r="EA59" s="64"/>
      <c r="EB59" s="64"/>
      <c r="EC59" s="64"/>
      <c r="ED59" s="64"/>
    </row>
    <row r="60" spans="1:134" ht="15.75" customHeight="1">
      <c r="A60" s="65" t="s">
        <v>333</v>
      </c>
      <c r="B60" s="65" t="s">
        <v>399</v>
      </c>
      <c r="C60" s="65" t="s">
        <v>496</v>
      </c>
      <c r="D60" s="65" t="str">
        <f t="shared" si="0"/>
        <v>K</v>
      </c>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c r="BU60" s="64"/>
      <c r="BV60" s="64"/>
      <c r="BW60" s="64"/>
      <c r="BX60" s="64"/>
      <c r="BY60" s="64"/>
      <c r="BZ60" s="64"/>
      <c r="CA60" s="64"/>
      <c r="CB60" s="64"/>
      <c r="CC60" s="64"/>
      <c r="CD60" s="64"/>
      <c r="CE60" s="64"/>
      <c r="CF60" s="64"/>
      <c r="CG60" s="64"/>
      <c r="CH60" s="64"/>
      <c r="CI60" s="64"/>
      <c r="CJ60" s="64"/>
      <c r="CK60" s="64"/>
      <c r="CL60" s="64"/>
      <c r="CM60" s="64"/>
      <c r="CN60" s="64"/>
      <c r="CO60" s="64"/>
      <c r="CP60" s="64"/>
      <c r="CQ60" s="64"/>
      <c r="CR60" s="64"/>
      <c r="CS60" s="64"/>
      <c r="CT60" s="64"/>
      <c r="CU60" s="64"/>
      <c r="CV60" s="64"/>
      <c r="CW60" s="64"/>
      <c r="CX60" s="64"/>
      <c r="CY60" s="64"/>
      <c r="CZ60" s="64"/>
      <c r="DA60" s="64"/>
      <c r="DB60" s="64"/>
      <c r="DC60" s="64"/>
      <c r="DD60" s="64"/>
      <c r="DE60" s="64"/>
      <c r="DF60" s="64"/>
      <c r="DG60" s="64"/>
      <c r="DH60" s="64"/>
      <c r="DI60" s="64"/>
      <c r="DJ60" s="64"/>
      <c r="DK60" s="64"/>
      <c r="DL60" s="64"/>
      <c r="DM60" s="64"/>
      <c r="DN60" s="64"/>
      <c r="DO60" s="64"/>
      <c r="DP60" s="64"/>
      <c r="DQ60" s="64"/>
      <c r="DR60" s="64"/>
      <c r="DS60" s="64"/>
      <c r="DT60" s="64"/>
      <c r="DU60" s="64"/>
      <c r="DV60" s="64"/>
      <c r="DW60" s="64"/>
      <c r="DX60" s="64"/>
      <c r="DY60" s="64"/>
      <c r="DZ60" s="64"/>
      <c r="EA60" s="64"/>
      <c r="EB60" s="64"/>
      <c r="EC60" s="64"/>
      <c r="ED60" s="64"/>
    </row>
    <row r="61" spans="1:134" ht="15.75" customHeight="1">
      <c r="A61" s="65" t="s">
        <v>143</v>
      </c>
      <c r="B61" s="65" t="s">
        <v>408</v>
      </c>
      <c r="C61" s="65" t="s">
        <v>497</v>
      </c>
      <c r="D61" s="65" t="str">
        <f t="shared" si="0"/>
        <v>RB</v>
      </c>
      <c r="Z61" s="64"/>
      <c r="AA61" s="64"/>
      <c r="AB61" s="64"/>
      <c r="AC61" s="64"/>
      <c r="AD61" s="64"/>
      <c r="AE61" s="64"/>
      <c r="AF61" s="64"/>
      <c r="AG61" s="64"/>
      <c r="AH61" s="64"/>
      <c r="AI61" s="64"/>
      <c r="AJ61" s="64"/>
      <c r="AK61" s="64"/>
      <c r="AL61" s="64"/>
      <c r="AM61" s="64"/>
      <c r="AN61" s="64"/>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c r="BU61" s="64"/>
      <c r="BV61" s="64"/>
      <c r="BW61" s="64"/>
      <c r="BX61" s="64"/>
      <c r="BY61" s="64"/>
      <c r="BZ61" s="64"/>
      <c r="CA61" s="64"/>
      <c r="CB61" s="64"/>
      <c r="CC61" s="64"/>
      <c r="CD61" s="64"/>
      <c r="CE61" s="64"/>
      <c r="CF61" s="64"/>
      <c r="CG61" s="64"/>
      <c r="CH61" s="64"/>
      <c r="CI61" s="64"/>
      <c r="CJ61" s="64"/>
      <c r="CK61" s="64"/>
      <c r="CL61" s="64"/>
      <c r="CM61" s="64"/>
      <c r="CN61" s="64"/>
      <c r="CO61" s="64"/>
      <c r="CP61" s="64"/>
      <c r="CQ61" s="64"/>
      <c r="CR61" s="64"/>
      <c r="CS61" s="64"/>
      <c r="CT61" s="64"/>
      <c r="CU61" s="64"/>
      <c r="CV61" s="64"/>
      <c r="CW61" s="64"/>
      <c r="CX61" s="64"/>
      <c r="CY61" s="64"/>
      <c r="CZ61" s="64"/>
      <c r="DA61" s="64"/>
      <c r="DB61" s="64"/>
      <c r="DC61" s="64"/>
      <c r="DD61" s="64"/>
      <c r="DE61" s="64"/>
      <c r="DF61" s="64"/>
      <c r="DG61" s="64"/>
      <c r="DH61" s="64"/>
      <c r="DI61" s="64"/>
      <c r="DJ61" s="64"/>
      <c r="DK61" s="64"/>
      <c r="DL61" s="64"/>
      <c r="DM61" s="64"/>
      <c r="DN61" s="64"/>
      <c r="DO61" s="64"/>
      <c r="DP61" s="64"/>
      <c r="DQ61" s="64"/>
      <c r="DR61" s="64"/>
      <c r="DS61" s="64"/>
      <c r="DT61" s="64"/>
      <c r="DU61" s="64"/>
      <c r="DV61" s="64"/>
      <c r="DW61" s="64"/>
      <c r="DX61" s="64"/>
      <c r="DY61" s="64"/>
      <c r="DZ61" s="64"/>
      <c r="EA61" s="64"/>
      <c r="EB61" s="64"/>
      <c r="EC61" s="64"/>
      <c r="ED61" s="64"/>
    </row>
    <row r="62" spans="1:134" ht="15.75" customHeight="1">
      <c r="A62" s="65" t="s">
        <v>233</v>
      </c>
      <c r="B62" s="65" t="s">
        <v>401</v>
      </c>
      <c r="C62" s="65" t="s">
        <v>498</v>
      </c>
      <c r="D62" s="65" t="str">
        <f t="shared" si="0"/>
        <v>K</v>
      </c>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c r="BU62" s="64"/>
      <c r="BV62" s="64"/>
      <c r="BW62" s="64"/>
      <c r="BX62" s="64"/>
      <c r="BY62" s="64"/>
      <c r="BZ62" s="64"/>
      <c r="CA62" s="64"/>
      <c r="CB62" s="64"/>
      <c r="CC62" s="64"/>
      <c r="CD62" s="64"/>
      <c r="CE62" s="64"/>
      <c r="CF62" s="64"/>
      <c r="CG62" s="64"/>
      <c r="CH62" s="64"/>
      <c r="CI62" s="64"/>
      <c r="CJ62" s="64"/>
      <c r="CK62" s="64"/>
      <c r="CL62" s="64"/>
      <c r="CM62" s="64"/>
      <c r="CN62" s="64"/>
      <c r="CO62" s="64"/>
      <c r="CP62" s="64"/>
      <c r="CQ62" s="64"/>
      <c r="CR62" s="64"/>
      <c r="CS62" s="64"/>
      <c r="CT62" s="64"/>
      <c r="CU62" s="64"/>
      <c r="CV62" s="64"/>
      <c r="CW62" s="64"/>
      <c r="CX62" s="64"/>
      <c r="CY62" s="64"/>
      <c r="CZ62" s="64"/>
      <c r="DA62" s="64"/>
      <c r="DB62" s="64"/>
      <c r="DC62" s="64"/>
      <c r="DD62" s="64"/>
      <c r="DE62" s="64"/>
      <c r="DF62" s="64"/>
      <c r="DG62" s="64"/>
      <c r="DH62" s="64"/>
      <c r="DI62" s="64"/>
      <c r="DJ62" s="64"/>
      <c r="DK62" s="64"/>
      <c r="DL62" s="64"/>
      <c r="DM62" s="64"/>
      <c r="DN62" s="64"/>
      <c r="DO62" s="64"/>
      <c r="DP62" s="64"/>
      <c r="DQ62" s="64"/>
      <c r="DR62" s="64"/>
      <c r="DS62" s="64"/>
      <c r="DT62" s="64"/>
      <c r="DU62" s="64"/>
      <c r="DV62" s="64"/>
      <c r="DW62" s="64"/>
      <c r="DX62" s="64"/>
      <c r="DY62" s="64"/>
      <c r="DZ62" s="64"/>
      <c r="EA62" s="64"/>
      <c r="EB62" s="64"/>
      <c r="EC62" s="64"/>
      <c r="ED62" s="64"/>
    </row>
    <row r="63" spans="1:134" ht="15.75" customHeight="1">
      <c r="A63" s="65" t="s">
        <v>200</v>
      </c>
      <c r="B63" s="65" t="s">
        <v>415</v>
      </c>
      <c r="C63" s="65" t="s">
        <v>499</v>
      </c>
      <c r="D63" s="65" t="str">
        <f t="shared" si="0"/>
        <v>QB</v>
      </c>
      <c r="Z63" s="64"/>
      <c r="AA63" s="64"/>
      <c r="AB63" s="64"/>
      <c r="AC63" s="64"/>
      <c r="AD63" s="64"/>
      <c r="AE63" s="64"/>
      <c r="AF63" s="64"/>
      <c r="AG63" s="64"/>
      <c r="AH63" s="64"/>
      <c r="AI63" s="64"/>
      <c r="AJ63" s="64"/>
      <c r="AK63" s="64"/>
      <c r="AL63" s="64"/>
      <c r="AM63" s="64"/>
      <c r="AN63" s="64"/>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c r="BU63" s="64"/>
      <c r="BV63" s="64"/>
      <c r="BW63" s="64"/>
      <c r="BX63" s="64"/>
      <c r="BY63" s="64"/>
      <c r="BZ63" s="64"/>
      <c r="CA63" s="64"/>
      <c r="CB63" s="64"/>
      <c r="CC63" s="64"/>
      <c r="CD63" s="64"/>
      <c r="CE63" s="64"/>
      <c r="CF63" s="64"/>
      <c r="CG63" s="64"/>
      <c r="CH63" s="64"/>
      <c r="CI63" s="64"/>
      <c r="CJ63" s="64"/>
      <c r="CK63" s="64"/>
      <c r="CL63" s="64"/>
      <c r="CM63" s="64"/>
      <c r="CN63" s="64"/>
      <c r="CO63" s="64"/>
      <c r="CP63" s="64"/>
      <c r="CQ63" s="64"/>
      <c r="CR63" s="64"/>
      <c r="CS63" s="64"/>
      <c r="CT63" s="64"/>
      <c r="CU63" s="64"/>
      <c r="CV63" s="64"/>
      <c r="CW63" s="64"/>
      <c r="CX63" s="64"/>
      <c r="CY63" s="64"/>
      <c r="CZ63" s="64"/>
      <c r="DA63" s="64"/>
      <c r="DB63" s="64"/>
      <c r="DC63" s="64"/>
      <c r="DD63" s="64"/>
      <c r="DE63" s="64"/>
      <c r="DF63" s="64"/>
      <c r="DG63" s="64"/>
      <c r="DH63" s="64"/>
      <c r="DI63" s="64"/>
      <c r="DJ63" s="64"/>
      <c r="DK63" s="64"/>
      <c r="DL63" s="64"/>
      <c r="DM63" s="64"/>
      <c r="DN63" s="64"/>
      <c r="DO63" s="64"/>
      <c r="DP63" s="64"/>
      <c r="DQ63" s="64"/>
      <c r="DR63" s="64"/>
      <c r="DS63" s="64"/>
      <c r="DT63" s="64"/>
      <c r="DU63" s="64"/>
      <c r="DV63" s="64"/>
      <c r="DW63" s="64"/>
      <c r="DX63" s="64"/>
      <c r="DY63" s="64"/>
      <c r="DZ63" s="64"/>
      <c r="EA63" s="64"/>
      <c r="EB63" s="64"/>
      <c r="EC63" s="64"/>
      <c r="ED63" s="64"/>
    </row>
    <row r="64" spans="1:134" ht="15.75" customHeight="1">
      <c r="A64" s="65" t="s">
        <v>500</v>
      </c>
      <c r="B64" s="65" t="s">
        <v>389</v>
      </c>
      <c r="C64" s="65" t="s">
        <v>501</v>
      </c>
      <c r="D64" s="65" t="str">
        <f t="shared" si="0"/>
        <v>DEF</v>
      </c>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64"/>
      <c r="CM64" s="64"/>
      <c r="CN64" s="64"/>
      <c r="CO64" s="64"/>
      <c r="CP64" s="64"/>
      <c r="CQ64" s="64"/>
      <c r="CR64" s="64"/>
      <c r="CS64" s="64"/>
      <c r="CT64" s="64"/>
      <c r="CU64" s="64"/>
      <c r="CV64" s="64"/>
      <c r="CW64" s="64"/>
      <c r="CX64" s="64"/>
      <c r="CY64" s="64"/>
      <c r="CZ64" s="64"/>
      <c r="DA64" s="64"/>
      <c r="DB64" s="64"/>
      <c r="DC64" s="64"/>
      <c r="DD64" s="64"/>
      <c r="DE64" s="64"/>
      <c r="DF64" s="64"/>
      <c r="DG64" s="64"/>
      <c r="DH64" s="64"/>
      <c r="DI64" s="64"/>
      <c r="DJ64" s="64"/>
      <c r="DK64" s="64"/>
      <c r="DL64" s="64"/>
      <c r="DM64" s="64"/>
      <c r="DN64" s="64"/>
      <c r="DO64" s="64"/>
      <c r="DP64" s="64"/>
      <c r="DQ64" s="64"/>
      <c r="DR64" s="64"/>
      <c r="DS64" s="64"/>
      <c r="DT64" s="64"/>
      <c r="DU64" s="64"/>
      <c r="DV64" s="64"/>
      <c r="DW64" s="64"/>
      <c r="DX64" s="64"/>
      <c r="DY64" s="64"/>
      <c r="DZ64" s="64"/>
      <c r="EA64" s="64"/>
      <c r="EB64" s="64"/>
      <c r="EC64" s="64"/>
      <c r="ED64" s="64"/>
    </row>
    <row r="65" spans="1:134" ht="15.75" customHeight="1">
      <c r="A65" s="65" t="s">
        <v>170</v>
      </c>
      <c r="B65" s="65" t="s">
        <v>392</v>
      </c>
      <c r="C65" s="65" t="s">
        <v>502</v>
      </c>
      <c r="D65" s="65" t="str">
        <f t="shared" si="0"/>
        <v>WR</v>
      </c>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64"/>
      <c r="BX65" s="64"/>
      <c r="BY65" s="64"/>
      <c r="BZ65" s="64"/>
      <c r="CA65" s="64"/>
      <c r="CB65" s="64"/>
      <c r="CC65" s="64"/>
      <c r="CD65" s="64"/>
      <c r="CE65" s="64"/>
      <c r="CF65" s="64"/>
      <c r="CG65" s="64"/>
      <c r="CH65" s="64"/>
      <c r="CI65" s="64"/>
      <c r="CJ65" s="64"/>
      <c r="CK65" s="64"/>
      <c r="CL65" s="64"/>
      <c r="CM65" s="64"/>
      <c r="CN65" s="64"/>
      <c r="CO65" s="64"/>
      <c r="CP65" s="64"/>
      <c r="CQ65" s="64"/>
      <c r="CR65" s="64"/>
      <c r="CS65" s="64"/>
      <c r="CT65" s="64"/>
      <c r="CU65" s="64"/>
      <c r="CV65" s="64"/>
      <c r="CW65" s="64"/>
      <c r="CX65" s="64"/>
      <c r="CY65" s="64"/>
      <c r="CZ65" s="64"/>
      <c r="DA65" s="64"/>
      <c r="DB65" s="64"/>
      <c r="DC65" s="64"/>
      <c r="DD65" s="64"/>
      <c r="DE65" s="64"/>
      <c r="DF65" s="64"/>
      <c r="DG65" s="64"/>
      <c r="DH65" s="64"/>
      <c r="DI65" s="64"/>
      <c r="DJ65" s="64"/>
      <c r="DK65" s="64"/>
      <c r="DL65" s="64"/>
      <c r="DM65" s="64"/>
      <c r="DN65" s="64"/>
      <c r="DO65" s="64"/>
      <c r="DP65" s="64"/>
      <c r="DQ65" s="64"/>
      <c r="DR65" s="64"/>
      <c r="DS65" s="64"/>
      <c r="DT65" s="64"/>
      <c r="DU65" s="64"/>
      <c r="DV65" s="64"/>
      <c r="DW65" s="64"/>
      <c r="DX65" s="64"/>
      <c r="DY65" s="64"/>
      <c r="DZ65" s="64"/>
      <c r="EA65" s="64"/>
      <c r="EB65" s="64"/>
      <c r="EC65" s="64"/>
      <c r="ED65" s="64"/>
    </row>
    <row r="66" spans="1:134" ht="15.75" customHeight="1">
      <c r="A66" s="65" t="s">
        <v>503</v>
      </c>
      <c r="B66" s="65" t="s">
        <v>407</v>
      </c>
      <c r="C66" s="65" t="s">
        <v>504</v>
      </c>
      <c r="D66" s="65" t="str">
        <f t="shared" si="0"/>
        <v>WR</v>
      </c>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64"/>
      <c r="BX66" s="64"/>
      <c r="BY66" s="64"/>
      <c r="BZ66" s="64"/>
      <c r="CA66" s="64"/>
      <c r="CB66" s="64"/>
      <c r="CC66" s="64"/>
      <c r="CD66" s="64"/>
      <c r="CE66" s="64"/>
      <c r="CF66" s="64"/>
      <c r="CG66" s="64"/>
      <c r="CH66" s="64"/>
      <c r="CI66" s="64"/>
      <c r="CJ66" s="64"/>
      <c r="CK66" s="64"/>
      <c r="CL66" s="64"/>
      <c r="CM66" s="64"/>
      <c r="CN66" s="64"/>
      <c r="CO66" s="64"/>
      <c r="CP66" s="64"/>
      <c r="CQ66" s="64"/>
      <c r="CR66" s="64"/>
      <c r="CS66" s="64"/>
      <c r="CT66" s="64"/>
      <c r="CU66" s="64"/>
      <c r="CV66" s="64"/>
      <c r="CW66" s="64"/>
      <c r="CX66" s="64"/>
      <c r="CY66" s="64"/>
      <c r="CZ66" s="64"/>
      <c r="DA66" s="64"/>
      <c r="DB66" s="64"/>
      <c r="DC66" s="64"/>
      <c r="DD66" s="64"/>
      <c r="DE66" s="64"/>
      <c r="DF66" s="64"/>
      <c r="DG66" s="64"/>
      <c r="DH66" s="64"/>
      <c r="DI66" s="64"/>
      <c r="DJ66" s="64"/>
      <c r="DK66" s="64"/>
      <c r="DL66" s="64"/>
      <c r="DM66" s="64"/>
      <c r="DN66" s="64"/>
      <c r="DO66" s="64"/>
      <c r="DP66" s="64"/>
      <c r="DQ66" s="64"/>
      <c r="DR66" s="64"/>
      <c r="DS66" s="64"/>
      <c r="DT66" s="64"/>
      <c r="DU66" s="64"/>
      <c r="DV66" s="64"/>
      <c r="DW66" s="64"/>
      <c r="DX66" s="64"/>
      <c r="DY66" s="64"/>
      <c r="DZ66" s="64"/>
      <c r="EA66" s="64"/>
      <c r="EB66" s="64"/>
      <c r="EC66" s="64"/>
      <c r="ED66" s="64"/>
    </row>
    <row r="67" spans="1:134" ht="15.75" customHeight="1">
      <c r="A67" s="65" t="s">
        <v>25</v>
      </c>
      <c r="B67" s="65" t="s">
        <v>393</v>
      </c>
      <c r="C67" s="65" t="s">
        <v>505</v>
      </c>
      <c r="D67" s="65" t="str">
        <f t="shared" si="0"/>
        <v>WR</v>
      </c>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64"/>
      <c r="BX67" s="64"/>
      <c r="BY67" s="64"/>
      <c r="BZ67" s="64"/>
      <c r="CA67" s="64"/>
      <c r="CB67" s="64"/>
      <c r="CC67" s="64"/>
      <c r="CD67" s="64"/>
      <c r="CE67" s="64"/>
      <c r="CF67" s="64"/>
      <c r="CG67" s="64"/>
      <c r="CH67" s="64"/>
      <c r="CI67" s="64"/>
      <c r="CJ67" s="64"/>
      <c r="CK67" s="64"/>
      <c r="CL67" s="64"/>
      <c r="CM67" s="64"/>
      <c r="CN67" s="64"/>
      <c r="CO67" s="64"/>
      <c r="CP67" s="64"/>
      <c r="CQ67" s="64"/>
      <c r="CR67" s="64"/>
      <c r="CS67" s="64"/>
      <c r="CT67" s="64"/>
      <c r="CU67" s="64"/>
      <c r="CV67" s="64"/>
      <c r="CW67" s="64"/>
      <c r="CX67" s="64"/>
      <c r="CY67" s="64"/>
      <c r="CZ67" s="64"/>
      <c r="DA67" s="64"/>
      <c r="DB67" s="64"/>
      <c r="DC67" s="64"/>
      <c r="DD67" s="64"/>
      <c r="DE67" s="64"/>
      <c r="DF67" s="64"/>
      <c r="DG67" s="64"/>
      <c r="DH67" s="64"/>
      <c r="DI67" s="64"/>
      <c r="DJ67" s="64"/>
      <c r="DK67" s="64"/>
      <c r="DL67" s="64"/>
      <c r="DM67" s="64"/>
      <c r="DN67" s="64"/>
      <c r="DO67" s="64"/>
      <c r="DP67" s="64"/>
      <c r="DQ67" s="64"/>
      <c r="DR67" s="64"/>
      <c r="DS67" s="64"/>
      <c r="DT67" s="64"/>
      <c r="DU67" s="64"/>
      <c r="DV67" s="64"/>
      <c r="DW67" s="64"/>
      <c r="DX67" s="64"/>
      <c r="DY67" s="64"/>
      <c r="DZ67" s="64"/>
      <c r="EA67" s="64"/>
      <c r="EB67" s="64"/>
      <c r="EC67" s="64"/>
      <c r="ED67" s="64"/>
    </row>
    <row r="68" spans="1:134" ht="15.75" customHeight="1">
      <c r="A68" s="65" t="s">
        <v>506</v>
      </c>
      <c r="B68" s="65" t="s">
        <v>385</v>
      </c>
      <c r="C68" s="65" t="s">
        <v>507</v>
      </c>
      <c r="D68" s="65" t="str">
        <f t="shared" si="0"/>
        <v>K</v>
      </c>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64"/>
      <c r="BX68" s="64"/>
      <c r="BY68" s="64"/>
      <c r="BZ68" s="64"/>
      <c r="CA68" s="64"/>
      <c r="CB68" s="64"/>
      <c r="CC68" s="64"/>
      <c r="CD68" s="64"/>
      <c r="CE68" s="64"/>
      <c r="CF68" s="64"/>
      <c r="CG68" s="64"/>
      <c r="CH68" s="64"/>
      <c r="CI68" s="64"/>
      <c r="CJ68" s="64"/>
      <c r="CK68" s="64"/>
      <c r="CL68" s="64"/>
      <c r="CM68" s="64"/>
      <c r="CN68" s="64"/>
      <c r="CO68" s="64"/>
      <c r="CP68" s="64"/>
      <c r="CQ68" s="64"/>
      <c r="CR68" s="64"/>
      <c r="CS68" s="64"/>
      <c r="CT68" s="64"/>
      <c r="CU68" s="64"/>
      <c r="CV68" s="64"/>
      <c r="CW68" s="64"/>
      <c r="CX68" s="64"/>
      <c r="CY68" s="64"/>
      <c r="CZ68" s="64"/>
      <c r="DA68" s="64"/>
      <c r="DB68" s="64"/>
      <c r="DC68" s="64"/>
      <c r="DD68" s="64"/>
      <c r="DE68" s="64"/>
      <c r="DF68" s="64"/>
      <c r="DG68" s="64"/>
      <c r="DH68" s="64"/>
      <c r="DI68" s="64"/>
      <c r="DJ68" s="64"/>
      <c r="DK68" s="64"/>
      <c r="DL68" s="64"/>
      <c r="DM68" s="64"/>
      <c r="DN68" s="64"/>
      <c r="DO68" s="64"/>
      <c r="DP68" s="64"/>
      <c r="DQ68" s="64"/>
      <c r="DR68" s="64"/>
      <c r="DS68" s="64"/>
      <c r="DT68" s="64"/>
      <c r="DU68" s="64"/>
      <c r="DV68" s="64"/>
      <c r="DW68" s="64"/>
      <c r="DX68" s="64"/>
      <c r="DY68" s="64"/>
      <c r="DZ68" s="64"/>
      <c r="EA68" s="64"/>
      <c r="EB68" s="64"/>
      <c r="EC68" s="64"/>
      <c r="ED68" s="64"/>
    </row>
    <row r="69" spans="1:134" ht="15.75" customHeight="1">
      <c r="A69" s="65" t="s">
        <v>41</v>
      </c>
      <c r="B69" s="65" t="s">
        <v>391</v>
      </c>
      <c r="C69" s="65" t="s">
        <v>508</v>
      </c>
      <c r="D69" s="65" t="str">
        <f t="shared" si="0"/>
        <v>RB</v>
      </c>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64"/>
      <c r="BX69" s="64"/>
      <c r="BY69" s="64"/>
      <c r="BZ69" s="64"/>
      <c r="CA69" s="64"/>
      <c r="CB69" s="64"/>
      <c r="CC69" s="64"/>
      <c r="CD69" s="64"/>
      <c r="CE69" s="64"/>
      <c r="CF69" s="64"/>
      <c r="CG69" s="64"/>
      <c r="CH69" s="64"/>
      <c r="CI69" s="64"/>
      <c r="CJ69" s="64"/>
      <c r="CK69" s="64"/>
      <c r="CL69" s="64"/>
      <c r="CM69" s="64"/>
      <c r="CN69" s="64"/>
      <c r="CO69" s="64"/>
      <c r="CP69" s="64"/>
      <c r="CQ69" s="64"/>
      <c r="CR69" s="64"/>
      <c r="CS69" s="64"/>
      <c r="CT69" s="64"/>
      <c r="CU69" s="64"/>
      <c r="CV69" s="64"/>
      <c r="CW69" s="64"/>
      <c r="CX69" s="64"/>
      <c r="CY69" s="64"/>
      <c r="CZ69" s="64"/>
      <c r="DA69" s="64"/>
      <c r="DB69" s="64"/>
      <c r="DC69" s="64"/>
      <c r="DD69" s="64"/>
      <c r="DE69" s="64"/>
      <c r="DF69" s="64"/>
      <c r="DG69" s="64"/>
      <c r="DH69" s="64"/>
      <c r="DI69" s="64"/>
      <c r="DJ69" s="64"/>
      <c r="DK69" s="64"/>
      <c r="DL69" s="64"/>
      <c r="DM69" s="64"/>
      <c r="DN69" s="64"/>
      <c r="DO69" s="64"/>
      <c r="DP69" s="64"/>
      <c r="DQ69" s="64"/>
      <c r="DR69" s="64"/>
      <c r="DS69" s="64"/>
      <c r="DT69" s="64"/>
      <c r="DU69" s="64"/>
      <c r="DV69" s="64"/>
      <c r="DW69" s="64"/>
      <c r="DX69" s="64"/>
      <c r="DY69" s="64"/>
      <c r="DZ69" s="64"/>
      <c r="EA69" s="64"/>
      <c r="EB69" s="64"/>
      <c r="EC69" s="64"/>
      <c r="ED69" s="64"/>
    </row>
    <row r="70" spans="1:134" ht="15.75" customHeight="1">
      <c r="A70" s="65" t="s">
        <v>271</v>
      </c>
      <c r="B70" s="65" t="s">
        <v>414</v>
      </c>
      <c r="C70" s="65" t="s">
        <v>509</v>
      </c>
      <c r="D70" s="65" t="str">
        <f t="shared" si="0"/>
        <v>K</v>
      </c>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64"/>
      <c r="BX70" s="64"/>
      <c r="BY70" s="64"/>
      <c r="BZ70" s="64"/>
      <c r="CA70" s="64"/>
      <c r="CB70" s="64"/>
      <c r="CC70" s="64"/>
      <c r="CD70" s="64"/>
      <c r="CE70" s="64"/>
      <c r="CF70" s="64"/>
      <c r="CG70" s="64"/>
      <c r="CH70" s="64"/>
      <c r="CI70" s="64"/>
      <c r="CJ70" s="64"/>
      <c r="CK70" s="64"/>
      <c r="CL70" s="64"/>
      <c r="CM70" s="64"/>
      <c r="CN70" s="64"/>
      <c r="CO70" s="64"/>
      <c r="CP70" s="64"/>
      <c r="CQ70" s="64"/>
      <c r="CR70" s="64"/>
      <c r="CS70" s="64"/>
      <c r="CT70" s="64"/>
      <c r="CU70" s="64"/>
      <c r="CV70" s="64"/>
      <c r="CW70" s="64"/>
      <c r="CX70" s="64"/>
      <c r="CY70" s="64"/>
      <c r="CZ70" s="64"/>
      <c r="DA70" s="64"/>
      <c r="DB70" s="64"/>
      <c r="DC70" s="64"/>
      <c r="DD70" s="64"/>
      <c r="DE70" s="64"/>
      <c r="DF70" s="64"/>
      <c r="DG70" s="64"/>
      <c r="DH70" s="64"/>
      <c r="DI70" s="64"/>
      <c r="DJ70" s="64"/>
      <c r="DK70" s="64"/>
      <c r="DL70" s="64"/>
      <c r="DM70" s="64"/>
      <c r="DN70" s="64"/>
      <c r="DO70" s="64"/>
      <c r="DP70" s="64"/>
      <c r="DQ70" s="64"/>
      <c r="DR70" s="64"/>
      <c r="DS70" s="64"/>
      <c r="DT70" s="64"/>
      <c r="DU70" s="64"/>
      <c r="DV70" s="64"/>
      <c r="DW70" s="64"/>
      <c r="DX70" s="64"/>
      <c r="DY70" s="64"/>
      <c r="DZ70" s="64"/>
      <c r="EA70" s="64"/>
      <c r="EB70" s="64"/>
      <c r="EC70" s="64"/>
      <c r="ED70" s="64"/>
    </row>
    <row r="71" spans="1:134" ht="15.75" customHeight="1">
      <c r="A71" s="65" t="s">
        <v>298</v>
      </c>
      <c r="B71" s="65" t="s">
        <v>390</v>
      </c>
      <c r="C71" s="65" t="s">
        <v>510</v>
      </c>
      <c r="D71" s="65" t="str">
        <f t="shared" si="0"/>
        <v>DEF</v>
      </c>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64"/>
      <c r="BX71" s="64"/>
      <c r="BY71" s="64"/>
      <c r="BZ71" s="64"/>
      <c r="CA71" s="64"/>
      <c r="CB71" s="64"/>
      <c r="CC71" s="64"/>
      <c r="CD71" s="64"/>
      <c r="CE71" s="64"/>
      <c r="CF71" s="64"/>
      <c r="CG71" s="64"/>
      <c r="CH71" s="64"/>
      <c r="CI71" s="64"/>
      <c r="CJ71" s="64"/>
      <c r="CK71" s="64"/>
      <c r="CL71" s="64"/>
      <c r="CM71" s="64"/>
      <c r="CN71" s="64"/>
      <c r="CO71" s="64"/>
      <c r="CP71" s="64"/>
      <c r="CQ71" s="64"/>
      <c r="CR71" s="64"/>
      <c r="CS71" s="64"/>
      <c r="CT71" s="64"/>
      <c r="CU71" s="64"/>
      <c r="CV71" s="64"/>
      <c r="CW71" s="64"/>
      <c r="CX71" s="64"/>
      <c r="CY71" s="64"/>
      <c r="CZ71" s="64"/>
      <c r="DA71" s="64"/>
      <c r="DB71" s="64"/>
      <c r="DC71" s="64"/>
      <c r="DD71" s="64"/>
      <c r="DE71" s="64"/>
      <c r="DF71" s="64"/>
      <c r="DG71" s="64"/>
      <c r="DH71" s="64"/>
      <c r="DI71" s="64"/>
      <c r="DJ71" s="64"/>
      <c r="DK71" s="64"/>
      <c r="DL71" s="64"/>
      <c r="DM71" s="64"/>
      <c r="DN71" s="64"/>
      <c r="DO71" s="64"/>
      <c r="DP71" s="64"/>
      <c r="DQ71" s="64"/>
      <c r="DR71" s="64"/>
      <c r="DS71" s="64"/>
      <c r="DT71" s="64"/>
      <c r="DU71" s="64"/>
      <c r="DV71" s="64"/>
      <c r="DW71" s="64"/>
      <c r="DX71" s="64"/>
      <c r="DY71" s="64"/>
      <c r="DZ71" s="64"/>
      <c r="EA71" s="64"/>
      <c r="EB71" s="64"/>
      <c r="EC71" s="64"/>
      <c r="ED71" s="64"/>
    </row>
    <row r="72" spans="1:134" ht="15.75" customHeight="1">
      <c r="A72" s="65" t="s">
        <v>224</v>
      </c>
      <c r="B72" s="65" t="s">
        <v>415</v>
      </c>
      <c r="C72" s="65" t="s">
        <v>511</v>
      </c>
      <c r="D72" s="65" t="str">
        <f t="shared" si="0"/>
        <v>TE</v>
      </c>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64"/>
      <c r="BX72" s="64"/>
      <c r="BY72" s="64"/>
      <c r="BZ72" s="64"/>
      <c r="CA72" s="64"/>
      <c r="CB72" s="64"/>
      <c r="CC72" s="64"/>
      <c r="CD72" s="64"/>
      <c r="CE72" s="64"/>
      <c r="CF72" s="64"/>
      <c r="CG72" s="64"/>
      <c r="CH72" s="64"/>
      <c r="CI72" s="64"/>
      <c r="CJ72" s="64"/>
      <c r="CK72" s="64"/>
      <c r="CL72" s="64"/>
      <c r="CM72" s="64"/>
      <c r="CN72" s="64"/>
      <c r="CO72" s="64"/>
      <c r="CP72" s="64"/>
      <c r="CQ72" s="64"/>
      <c r="CR72" s="64"/>
      <c r="CS72" s="64"/>
      <c r="CT72" s="64"/>
      <c r="CU72" s="64"/>
      <c r="CV72" s="64"/>
      <c r="CW72" s="64"/>
      <c r="CX72" s="64"/>
      <c r="CY72" s="64"/>
      <c r="CZ72" s="64"/>
      <c r="DA72" s="64"/>
      <c r="DB72" s="64"/>
      <c r="DC72" s="64"/>
      <c r="DD72" s="64"/>
      <c r="DE72" s="64"/>
      <c r="DF72" s="64"/>
      <c r="DG72" s="64"/>
      <c r="DH72" s="64"/>
      <c r="DI72" s="64"/>
      <c r="DJ72" s="64"/>
      <c r="DK72" s="64"/>
      <c r="DL72" s="64"/>
      <c r="DM72" s="64"/>
      <c r="DN72" s="64"/>
      <c r="DO72" s="64"/>
      <c r="DP72" s="64"/>
      <c r="DQ72" s="64"/>
      <c r="DR72" s="64"/>
      <c r="DS72" s="64"/>
      <c r="DT72" s="64"/>
      <c r="DU72" s="64"/>
      <c r="DV72" s="64"/>
      <c r="DW72" s="64"/>
      <c r="DX72" s="64"/>
      <c r="DY72" s="64"/>
      <c r="DZ72" s="64"/>
      <c r="EA72" s="64"/>
      <c r="EB72" s="64"/>
      <c r="EC72" s="64"/>
      <c r="ED72" s="64"/>
    </row>
    <row r="73" spans="1:134" ht="15.75" customHeight="1">
      <c r="A73" s="65" t="s">
        <v>512</v>
      </c>
      <c r="B73" s="65" t="s">
        <v>415</v>
      </c>
      <c r="C73" s="65" t="s">
        <v>513</v>
      </c>
      <c r="D73" s="65" t="str">
        <f t="shared" si="0"/>
        <v>WR</v>
      </c>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64"/>
      <c r="BX73" s="64"/>
      <c r="BY73" s="64"/>
      <c r="BZ73" s="64"/>
      <c r="CA73" s="64"/>
      <c r="CB73" s="64"/>
      <c r="CC73" s="64"/>
      <c r="CD73" s="64"/>
      <c r="CE73" s="64"/>
      <c r="CF73" s="64"/>
      <c r="CG73" s="64"/>
      <c r="CH73" s="64"/>
      <c r="CI73" s="64"/>
      <c r="CJ73" s="64"/>
      <c r="CK73" s="64"/>
      <c r="CL73" s="64"/>
      <c r="CM73" s="64"/>
      <c r="CN73" s="64"/>
      <c r="CO73" s="64"/>
      <c r="CP73" s="64"/>
      <c r="CQ73" s="64"/>
      <c r="CR73" s="64"/>
      <c r="CS73" s="64"/>
      <c r="CT73" s="64"/>
      <c r="CU73" s="64"/>
      <c r="CV73" s="64"/>
      <c r="CW73" s="64"/>
      <c r="CX73" s="64"/>
      <c r="CY73" s="64"/>
      <c r="CZ73" s="64"/>
      <c r="DA73" s="64"/>
      <c r="DB73" s="64"/>
      <c r="DC73" s="64"/>
      <c r="DD73" s="64"/>
      <c r="DE73" s="64"/>
      <c r="DF73" s="64"/>
      <c r="DG73" s="64"/>
      <c r="DH73" s="64"/>
      <c r="DI73" s="64"/>
      <c r="DJ73" s="64"/>
      <c r="DK73" s="64"/>
      <c r="DL73" s="64"/>
      <c r="DM73" s="64"/>
      <c r="DN73" s="64"/>
      <c r="DO73" s="64"/>
      <c r="DP73" s="64"/>
      <c r="DQ73" s="64"/>
      <c r="DR73" s="64"/>
      <c r="DS73" s="64"/>
      <c r="DT73" s="64"/>
      <c r="DU73" s="64"/>
      <c r="DV73" s="64"/>
      <c r="DW73" s="64"/>
      <c r="DX73" s="64"/>
      <c r="DY73" s="64"/>
      <c r="DZ73" s="64"/>
      <c r="EA73" s="64"/>
      <c r="EB73" s="64"/>
      <c r="EC73" s="64"/>
      <c r="ED73" s="64"/>
    </row>
    <row r="74" spans="1:134" ht="15.75" customHeight="1">
      <c r="A74" s="65" t="s">
        <v>286</v>
      </c>
      <c r="B74" s="65" t="s">
        <v>411</v>
      </c>
      <c r="C74" s="65" t="s">
        <v>514</v>
      </c>
      <c r="D74" s="65" t="str">
        <f t="shared" si="0"/>
        <v>K</v>
      </c>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64"/>
      <c r="BX74" s="64"/>
      <c r="BY74" s="64"/>
      <c r="BZ74" s="64"/>
      <c r="CA74" s="64"/>
      <c r="CB74" s="64"/>
      <c r="CC74" s="64"/>
      <c r="CD74" s="64"/>
      <c r="CE74" s="64"/>
      <c r="CF74" s="64"/>
      <c r="CG74" s="64"/>
      <c r="CH74" s="64"/>
      <c r="CI74" s="64"/>
      <c r="CJ74" s="64"/>
      <c r="CK74" s="64"/>
      <c r="CL74" s="64"/>
      <c r="CM74" s="64"/>
      <c r="CN74" s="64"/>
      <c r="CO74" s="64"/>
      <c r="CP74" s="64"/>
      <c r="CQ74" s="64"/>
      <c r="CR74" s="64"/>
      <c r="CS74" s="64"/>
      <c r="CT74" s="64"/>
      <c r="CU74" s="64"/>
      <c r="CV74" s="64"/>
      <c r="CW74" s="64"/>
      <c r="CX74" s="64"/>
      <c r="CY74" s="64"/>
      <c r="CZ74" s="64"/>
      <c r="DA74" s="64"/>
      <c r="DB74" s="64"/>
      <c r="DC74" s="64"/>
      <c r="DD74" s="64"/>
      <c r="DE74" s="64"/>
      <c r="DF74" s="64"/>
      <c r="DG74" s="64"/>
      <c r="DH74" s="64"/>
      <c r="DI74" s="64"/>
      <c r="DJ74" s="64"/>
      <c r="DK74" s="64"/>
      <c r="DL74" s="64"/>
      <c r="DM74" s="64"/>
      <c r="DN74" s="64"/>
      <c r="DO74" s="64"/>
      <c r="DP74" s="64"/>
      <c r="DQ74" s="64"/>
      <c r="DR74" s="64"/>
      <c r="DS74" s="64"/>
      <c r="DT74" s="64"/>
      <c r="DU74" s="64"/>
      <c r="DV74" s="64"/>
      <c r="DW74" s="64"/>
      <c r="DX74" s="64"/>
      <c r="DY74" s="64"/>
      <c r="DZ74" s="64"/>
      <c r="EA74" s="64"/>
      <c r="EB74" s="64"/>
      <c r="EC74" s="64"/>
      <c r="ED74" s="64"/>
    </row>
    <row r="75" spans="1:134" ht="15.75" customHeight="1">
      <c r="A75" s="65" t="s">
        <v>515</v>
      </c>
      <c r="B75" s="65" t="s">
        <v>396</v>
      </c>
      <c r="C75" s="65" t="s">
        <v>516</v>
      </c>
      <c r="D75" s="65" t="str">
        <f t="shared" si="0"/>
        <v>RB</v>
      </c>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64"/>
      <c r="BX75" s="64"/>
      <c r="BY75" s="64"/>
      <c r="BZ75" s="64"/>
      <c r="CA75" s="64"/>
      <c r="CB75" s="64"/>
      <c r="CC75" s="64"/>
      <c r="CD75" s="64"/>
      <c r="CE75" s="64"/>
      <c r="CF75" s="64"/>
      <c r="CG75" s="64"/>
      <c r="CH75" s="64"/>
      <c r="CI75" s="64"/>
      <c r="CJ75" s="64"/>
      <c r="CK75" s="64"/>
      <c r="CL75" s="64"/>
      <c r="CM75" s="64"/>
      <c r="CN75" s="64"/>
      <c r="CO75" s="64"/>
      <c r="CP75" s="64"/>
      <c r="CQ75" s="64"/>
      <c r="CR75" s="64"/>
      <c r="CS75" s="64"/>
      <c r="CT75" s="64"/>
      <c r="CU75" s="64"/>
      <c r="CV75" s="64"/>
      <c r="CW75" s="64"/>
      <c r="CX75" s="64"/>
      <c r="CY75" s="64"/>
      <c r="CZ75" s="64"/>
      <c r="DA75" s="64"/>
      <c r="DB75" s="64"/>
      <c r="DC75" s="64"/>
      <c r="DD75" s="64"/>
      <c r="DE75" s="64"/>
      <c r="DF75" s="64"/>
      <c r="DG75" s="64"/>
      <c r="DH75" s="64"/>
      <c r="DI75" s="64"/>
      <c r="DJ75" s="64"/>
      <c r="DK75" s="64"/>
      <c r="DL75" s="64"/>
      <c r="DM75" s="64"/>
      <c r="DN75" s="64"/>
      <c r="DO75" s="64"/>
      <c r="DP75" s="64"/>
      <c r="DQ75" s="64"/>
      <c r="DR75" s="64"/>
      <c r="DS75" s="64"/>
      <c r="DT75" s="64"/>
      <c r="DU75" s="64"/>
      <c r="DV75" s="64"/>
      <c r="DW75" s="64"/>
      <c r="DX75" s="64"/>
      <c r="DY75" s="64"/>
      <c r="DZ75" s="64"/>
      <c r="EA75" s="64"/>
      <c r="EB75" s="64"/>
      <c r="EC75" s="64"/>
      <c r="ED75" s="64"/>
    </row>
    <row r="76" spans="1:134" ht="15.75" customHeight="1">
      <c r="A76" s="65" t="s">
        <v>120</v>
      </c>
      <c r="B76" s="65" t="s">
        <v>414</v>
      </c>
      <c r="C76" s="65" t="s">
        <v>517</v>
      </c>
      <c r="D76" s="65" t="str">
        <f t="shared" si="0"/>
        <v>WR</v>
      </c>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64"/>
      <c r="BX76" s="64"/>
      <c r="BY76" s="64"/>
      <c r="BZ76" s="64"/>
      <c r="CA76" s="64"/>
      <c r="CB76" s="64"/>
      <c r="CC76" s="64"/>
      <c r="CD76" s="64"/>
      <c r="CE76" s="64"/>
      <c r="CF76" s="64"/>
      <c r="CG76" s="64"/>
      <c r="CH76" s="64"/>
      <c r="CI76" s="64"/>
      <c r="CJ76" s="64"/>
      <c r="CK76" s="64"/>
      <c r="CL76" s="64"/>
      <c r="CM76" s="64"/>
      <c r="CN76" s="64"/>
      <c r="CO76" s="64"/>
      <c r="CP76" s="64"/>
      <c r="CQ76" s="64"/>
      <c r="CR76" s="64"/>
      <c r="CS76" s="64"/>
      <c r="CT76" s="64"/>
      <c r="CU76" s="64"/>
      <c r="CV76" s="64"/>
      <c r="CW76" s="64"/>
      <c r="CX76" s="64"/>
      <c r="CY76" s="64"/>
      <c r="CZ76" s="64"/>
      <c r="DA76" s="64"/>
      <c r="DB76" s="64"/>
      <c r="DC76" s="64"/>
      <c r="DD76" s="64"/>
      <c r="DE76" s="64"/>
      <c r="DF76" s="64"/>
      <c r="DG76" s="64"/>
      <c r="DH76" s="64"/>
      <c r="DI76" s="64"/>
      <c r="DJ76" s="64"/>
      <c r="DK76" s="64"/>
      <c r="DL76" s="64"/>
      <c r="DM76" s="64"/>
      <c r="DN76" s="64"/>
      <c r="DO76" s="64"/>
      <c r="DP76" s="64"/>
      <c r="DQ76" s="64"/>
      <c r="DR76" s="64"/>
      <c r="DS76" s="64"/>
      <c r="DT76" s="64"/>
      <c r="DU76" s="64"/>
      <c r="DV76" s="64"/>
      <c r="DW76" s="64"/>
      <c r="DX76" s="64"/>
      <c r="DY76" s="64"/>
      <c r="DZ76" s="64"/>
      <c r="EA76" s="64"/>
      <c r="EB76" s="64"/>
      <c r="EC76" s="64"/>
      <c r="ED76" s="64"/>
    </row>
    <row r="77" spans="1:134" ht="15.75" customHeight="1">
      <c r="A77" s="65" t="s">
        <v>97</v>
      </c>
      <c r="B77" s="65" t="s">
        <v>407</v>
      </c>
      <c r="C77" s="65" t="s">
        <v>518</v>
      </c>
      <c r="D77" s="65" t="str">
        <f t="shared" si="0"/>
        <v>WR</v>
      </c>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64"/>
      <c r="BX77" s="64"/>
      <c r="BY77" s="64"/>
      <c r="BZ77" s="64"/>
      <c r="CA77" s="64"/>
      <c r="CB77" s="64"/>
      <c r="CC77" s="64"/>
      <c r="CD77" s="64"/>
      <c r="CE77" s="64"/>
      <c r="CF77" s="64"/>
      <c r="CG77" s="64"/>
      <c r="CH77" s="64"/>
      <c r="CI77" s="64"/>
      <c r="CJ77" s="64"/>
      <c r="CK77" s="64"/>
      <c r="CL77" s="64"/>
      <c r="CM77" s="64"/>
      <c r="CN77" s="64"/>
      <c r="CO77" s="64"/>
      <c r="CP77" s="64"/>
      <c r="CQ77" s="64"/>
      <c r="CR77" s="64"/>
      <c r="CS77" s="64"/>
      <c r="CT77" s="64"/>
      <c r="CU77" s="64"/>
      <c r="CV77" s="64"/>
      <c r="CW77" s="64"/>
      <c r="CX77" s="64"/>
      <c r="CY77" s="64"/>
      <c r="CZ77" s="64"/>
      <c r="DA77" s="64"/>
      <c r="DB77" s="64"/>
      <c r="DC77" s="64"/>
      <c r="DD77" s="64"/>
      <c r="DE77" s="64"/>
      <c r="DF77" s="64"/>
      <c r="DG77" s="64"/>
      <c r="DH77" s="64"/>
      <c r="DI77" s="64"/>
      <c r="DJ77" s="64"/>
      <c r="DK77" s="64"/>
      <c r="DL77" s="64"/>
      <c r="DM77" s="64"/>
      <c r="DN77" s="64"/>
      <c r="DO77" s="64"/>
      <c r="DP77" s="64"/>
      <c r="DQ77" s="64"/>
      <c r="DR77" s="64"/>
      <c r="DS77" s="64"/>
      <c r="DT77" s="64"/>
      <c r="DU77" s="64"/>
      <c r="DV77" s="64"/>
      <c r="DW77" s="64"/>
      <c r="DX77" s="64"/>
      <c r="DY77" s="64"/>
      <c r="DZ77" s="64"/>
      <c r="EA77" s="64"/>
      <c r="EB77" s="64"/>
      <c r="EC77" s="64"/>
      <c r="ED77" s="64"/>
    </row>
    <row r="78" spans="1:134" ht="15.75" customHeight="1">
      <c r="A78" s="65" t="s">
        <v>237</v>
      </c>
      <c r="B78" s="65" t="s">
        <v>416</v>
      </c>
      <c r="C78" s="65" t="s">
        <v>519</v>
      </c>
      <c r="D78" s="65" t="str">
        <f t="shared" si="0"/>
        <v>RB</v>
      </c>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64"/>
      <c r="BX78" s="64"/>
      <c r="BY78" s="64"/>
      <c r="BZ78" s="64"/>
      <c r="CA78" s="64"/>
      <c r="CB78" s="64"/>
      <c r="CC78" s="64"/>
      <c r="CD78" s="64"/>
      <c r="CE78" s="64"/>
      <c r="CF78" s="64"/>
      <c r="CG78" s="64"/>
      <c r="CH78" s="64"/>
      <c r="CI78" s="64"/>
      <c r="CJ78" s="64"/>
      <c r="CK78" s="64"/>
      <c r="CL78" s="64"/>
      <c r="CM78" s="64"/>
      <c r="CN78" s="64"/>
      <c r="CO78" s="64"/>
      <c r="CP78" s="64"/>
      <c r="CQ78" s="64"/>
      <c r="CR78" s="64"/>
      <c r="CS78" s="64"/>
      <c r="CT78" s="64"/>
      <c r="CU78" s="64"/>
      <c r="CV78" s="64"/>
      <c r="CW78" s="64"/>
      <c r="CX78" s="64"/>
      <c r="CY78" s="64"/>
      <c r="CZ78" s="64"/>
      <c r="DA78" s="64"/>
      <c r="DB78" s="64"/>
      <c r="DC78" s="64"/>
      <c r="DD78" s="64"/>
      <c r="DE78" s="64"/>
      <c r="DF78" s="64"/>
      <c r="DG78" s="64"/>
      <c r="DH78" s="64"/>
      <c r="DI78" s="64"/>
      <c r="DJ78" s="64"/>
      <c r="DK78" s="64"/>
      <c r="DL78" s="64"/>
      <c r="DM78" s="64"/>
      <c r="DN78" s="64"/>
      <c r="DO78" s="64"/>
      <c r="DP78" s="64"/>
      <c r="DQ78" s="64"/>
      <c r="DR78" s="64"/>
      <c r="DS78" s="64"/>
      <c r="DT78" s="64"/>
      <c r="DU78" s="64"/>
      <c r="DV78" s="64"/>
      <c r="DW78" s="64"/>
      <c r="DX78" s="64"/>
      <c r="DY78" s="64"/>
      <c r="DZ78" s="64"/>
      <c r="EA78" s="64"/>
      <c r="EB78" s="64"/>
      <c r="EC78" s="64"/>
      <c r="ED78" s="64"/>
    </row>
    <row r="79" spans="1:134" ht="15.75" customHeight="1">
      <c r="A79" s="65" t="s">
        <v>520</v>
      </c>
      <c r="B79" s="65" t="s">
        <v>407</v>
      </c>
      <c r="C79" s="65" t="s">
        <v>521</v>
      </c>
      <c r="D79" s="65" t="str">
        <f t="shared" si="0"/>
        <v>RB</v>
      </c>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64"/>
      <c r="BX79" s="64"/>
      <c r="BY79" s="64"/>
      <c r="BZ79" s="64"/>
      <c r="CA79" s="64"/>
      <c r="CB79" s="64"/>
      <c r="CC79" s="64"/>
      <c r="CD79" s="64"/>
      <c r="CE79" s="64"/>
      <c r="CF79" s="64"/>
      <c r="CG79" s="64"/>
      <c r="CH79" s="64"/>
      <c r="CI79" s="64"/>
      <c r="CJ79" s="64"/>
      <c r="CK79" s="64"/>
      <c r="CL79" s="64"/>
      <c r="CM79" s="64"/>
      <c r="CN79" s="64"/>
      <c r="CO79" s="64"/>
      <c r="CP79" s="64"/>
      <c r="CQ79" s="64"/>
      <c r="CR79" s="64"/>
      <c r="CS79" s="64"/>
      <c r="CT79" s="64"/>
      <c r="CU79" s="64"/>
      <c r="CV79" s="64"/>
      <c r="CW79" s="64"/>
      <c r="CX79" s="64"/>
      <c r="CY79" s="64"/>
      <c r="CZ79" s="64"/>
      <c r="DA79" s="64"/>
      <c r="DB79" s="64"/>
      <c r="DC79" s="64"/>
      <c r="DD79" s="64"/>
      <c r="DE79" s="64"/>
      <c r="DF79" s="64"/>
      <c r="DG79" s="64"/>
      <c r="DH79" s="64"/>
      <c r="DI79" s="64"/>
      <c r="DJ79" s="64"/>
      <c r="DK79" s="64"/>
      <c r="DL79" s="64"/>
      <c r="DM79" s="64"/>
      <c r="DN79" s="64"/>
      <c r="DO79" s="64"/>
      <c r="DP79" s="64"/>
      <c r="DQ79" s="64"/>
      <c r="DR79" s="64"/>
      <c r="DS79" s="64"/>
      <c r="DT79" s="64"/>
      <c r="DU79" s="64"/>
      <c r="DV79" s="64"/>
      <c r="DW79" s="64"/>
      <c r="DX79" s="64"/>
      <c r="DY79" s="64"/>
      <c r="DZ79" s="64"/>
      <c r="EA79" s="64"/>
      <c r="EB79" s="64"/>
      <c r="EC79" s="64"/>
      <c r="ED79" s="64"/>
    </row>
    <row r="80" spans="1:134" ht="15.75" customHeight="1">
      <c r="A80" s="65" t="s">
        <v>141</v>
      </c>
      <c r="B80" s="65" t="s">
        <v>397</v>
      </c>
      <c r="C80" s="65" t="s">
        <v>522</v>
      </c>
      <c r="D80" s="65" t="str">
        <f t="shared" si="0"/>
        <v>WR</v>
      </c>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64"/>
      <c r="BX80" s="64"/>
      <c r="BY80" s="64"/>
      <c r="BZ80" s="64"/>
      <c r="CA80" s="64"/>
      <c r="CB80" s="64"/>
      <c r="CC80" s="64"/>
      <c r="CD80" s="64"/>
      <c r="CE80" s="64"/>
      <c r="CF80" s="64"/>
      <c r="CG80" s="64"/>
      <c r="CH80" s="64"/>
      <c r="CI80" s="64"/>
      <c r="CJ80" s="64"/>
      <c r="CK80" s="64"/>
      <c r="CL80" s="64"/>
      <c r="CM80" s="64"/>
      <c r="CN80" s="64"/>
      <c r="CO80" s="64"/>
      <c r="CP80" s="64"/>
      <c r="CQ80" s="64"/>
      <c r="CR80" s="64"/>
      <c r="CS80" s="64"/>
      <c r="CT80" s="64"/>
      <c r="CU80" s="64"/>
      <c r="CV80" s="64"/>
      <c r="CW80" s="64"/>
      <c r="CX80" s="64"/>
      <c r="CY80" s="64"/>
      <c r="CZ80" s="64"/>
      <c r="DA80" s="64"/>
      <c r="DB80" s="64"/>
      <c r="DC80" s="64"/>
      <c r="DD80" s="64"/>
      <c r="DE80" s="64"/>
      <c r="DF80" s="64"/>
      <c r="DG80" s="64"/>
      <c r="DH80" s="64"/>
      <c r="DI80" s="64"/>
      <c r="DJ80" s="64"/>
      <c r="DK80" s="64"/>
      <c r="DL80" s="64"/>
      <c r="DM80" s="64"/>
      <c r="DN80" s="64"/>
      <c r="DO80" s="64"/>
      <c r="DP80" s="64"/>
      <c r="DQ80" s="64"/>
      <c r="DR80" s="64"/>
      <c r="DS80" s="64"/>
      <c r="DT80" s="64"/>
      <c r="DU80" s="64"/>
      <c r="DV80" s="64"/>
      <c r="DW80" s="64"/>
      <c r="DX80" s="64"/>
      <c r="DY80" s="64"/>
      <c r="DZ80" s="64"/>
      <c r="EA80" s="64"/>
      <c r="EB80" s="64"/>
      <c r="EC80" s="64"/>
      <c r="ED80" s="64"/>
    </row>
    <row r="81" spans="1:134" ht="15.75" customHeight="1">
      <c r="A81" s="65" t="s">
        <v>32</v>
      </c>
      <c r="B81" s="65" t="s">
        <v>413</v>
      </c>
      <c r="C81" s="65" t="s">
        <v>523</v>
      </c>
      <c r="D81" s="65" t="str">
        <f t="shared" si="0"/>
        <v>RB</v>
      </c>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64"/>
      <c r="BX81" s="64"/>
      <c r="BY81" s="64"/>
      <c r="BZ81" s="64"/>
      <c r="CA81" s="64"/>
      <c r="CB81" s="64"/>
      <c r="CC81" s="64"/>
      <c r="CD81" s="64"/>
      <c r="CE81" s="64"/>
      <c r="CF81" s="64"/>
      <c r="CG81" s="64"/>
      <c r="CH81" s="64"/>
      <c r="CI81" s="64"/>
      <c r="CJ81" s="64"/>
      <c r="CK81" s="64"/>
      <c r="CL81" s="64"/>
      <c r="CM81" s="64"/>
      <c r="CN81" s="64"/>
      <c r="CO81" s="64"/>
      <c r="CP81" s="64"/>
      <c r="CQ81" s="64"/>
      <c r="CR81" s="64"/>
      <c r="CS81" s="64"/>
      <c r="CT81" s="64"/>
      <c r="CU81" s="64"/>
      <c r="CV81" s="64"/>
      <c r="CW81" s="64"/>
      <c r="CX81" s="64"/>
      <c r="CY81" s="64"/>
      <c r="CZ81" s="64"/>
      <c r="DA81" s="64"/>
      <c r="DB81" s="64"/>
      <c r="DC81" s="64"/>
      <c r="DD81" s="64"/>
      <c r="DE81" s="64"/>
      <c r="DF81" s="64"/>
      <c r="DG81" s="64"/>
      <c r="DH81" s="64"/>
      <c r="DI81" s="64"/>
      <c r="DJ81" s="64"/>
      <c r="DK81" s="64"/>
      <c r="DL81" s="64"/>
      <c r="DM81" s="64"/>
      <c r="DN81" s="64"/>
      <c r="DO81" s="64"/>
      <c r="DP81" s="64"/>
      <c r="DQ81" s="64"/>
      <c r="DR81" s="64"/>
      <c r="DS81" s="64"/>
      <c r="DT81" s="64"/>
      <c r="DU81" s="64"/>
      <c r="DV81" s="64"/>
      <c r="DW81" s="64"/>
      <c r="DX81" s="64"/>
      <c r="DY81" s="64"/>
      <c r="DZ81" s="64"/>
      <c r="EA81" s="64"/>
      <c r="EB81" s="64"/>
      <c r="EC81" s="64"/>
      <c r="ED81" s="64"/>
    </row>
    <row r="82" spans="1:134" ht="15.75" customHeight="1">
      <c r="A82" s="65" t="s">
        <v>524</v>
      </c>
      <c r="B82" s="65" t="s">
        <v>396</v>
      </c>
      <c r="C82" s="65" t="s">
        <v>525</v>
      </c>
      <c r="D82" s="65" t="str">
        <f t="shared" si="0"/>
        <v>WR</v>
      </c>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64"/>
      <c r="BX82" s="64"/>
      <c r="BY82" s="64"/>
      <c r="BZ82" s="64"/>
      <c r="CA82" s="64"/>
      <c r="CB82" s="64"/>
      <c r="CC82" s="64"/>
      <c r="CD82" s="64"/>
      <c r="CE82" s="64"/>
      <c r="CF82" s="64"/>
      <c r="CG82" s="64"/>
      <c r="CH82" s="64"/>
      <c r="CI82" s="64"/>
      <c r="CJ82" s="64"/>
      <c r="CK82" s="64"/>
      <c r="CL82" s="64"/>
      <c r="CM82" s="64"/>
      <c r="CN82" s="64"/>
      <c r="CO82" s="64"/>
      <c r="CP82" s="64"/>
      <c r="CQ82" s="64"/>
      <c r="CR82" s="64"/>
      <c r="CS82" s="64"/>
      <c r="CT82" s="64"/>
      <c r="CU82" s="64"/>
      <c r="CV82" s="64"/>
      <c r="CW82" s="64"/>
      <c r="CX82" s="64"/>
      <c r="CY82" s="64"/>
      <c r="CZ82" s="64"/>
      <c r="DA82" s="64"/>
      <c r="DB82" s="64"/>
      <c r="DC82" s="64"/>
      <c r="DD82" s="64"/>
      <c r="DE82" s="64"/>
      <c r="DF82" s="64"/>
      <c r="DG82" s="64"/>
      <c r="DH82" s="64"/>
      <c r="DI82" s="64"/>
      <c r="DJ82" s="64"/>
      <c r="DK82" s="64"/>
      <c r="DL82" s="64"/>
      <c r="DM82" s="64"/>
      <c r="DN82" s="64"/>
      <c r="DO82" s="64"/>
      <c r="DP82" s="64"/>
      <c r="DQ82" s="64"/>
      <c r="DR82" s="64"/>
      <c r="DS82" s="64"/>
      <c r="DT82" s="64"/>
      <c r="DU82" s="64"/>
      <c r="DV82" s="64"/>
      <c r="DW82" s="64"/>
      <c r="DX82" s="64"/>
      <c r="DY82" s="64"/>
      <c r="DZ82" s="64"/>
      <c r="EA82" s="64"/>
      <c r="EB82" s="64"/>
      <c r="EC82" s="64"/>
      <c r="ED82" s="64"/>
    </row>
    <row r="83" spans="1:134" ht="15.75" customHeight="1">
      <c r="A83" s="65" t="s">
        <v>47</v>
      </c>
      <c r="B83" s="65" t="s">
        <v>389</v>
      </c>
      <c r="C83" s="65" t="s">
        <v>526</v>
      </c>
      <c r="D83" s="65" t="str">
        <f t="shared" si="0"/>
        <v>RB</v>
      </c>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64"/>
      <c r="BX83" s="64"/>
      <c r="BY83" s="64"/>
      <c r="BZ83" s="64"/>
      <c r="CA83" s="64"/>
      <c r="CB83" s="64"/>
      <c r="CC83" s="64"/>
      <c r="CD83" s="64"/>
      <c r="CE83" s="64"/>
      <c r="CF83" s="64"/>
      <c r="CG83" s="64"/>
      <c r="CH83" s="64"/>
      <c r="CI83" s="64"/>
      <c r="CJ83" s="64"/>
      <c r="CK83" s="64"/>
      <c r="CL83" s="64"/>
      <c r="CM83" s="64"/>
      <c r="CN83" s="64"/>
      <c r="CO83" s="64"/>
      <c r="CP83" s="64"/>
      <c r="CQ83" s="64"/>
      <c r="CR83" s="64"/>
      <c r="CS83" s="64"/>
      <c r="CT83" s="64"/>
      <c r="CU83" s="64"/>
      <c r="CV83" s="64"/>
      <c r="CW83" s="64"/>
      <c r="CX83" s="64"/>
      <c r="CY83" s="64"/>
      <c r="CZ83" s="64"/>
      <c r="DA83" s="64"/>
      <c r="DB83" s="64"/>
      <c r="DC83" s="64"/>
      <c r="DD83" s="64"/>
      <c r="DE83" s="64"/>
      <c r="DF83" s="64"/>
      <c r="DG83" s="64"/>
      <c r="DH83" s="64"/>
      <c r="DI83" s="64"/>
      <c r="DJ83" s="64"/>
      <c r="DK83" s="64"/>
      <c r="DL83" s="64"/>
      <c r="DM83" s="64"/>
      <c r="DN83" s="64"/>
      <c r="DO83" s="64"/>
      <c r="DP83" s="64"/>
      <c r="DQ83" s="64"/>
      <c r="DR83" s="64"/>
      <c r="DS83" s="64"/>
      <c r="DT83" s="64"/>
      <c r="DU83" s="64"/>
      <c r="DV83" s="64"/>
      <c r="DW83" s="64"/>
      <c r="DX83" s="64"/>
      <c r="DY83" s="64"/>
      <c r="DZ83" s="64"/>
      <c r="EA83" s="64"/>
      <c r="EB83" s="64"/>
      <c r="EC83" s="64"/>
      <c r="ED83" s="64"/>
    </row>
    <row r="84" spans="1:134" ht="15.75" customHeight="1">
      <c r="A84" s="65" t="s">
        <v>527</v>
      </c>
      <c r="B84" s="65" t="s">
        <v>391</v>
      </c>
      <c r="C84" s="65" t="s">
        <v>528</v>
      </c>
      <c r="D84" s="65" t="str">
        <f t="shared" si="0"/>
        <v>DEF</v>
      </c>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64"/>
      <c r="BX84" s="64"/>
      <c r="BY84" s="64"/>
      <c r="BZ84" s="64"/>
      <c r="CA84" s="64"/>
      <c r="CB84" s="64"/>
      <c r="CC84" s="64"/>
      <c r="CD84" s="64"/>
      <c r="CE84" s="64"/>
      <c r="CF84" s="64"/>
      <c r="CG84" s="64"/>
      <c r="CH84" s="64"/>
      <c r="CI84" s="64"/>
      <c r="CJ84" s="64"/>
      <c r="CK84" s="64"/>
      <c r="CL84" s="64"/>
      <c r="CM84" s="64"/>
      <c r="CN84" s="64"/>
      <c r="CO84" s="64"/>
      <c r="CP84" s="64"/>
      <c r="CQ84" s="64"/>
      <c r="CR84" s="64"/>
      <c r="CS84" s="64"/>
      <c r="CT84" s="64"/>
      <c r="CU84" s="64"/>
      <c r="CV84" s="64"/>
      <c r="CW84" s="64"/>
      <c r="CX84" s="64"/>
      <c r="CY84" s="64"/>
      <c r="CZ84" s="64"/>
      <c r="DA84" s="64"/>
      <c r="DB84" s="64"/>
      <c r="DC84" s="64"/>
      <c r="DD84" s="64"/>
      <c r="DE84" s="64"/>
      <c r="DF84" s="64"/>
      <c r="DG84" s="64"/>
      <c r="DH84" s="64"/>
      <c r="DI84" s="64"/>
      <c r="DJ84" s="64"/>
      <c r="DK84" s="64"/>
      <c r="DL84" s="64"/>
      <c r="DM84" s="64"/>
      <c r="DN84" s="64"/>
      <c r="DO84" s="64"/>
      <c r="DP84" s="64"/>
      <c r="DQ84" s="64"/>
      <c r="DR84" s="64"/>
      <c r="DS84" s="64"/>
      <c r="DT84" s="64"/>
      <c r="DU84" s="64"/>
      <c r="DV84" s="64"/>
      <c r="DW84" s="64"/>
      <c r="DX84" s="64"/>
      <c r="DY84" s="64"/>
      <c r="DZ84" s="64"/>
      <c r="EA84" s="64"/>
      <c r="EB84" s="64"/>
      <c r="EC84" s="64"/>
      <c r="ED84" s="64"/>
    </row>
    <row r="85" spans="1:134" ht="15.75" customHeight="1">
      <c r="A85" s="65" t="s">
        <v>331</v>
      </c>
      <c r="B85" s="65" t="s">
        <v>392</v>
      </c>
      <c r="C85" s="65" t="s">
        <v>529</v>
      </c>
      <c r="D85" s="65" t="str">
        <f t="shared" si="0"/>
        <v>DEF</v>
      </c>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64"/>
      <c r="BX85" s="64"/>
      <c r="BY85" s="64"/>
      <c r="BZ85" s="64"/>
      <c r="CA85" s="64"/>
      <c r="CB85" s="64"/>
      <c r="CC85" s="64"/>
      <c r="CD85" s="64"/>
      <c r="CE85" s="64"/>
      <c r="CF85" s="64"/>
      <c r="CG85" s="64"/>
      <c r="CH85" s="64"/>
      <c r="CI85" s="64"/>
      <c r="CJ85" s="64"/>
      <c r="CK85" s="64"/>
      <c r="CL85" s="64"/>
      <c r="CM85" s="64"/>
      <c r="CN85" s="64"/>
      <c r="CO85" s="64"/>
      <c r="CP85" s="64"/>
      <c r="CQ85" s="64"/>
      <c r="CR85" s="64"/>
      <c r="CS85" s="64"/>
      <c r="CT85" s="64"/>
      <c r="CU85" s="64"/>
      <c r="CV85" s="64"/>
      <c r="CW85" s="64"/>
      <c r="CX85" s="64"/>
      <c r="CY85" s="64"/>
      <c r="CZ85" s="64"/>
      <c r="DA85" s="64"/>
      <c r="DB85" s="64"/>
      <c r="DC85" s="64"/>
      <c r="DD85" s="64"/>
      <c r="DE85" s="64"/>
      <c r="DF85" s="64"/>
      <c r="DG85" s="64"/>
      <c r="DH85" s="64"/>
      <c r="DI85" s="64"/>
      <c r="DJ85" s="64"/>
      <c r="DK85" s="64"/>
      <c r="DL85" s="64"/>
      <c r="DM85" s="64"/>
      <c r="DN85" s="64"/>
      <c r="DO85" s="64"/>
      <c r="DP85" s="64"/>
      <c r="DQ85" s="64"/>
      <c r="DR85" s="64"/>
      <c r="DS85" s="64"/>
      <c r="DT85" s="64"/>
      <c r="DU85" s="64"/>
      <c r="DV85" s="64"/>
      <c r="DW85" s="64"/>
      <c r="DX85" s="64"/>
      <c r="DY85" s="64"/>
      <c r="DZ85" s="64"/>
      <c r="EA85" s="64"/>
      <c r="EB85" s="64"/>
      <c r="EC85" s="64"/>
      <c r="ED85" s="64"/>
    </row>
    <row r="86" spans="1:134" ht="15.75" customHeight="1">
      <c r="A86" s="65" t="s">
        <v>530</v>
      </c>
      <c r="B86" s="65" t="s">
        <v>407</v>
      </c>
      <c r="C86" s="65" t="s">
        <v>531</v>
      </c>
      <c r="D86" s="65" t="str">
        <f t="shared" si="0"/>
        <v>RB</v>
      </c>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64"/>
      <c r="BX86" s="64"/>
      <c r="BY86" s="64"/>
      <c r="BZ86" s="64"/>
      <c r="CA86" s="64"/>
      <c r="CB86" s="64"/>
      <c r="CC86" s="64"/>
      <c r="CD86" s="64"/>
      <c r="CE86" s="64"/>
      <c r="CF86" s="64"/>
      <c r="CG86" s="64"/>
      <c r="CH86" s="64"/>
      <c r="CI86" s="64"/>
      <c r="CJ86" s="64"/>
      <c r="CK86" s="64"/>
      <c r="CL86" s="64"/>
      <c r="CM86" s="64"/>
      <c r="CN86" s="64"/>
      <c r="CO86" s="64"/>
      <c r="CP86" s="64"/>
      <c r="CQ86" s="64"/>
      <c r="CR86" s="64"/>
      <c r="CS86" s="64"/>
      <c r="CT86" s="64"/>
      <c r="CU86" s="64"/>
      <c r="CV86" s="64"/>
      <c r="CW86" s="64"/>
      <c r="CX86" s="64"/>
      <c r="CY86" s="64"/>
      <c r="CZ86" s="64"/>
      <c r="DA86" s="64"/>
      <c r="DB86" s="64"/>
      <c r="DC86" s="64"/>
      <c r="DD86" s="64"/>
      <c r="DE86" s="64"/>
      <c r="DF86" s="64"/>
      <c r="DG86" s="64"/>
      <c r="DH86" s="64"/>
      <c r="DI86" s="64"/>
      <c r="DJ86" s="64"/>
      <c r="DK86" s="64"/>
      <c r="DL86" s="64"/>
      <c r="DM86" s="64"/>
      <c r="DN86" s="64"/>
      <c r="DO86" s="64"/>
      <c r="DP86" s="64"/>
      <c r="DQ86" s="64"/>
      <c r="DR86" s="64"/>
      <c r="DS86" s="64"/>
      <c r="DT86" s="64"/>
      <c r="DU86" s="64"/>
      <c r="DV86" s="64"/>
      <c r="DW86" s="64"/>
      <c r="DX86" s="64"/>
      <c r="DY86" s="64"/>
      <c r="DZ86" s="64"/>
      <c r="EA86" s="64"/>
      <c r="EB86" s="64"/>
      <c r="EC86" s="64"/>
      <c r="ED86" s="64"/>
    </row>
    <row r="87" spans="1:134" ht="15.75" customHeight="1">
      <c r="A87" s="65" t="s">
        <v>532</v>
      </c>
      <c r="B87" s="65" t="s">
        <v>402</v>
      </c>
      <c r="C87" s="65" t="s">
        <v>533</v>
      </c>
      <c r="D87" s="65" t="str">
        <f t="shared" si="0"/>
        <v>TE</v>
      </c>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64"/>
      <c r="BX87" s="64"/>
      <c r="BY87" s="64"/>
      <c r="BZ87" s="64"/>
      <c r="CA87" s="64"/>
      <c r="CB87" s="64"/>
      <c r="CC87" s="64"/>
      <c r="CD87" s="64"/>
      <c r="CE87" s="64"/>
      <c r="CF87" s="64"/>
      <c r="CG87" s="64"/>
      <c r="CH87" s="64"/>
      <c r="CI87" s="64"/>
      <c r="CJ87" s="64"/>
      <c r="CK87" s="64"/>
      <c r="CL87" s="64"/>
      <c r="CM87" s="64"/>
      <c r="CN87" s="64"/>
      <c r="CO87" s="64"/>
      <c r="CP87" s="64"/>
      <c r="CQ87" s="64"/>
      <c r="CR87" s="64"/>
      <c r="CS87" s="64"/>
      <c r="CT87" s="64"/>
      <c r="CU87" s="64"/>
      <c r="CV87" s="64"/>
      <c r="CW87" s="64"/>
      <c r="CX87" s="64"/>
      <c r="CY87" s="64"/>
      <c r="CZ87" s="64"/>
      <c r="DA87" s="64"/>
      <c r="DB87" s="64"/>
      <c r="DC87" s="64"/>
      <c r="DD87" s="64"/>
      <c r="DE87" s="64"/>
      <c r="DF87" s="64"/>
      <c r="DG87" s="64"/>
      <c r="DH87" s="64"/>
      <c r="DI87" s="64"/>
      <c r="DJ87" s="64"/>
      <c r="DK87" s="64"/>
      <c r="DL87" s="64"/>
      <c r="DM87" s="64"/>
      <c r="DN87" s="64"/>
      <c r="DO87" s="64"/>
      <c r="DP87" s="64"/>
      <c r="DQ87" s="64"/>
      <c r="DR87" s="64"/>
      <c r="DS87" s="64"/>
      <c r="DT87" s="64"/>
      <c r="DU87" s="64"/>
      <c r="DV87" s="64"/>
      <c r="DW87" s="64"/>
      <c r="DX87" s="64"/>
      <c r="DY87" s="64"/>
      <c r="DZ87" s="64"/>
      <c r="EA87" s="64"/>
      <c r="EB87" s="64"/>
      <c r="EC87" s="64"/>
      <c r="ED87" s="64"/>
    </row>
    <row r="88" spans="1:134" ht="15.75" customHeight="1">
      <c r="A88" s="65" t="s">
        <v>281</v>
      </c>
      <c r="B88" s="65" t="s">
        <v>390</v>
      </c>
      <c r="C88" s="65" t="s">
        <v>534</v>
      </c>
      <c r="D88" s="65" t="str">
        <f t="shared" si="0"/>
        <v>TE</v>
      </c>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64"/>
      <c r="BX88" s="64"/>
      <c r="BY88" s="64"/>
      <c r="BZ88" s="64"/>
      <c r="CA88" s="64"/>
      <c r="CB88" s="64"/>
      <c r="CC88" s="64"/>
      <c r="CD88" s="64"/>
      <c r="CE88" s="64"/>
      <c r="CF88" s="64"/>
      <c r="CG88" s="64"/>
      <c r="CH88" s="64"/>
      <c r="CI88" s="64"/>
      <c r="CJ88" s="64"/>
      <c r="CK88" s="64"/>
      <c r="CL88" s="64"/>
      <c r="CM88" s="64"/>
      <c r="CN88" s="64"/>
      <c r="CO88" s="64"/>
      <c r="CP88" s="64"/>
      <c r="CQ88" s="64"/>
      <c r="CR88" s="64"/>
      <c r="CS88" s="64"/>
      <c r="CT88" s="64"/>
      <c r="CU88" s="64"/>
      <c r="CV88" s="64"/>
      <c r="CW88" s="64"/>
      <c r="CX88" s="64"/>
      <c r="CY88" s="64"/>
      <c r="CZ88" s="64"/>
      <c r="DA88" s="64"/>
      <c r="DB88" s="64"/>
      <c r="DC88" s="64"/>
      <c r="DD88" s="64"/>
      <c r="DE88" s="64"/>
      <c r="DF88" s="64"/>
      <c r="DG88" s="64"/>
      <c r="DH88" s="64"/>
      <c r="DI88" s="64"/>
      <c r="DJ88" s="64"/>
      <c r="DK88" s="64"/>
      <c r="DL88" s="64"/>
      <c r="DM88" s="64"/>
      <c r="DN88" s="64"/>
      <c r="DO88" s="64"/>
      <c r="DP88" s="64"/>
      <c r="DQ88" s="64"/>
      <c r="DR88" s="64"/>
      <c r="DS88" s="64"/>
      <c r="DT88" s="64"/>
      <c r="DU88" s="64"/>
      <c r="DV88" s="64"/>
      <c r="DW88" s="64"/>
      <c r="DX88" s="64"/>
      <c r="DY88" s="64"/>
      <c r="DZ88" s="64"/>
      <c r="EA88" s="64"/>
      <c r="EB88" s="64"/>
      <c r="EC88" s="64"/>
      <c r="ED88" s="64"/>
    </row>
    <row r="89" spans="1:134" ht="15.75" customHeight="1">
      <c r="A89" s="65" t="s">
        <v>129</v>
      </c>
      <c r="B89" s="65" t="s">
        <v>390</v>
      </c>
      <c r="C89" s="65" t="s">
        <v>535</v>
      </c>
      <c r="D89" s="65" t="str">
        <f t="shared" si="0"/>
        <v>TE</v>
      </c>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64"/>
      <c r="BX89" s="64"/>
      <c r="BY89" s="64"/>
      <c r="BZ89" s="64"/>
      <c r="CA89" s="64"/>
      <c r="CB89" s="64"/>
      <c r="CC89" s="64"/>
      <c r="CD89" s="64"/>
      <c r="CE89" s="64"/>
      <c r="CF89" s="64"/>
      <c r="CG89" s="64"/>
      <c r="CH89" s="64"/>
      <c r="CI89" s="64"/>
      <c r="CJ89" s="64"/>
      <c r="CK89" s="64"/>
      <c r="CL89" s="64"/>
      <c r="CM89" s="64"/>
      <c r="CN89" s="64"/>
      <c r="CO89" s="64"/>
      <c r="CP89" s="64"/>
      <c r="CQ89" s="64"/>
      <c r="CR89" s="64"/>
      <c r="CS89" s="64"/>
      <c r="CT89" s="64"/>
      <c r="CU89" s="64"/>
      <c r="CV89" s="64"/>
      <c r="CW89" s="64"/>
      <c r="CX89" s="64"/>
      <c r="CY89" s="64"/>
      <c r="CZ89" s="64"/>
      <c r="DA89" s="64"/>
      <c r="DB89" s="64"/>
      <c r="DC89" s="64"/>
      <c r="DD89" s="64"/>
      <c r="DE89" s="64"/>
      <c r="DF89" s="64"/>
      <c r="DG89" s="64"/>
      <c r="DH89" s="64"/>
      <c r="DI89" s="64"/>
      <c r="DJ89" s="64"/>
      <c r="DK89" s="64"/>
      <c r="DL89" s="64"/>
      <c r="DM89" s="64"/>
      <c r="DN89" s="64"/>
      <c r="DO89" s="64"/>
      <c r="DP89" s="64"/>
      <c r="DQ89" s="64"/>
      <c r="DR89" s="64"/>
      <c r="DS89" s="64"/>
      <c r="DT89" s="64"/>
      <c r="DU89" s="64"/>
      <c r="DV89" s="64"/>
      <c r="DW89" s="64"/>
      <c r="DX89" s="64"/>
      <c r="DY89" s="64"/>
      <c r="DZ89" s="64"/>
      <c r="EA89" s="64"/>
      <c r="EB89" s="64"/>
      <c r="EC89" s="64"/>
      <c r="ED89" s="64"/>
    </row>
    <row r="90" spans="1:134" ht="15.75" customHeight="1">
      <c r="A90" s="65" t="s">
        <v>155</v>
      </c>
      <c r="B90" s="65" t="s">
        <v>412</v>
      </c>
      <c r="C90" s="65" t="s">
        <v>536</v>
      </c>
      <c r="D90" s="65" t="str">
        <f t="shared" si="0"/>
        <v>WR</v>
      </c>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64"/>
      <c r="BX90" s="64"/>
      <c r="BY90" s="64"/>
      <c r="BZ90" s="64"/>
      <c r="CA90" s="64"/>
      <c r="CB90" s="64"/>
      <c r="CC90" s="64"/>
      <c r="CD90" s="64"/>
      <c r="CE90" s="64"/>
      <c r="CF90" s="64"/>
      <c r="CG90" s="64"/>
      <c r="CH90" s="64"/>
      <c r="CI90" s="64"/>
      <c r="CJ90" s="64"/>
      <c r="CK90" s="64"/>
      <c r="CL90" s="64"/>
      <c r="CM90" s="64"/>
      <c r="CN90" s="64"/>
      <c r="CO90" s="64"/>
      <c r="CP90" s="64"/>
      <c r="CQ90" s="64"/>
      <c r="CR90" s="64"/>
      <c r="CS90" s="64"/>
      <c r="CT90" s="64"/>
      <c r="CU90" s="64"/>
      <c r="CV90" s="64"/>
      <c r="CW90" s="64"/>
      <c r="CX90" s="64"/>
      <c r="CY90" s="64"/>
      <c r="CZ90" s="64"/>
      <c r="DA90" s="64"/>
      <c r="DB90" s="64"/>
      <c r="DC90" s="64"/>
      <c r="DD90" s="64"/>
      <c r="DE90" s="64"/>
      <c r="DF90" s="64"/>
      <c r="DG90" s="64"/>
      <c r="DH90" s="64"/>
      <c r="DI90" s="64"/>
      <c r="DJ90" s="64"/>
      <c r="DK90" s="64"/>
      <c r="DL90" s="64"/>
      <c r="DM90" s="64"/>
      <c r="DN90" s="64"/>
      <c r="DO90" s="64"/>
      <c r="DP90" s="64"/>
      <c r="DQ90" s="64"/>
      <c r="DR90" s="64"/>
      <c r="DS90" s="64"/>
      <c r="DT90" s="64"/>
      <c r="DU90" s="64"/>
      <c r="DV90" s="64"/>
      <c r="DW90" s="64"/>
      <c r="DX90" s="64"/>
      <c r="DY90" s="64"/>
      <c r="DZ90" s="64"/>
      <c r="EA90" s="64"/>
      <c r="EB90" s="64"/>
      <c r="EC90" s="64"/>
      <c r="ED90" s="64"/>
    </row>
    <row r="91" spans="1:134" ht="15.75" customHeight="1">
      <c r="A91" s="65" t="s">
        <v>537</v>
      </c>
      <c r="B91" s="65" t="s">
        <v>387</v>
      </c>
      <c r="C91" s="65" t="s">
        <v>538</v>
      </c>
      <c r="D91" s="65" t="str">
        <f t="shared" si="0"/>
        <v>QB</v>
      </c>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64"/>
      <c r="BX91" s="64"/>
      <c r="BY91" s="64"/>
      <c r="BZ91" s="64"/>
      <c r="CA91" s="64"/>
      <c r="CB91" s="64"/>
      <c r="CC91" s="64"/>
      <c r="CD91" s="64"/>
      <c r="CE91" s="64"/>
      <c r="CF91" s="64"/>
      <c r="CG91" s="64"/>
      <c r="CH91" s="64"/>
      <c r="CI91" s="64"/>
      <c r="CJ91" s="64"/>
      <c r="CK91" s="64"/>
      <c r="CL91" s="64"/>
      <c r="CM91" s="64"/>
      <c r="CN91" s="64"/>
      <c r="CO91" s="64"/>
      <c r="CP91" s="64"/>
      <c r="CQ91" s="64"/>
      <c r="CR91" s="64"/>
      <c r="CS91" s="64"/>
      <c r="CT91" s="64"/>
      <c r="CU91" s="64"/>
      <c r="CV91" s="64"/>
      <c r="CW91" s="64"/>
      <c r="CX91" s="64"/>
      <c r="CY91" s="64"/>
      <c r="CZ91" s="64"/>
      <c r="DA91" s="64"/>
      <c r="DB91" s="64"/>
      <c r="DC91" s="64"/>
      <c r="DD91" s="64"/>
      <c r="DE91" s="64"/>
      <c r="DF91" s="64"/>
      <c r="DG91" s="64"/>
      <c r="DH91" s="64"/>
      <c r="DI91" s="64"/>
      <c r="DJ91" s="64"/>
      <c r="DK91" s="64"/>
      <c r="DL91" s="64"/>
      <c r="DM91" s="64"/>
      <c r="DN91" s="64"/>
      <c r="DO91" s="64"/>
      <c r="DP91" s="64"/>
      <c r="DQ91" s="64"/>
      <c r="DR91" s="64"/>
      <c r="DS91" s="64"/>
      <c r="DT91" s="64"/>
      <c r="DU91" s="64"/>
      <c r="DV91" s="64"/>
      <c r="DW91" s="64"/>
      <c r="DX91" s="64"/>
      <c r="DY91" s="64"/>
      <c r="DZ91" s="64"/>
      <c r="EA91" s="64"/>
      <c r="EB91" s="64"/>
      <c r="EC91" s="64"/>
      <c r="ED91" s="64"/>
    </row>
    <row r="92" spans="1:134" ht="15.75" customHeight="1">
      <c r="A92" s="65" t="s">
        <v>81</v>
      </c>
      <c r="B92" s="65" t="s">
        <v>394</v>
      </c>
      <c r="C92" s="65" t="s">
        <v>539</v>
      </c>
      <c r="D92" s="65" t="str">
        <f t="shared" si="0"/>
        <v>WR</v>
      </c>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64"/>
      <c r="BX92" s="64"/>
      <c r="BY92" s="64"/>
      <c r="BZ92" s="64"/>
      <c r="CA92" s="64"/>
      <c r="CB92" s="64"/>
      <c r="CC92" s="64"/>
      <c r="CD92" s="64"/>
      <c r="CE92" s="64"/>
      <c r="CF92" s="64"/>
      <c r="CG92" s="64"/>
      <c r="CH92" s="64"/>
      <c r="CI92" s="64"/>
      <c r="CJ92" s="64"/>
      <c r="CK92" s="64"/>
      <c r="CL92" s="64"/>
      <c r="CM92" s="64"/>
      <c r="CN92" s="64"/>
      <c r="CO92" s="64"/>
      <c r="CP92" s="64"/>
      <c r="CQ92" s="64"/>
      <c r="CR92" s="64"/>
      <c r="CS92" s="64"/>
      <c r="CT92" s="64"/>
      <c r="CU92" s="64"/>
      <c r="CV92" s="64"/>
      <c r="CW92" s="64"/>
      <c r="CX92" s="64"/>
      <c r="CY92" s="64"/>
      <c r="CZ92" s="64"/>
      <c r="DA92" s="64"/>
      <c r="DB92" s="64"/>
      <c r="DC92" s="64"/>
      <c r="DD92" s="64"/>
      <c r="DE92" s="64"/>
      <c r="DF92" s="64"/>
      <c r="DG92" s="64"/>
      <c r="DH92" s="64"/>
      <c r="DI92" s="64"/>
      <c r="DJ92" s="64"/>
      <c r="DK92" s="64"/>
      <c r="DL92" s="64"/>
      <c r="DM92" s="64"/>
      <c r="DN92" s="64"/>
      <c r="DO92" s="64"/>
      <c r="DP92" s="64"/>
      <c r="DQ92" s="64"/>
      <c r="DR92" s="64"/>
      <c r="DS92" s="64"/>
      <c r="DT92" s="64"/>
      <c r="DU92" s="64"/>
      <c r="DV92" s="64"/>
      <c r="DW92" s="64"/>
      <c r="DX92" s="64"/>
      <c r="DY92" s="64"/>
      <c r="DZ92" s="64"/>
      <c r="EA92" s="64"/>
      <c r="EB92" s="64"/>
      <c r="EC92" s="64"/>
      <c r="ED92" s="64"/>
    </row>
    <row r="93" spans="1:134" ht="15.75" customHeight="1">
      <c r="A93" s="65" t="s">
        <v>540</v>
      </c>
      <c r="B93" s="65" t="s">
        <v>395</v>
      </c>
      <c r="C93" s="65" t="s">
        <v>541</v>
      </c>
      <c r="D93" s="65" t="str">
        <f t="shared" si="0"/>
        <v>RB</v>
      </c>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64"/>
      <c r="BX93" s="64"/>
      <c r="BY93" s="64"/>
      <c r="BZ93" s="64"/>
      <c r="CA93" s="64"/>
      <c r="CB93" s="64"/>
      <c r="CC93" s="64"/>
      <c r="CD93" s="64"/>
      <c r="CE93" s="64"/>
      <c r="CF93" s="64"/>
      <c r="CG93" s="64"/>
      <c r="CH93" s="64"/>
      <c r="CI93" s="64"/>
      <c r="CJ93" s="64"/>
      <c r="CK93" s="64"/>
      <c r="CL93" s="64"/>
      <c r="CM93" s="64"/>
      <c r="CN93" s="64"/>
      <c r="CO93" s="64"/>
      <c r="CP93" s="64"/>
      <c r="CQ93" s="64"/>
      <c r="CR93" s="64"/>
      <c r="CS93" s="64"/>
      <c r="CT93" s="64"/>
      <c r="CU93" s="64"/>
      <c r="CV93" s="64"/>
      <c r="CW93" s="64"/>
      <c r="CX93" s="64"/>
      <c r="CY93" s="64"/>
      <c r="CZ93" s="64"/>
      <c r="DA93" s="64"/>
      <c r="DB93" s="64"/>
      <c r="DC93" s="64"/>
      <c r="DD93" s="64"/>
      <c r="DE93" s="64"/>
      <c r="DF93" s="64"/>
      <c r="DG93" s="64"/>
      <c r="DH93" s="64"/>
      <c r="DI93" s="64"/>
      <c r="DJ93" s="64"/>
      <c r="DK93" s="64"/>
      <c r="DL93" s="64"/>
      <c r="DM93" s="64"/>
      <c r="DN93" s="64"/>
      <c r="DO93" s="64"/>
      <c r="DP93" s="64"/>
      <c r="DQ93" s="64"/>
      <c r="DR93" s="64"/>
      <c r="DS93" s="64"/>
      <c r="DT93" s="64"/>
      <c r="DU93" s="64"/>
      <c r="DV93" s="64"/>
      <c r="DW93" s="64"/>
      <c r="DX93" s="64"/>
      <c r="DY93" s="64"/>
      <c r="DZ93" s="64"/>
      <c r="EA93" s="64"/>
      <c r="EB93" s="64"/>
      <c r="EC93" s="64"/>
      <c r="ED93" s="64"/>
    </row>
    <row r="94" spans="1:134" ht="15.75" customHeight="1">
      <c r="A94" s="65" t="s">
        <v>542</v>
      </c>
      <c r="B94" s="65" t="s">
        <v>388</v>
      </c>
      <c r="C94" s="65" t="s">
        <v>543</v>
      </c>
      <c r="D94" s="65" t="str">
        <f t="shared" si="0"/>
        <v>WR</v>
      </c>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64"/>
      <c r="BX94" s="64"/>
      <c r="BY94" s="64"/>
      <c r="BZ94" s="64"/>
      <c r="CA94" s="64"/>
      <c r="CB94" s="64"/>
      <c r="CC94" s="64"/>
      <c r="CD94" s="64"/>
      <c r="CE94" s="64"/>
      <c r="CF94" s="64"/>
      <c r="CG94" s="64"/>
      <c r="CH94" s="64"/>
      <c r="CI94" s="64"/>
      <c r="CJ94" s="64"/>
      <c r="CK94" s="64"/>
      <c r="CL94" s="64"/>
      <c r="CM94" s="64"/>
      <c r="CN94" s="64"/>
      <c r="CO94" s="64"/>
      <c r="CP94" s="64"/>
      <c r="CQ94" s="64"/>
      <c r="CR94" s="64"/>
      <c r="CS94" s="64"/>
      <c r="CT94" s="64"/>
      <c r="CU94" s="64"/>
      <c r="CV94" s="64"/>
      <c r="CW94" s="64"/>
      <c r="CX94" s="64"/>
      <c r="CY94" s="64"/>
      <c r="CZ94" s="64"/>
      <c r="DA94" s="64"/>
      <c r="DB94" s="64"/>
      <c r="DC94" s="64"/>
      <c r="DD94" s="64"/>
      <c r="DE94" s="64"/>
      <c r="DF94" s="64"/>
      <c r="DG94" s="64"/>
      <c r="DH94" s="64"/>
      <c r="DI94" s="64"/>
      <c r="DJ94" s="64"/>
      <c r="DK94" s="64"/>
      <c r="DL94" s="64"/>
      <c r="DM94" s="64"/>
      <c r="DN94" s="64"/>
      <c r="DO94" s="64"/>
      <c r="DP94" s="64"/>
      <c r="DQ94" s="64"/>
      <c r="DR94" s="64"/>
      <c r="DS94" s="64"/>
      <c r="DT94" s="64"/>
      <c r="DU94" s="64"/>
      <c r="DV94" s="64"/>
      <c r="DW94" s="64"/>
      <c r="DX94" s="64"/>
      <c r="DY94" s="64"/>
      <c r="DZ94" s="64"/>
      <c r="EA94" s="64"/>
      <c r="EB94" s="64"/>
      <c r="EC94" s="64"/>
      <c r="ED94" s="64"/>
    </row>
    <row r="95" spans="1:134" ht="15.75" customHeight="1">
      <c r="A95" s="65" t="s">
        <v>75</v>
      </c>
      <c r="B95" s="65" t="s">
        <v>390</v>
      </c>
      <c r="C95" s="65" t="s">
        <v>544</v>
      </c>
      <c r="D95" s="65" t="str">
        <f t="shared" si="0"/>
        <v>RB</v>
      </c>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64"/>
      <c r="BX95" s="64"/>
      <c r="BY95" s="64"/>
      <c r="BZ95" s="64"/>
      <c r="CA95" s="64"/>
      <c r="CB95" s="64"/>
      <c r="CC95" s="64"/>
      <c r="CD95" s="64"/>
      <c r="CE95" s="64"/>
      <c r="CF95" s="64"/>
      <c r="CG95" s="64"/>
      <c r="CH95" s="64"/>
      <c r="CI95" s="64"/>
      <c r="CJ95" s="64"/>
      <c r="CK95" s="64"/>
      <c r="CL95" s="64"/>
      <c r="CM95" s="64"/>
      <c r="CN95" s="64"/>
      <c r="CO95" s="64"/>
      <c r="CP95" s="64"/>
      <c r="CQ95" s="64"/>
      <c r="CR95" s="64"/>
      <c r="CS95" s="64"/>
      <c r="CT95" s="64"/>
      <c r="CU95" s="64"/>
      <c r="CV95" s="64"/>
      <c r="CW95" s="64"/>
      <c r="CX95" s="64"/>
      <c r="CY95" s="64"/>
      <c r="CZ95" s="64"/>
      <c r="DA95" s="64"/>
      <c r="DB95" s="64"/>
      <c r="DC95" s="64"/>
      <c r="DD95" s="64"/>
      <c r="DE95" s="64"/>
      <c r="DF95" s="64"/>
      <c r="DG95" s="64"/>
      <c r="DH95" s="64"/>
      <c r="DI95" s="64"/>
      <c r="DJ95" s="64"/>
      <c r="DK95" s="64"/>
      <c r="DL95" s="64"/>
      <c r="DM95" s="64"/>
      <c r="DN95" s="64"/>
      <c r="DO95" s="64"/>
      <c r="DP95" s="64"/>
      <c r="DQ95" s="64"/>
      <c r="DR95" s="64"/>
      <c r="DS95" s="64"/>
      <c r="DT95" s="64"/>
      <c r="DU95" s="64"/>
      <c r="DV95" s="64"/>
      <c r="DW95" s="64"/>
      <c r="DX95" s="64"/>
      <c r="DY95" s="64"/>
      <c r="DZ95" s="64"/>
      <c r="EA95" s="64"/>
      <c r="EB95" s="64"/>
      <c r="EC95" s="64"/>
      <c r="ED95" s="64"/>
    </row>
    <row r="96" spans="1:134" ht="15.75" customHeight="1">
      <c r="A96" s="65" t="s">
        <v>545</v>
      </c>
      <c r="B96" s="65" t="s">
        <v>387</v>
      </c>
      <c r="C96" s="65" t="s">
        <v>546</v>
      </c>
      <c r="D96" s="65" t="str">
        <f t="shared" si="0"/>
        <v>RB</v>
      </c>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64"/>
      <c r="BX96" s="64"/>
      <c r="BY96" s="64"/>
      <c r="BZ96" s="64"/>
      <c r="CA96" s="64"/>
      <c r="CB96" s="64"/>
      <c r="CC96" s="64"/>
      <c r="CD96" s="64"/>
      <c r="CE96" s="64"/>
      <c r="CF96" s="64"/>
      <c r="CG96" s="64"/>
      <c r="CH96" s="64"/>
      <c r="CI96" s="64"/>
      <c r="CJ96" s="64"/>
      <c r="CK96" s="64"/>
      <c r="CL96" s="64"/>
      <c r="CM96" s="64"/>
      <c r="CN96" s="64"/>
      <c r="CO96" s="64"/>
      <c r="CP96" s="64"/>
      <c r="CQ96" s="64"/>
      <c r="CR96" s="64"/>
      <c r="CS96" s="64"/>
      <c r="CT96" s="64"/>
      <c r="CU96" s="64"/>
      <c r="CV96" s="64"/>
      <c r="CW96" s="64"/>
      <c r="CX96" s="64"/>
      <c r="CY96" s="64"/>
      <c r="CZ96" s="64"/>
      <c r="DA96" s="64"/>
      <c r="DB96" s="64"/>
      <c r="DC96" s="64"/>
      <c r="DD96" s="64"/>
      <c r="DE96" s="64"/>
      <c r="DF96" s="64"/>
      <c r="DG96" s="64"/>
      <c r="DH96" s="64"/>
      <c r="DI96" s="64"/>
      <c r="DJ96" s="64"/>
      <c r="DK96" s="64"/>
      <c r="DL96" s="64"/>
      <c r="DM96" s="64"/>
      <c r="DN96" s="64"/>
      <c r="DO96" s="64"/>
      <c r="DP96" s="64"/>
      <c r="DQ96" s="64"/>
      <c r="DR96" s="64"/>
      <c r="DS96" s="64"/>
      <c r="DT96" s="64"/>
      <c r="DU96" s="64"/>
      <c r="DV96" s="64"/>
      <c r="DW96" s="64"/>
      <c r="DX96" s="64"/>
      <c r="DY96" s="64"/>
      <c r="DZ96" s="64"/>
      <c r="EA96" s="64"/>
      <c r="EB96" s="64"/>
      <c r="EC96" s="64"/>
      <c r="ED96" s="64"/>
    </row>
    <row r="97" spans="1:134" ht="15.75" customHeight="1">
      <c r="A97" s="65" t="s">
        <v>108</v>
      </c>
      <c r="B97" s="65" t="s">
        <v>393</v>
      </c>
      <c r="C97" s="65" t="s">
        <v>547</v>
      </c>
      <c r="D97" s="65" t="str">
        <f t="shared" si="0"/>
        <v>QB</v>
      </c>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64"/>
      <c r="BX97" s="64"/>
      <c r="BY97" s="64"/>
      <c r="BZ97" s="64"/>
      <c r="CA97" s="64"/>
      <c r="CB97" s="64"/>
      <c r="CC97" s="64"/>
      <c r="CD97" s="64"/>
      <c r="CE97" s="64"/>
      <c r="CF97" s="64"/>
      <c r="CG97" s="64"/>
      <c r="CH97" s="64"/>
      <c r="CI97" s="64"/>
      <c r="CJ97" s="64"/>
      <c r="CK97" s="64"/>
      <c r="CL97" s="64"/>
      <c r="CM97" s="64"/>
      <c r="CN97" s="64"/>
      <c r="CO97" s="64"/>
      <c r="CP97" s="64"/>
      <c r="CQ97" s="64"/>
      <c r="CR97" s="64"/>
      <c r="CS97" s="64"/>
      <c r="CT97" s="64"/>
      <c r="CU97" s="64"/>
      <c r="CV97" s="64"/>
      <c r="CW97" s="64"/>
      <c r="CX97" s="64"/>
      <c r="CY97" s="64"/>
      <c r="CZ97" s="64"/>
      <c r="DA97" s="64"/>
      <c r="DB97" s="64"/>
      <c r="DC97" s="64"/>
      <c r="DD97" s="64"/>
      <c r="DE97" s="64"/>
      <c r="DF97" s="64"/>
      <c r="DG97" s="64"/>
      <c r="DH97" s="64"/>
      <c r="DI97" s="64"/>
      <c r="DJ97" s="64"/>
      <c r="DK97" s="64"/>
      <c r="DL97" s="64"/>
      <c r="DM97" s="64"/>
      <c r="DN97" s="64"/>
      <c r="DO97" s="64"/>
      <c r="DP97" s="64"/>
      <c r="DQ97" s="64"/>
      <c r="DR97" s="64"/>
      <c r="DS97" s="64"/>
      <c r="DT97" s="64"/>
      <c r="DU97" s="64"/>
      <c r="DV97" s="64"/>
      <c r="DW97" s="64"/>
      <c r="DX97" s="64"/>
      <c r="DY97" s="64"/>
      <c r="DZ97" s="64"/>
      <c r="EA97" s="64"/>
      <c r="EB97" s="64"/>
      <c r="EC97" s="64"/>
      <c r="ED97" s="64"/>
    </row>
    <row r="98" spans="1:134" ht="15.75" customHeight="1">
      <c r="A98" s="65" t="s">
        <v>276</v>
      </c>
      <c r="B98" s="65" t="s">
        <v>393</v>
      </c>
      <c r="C98" s="65" t="s">
        <v>548</v>
      </c>
      <c r="D98" s="65" t="str">
        <f t="shared" si="0"/>
        <v>DEF</v>
      </c>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64"/>
      <c r="BX98" s="64"/>
      <c r="BY98" s="64"/>
      <c r="BZ98" s="64"/>
      <c r="CA98" s="64"/>
      <c r="CB98" s="64"/>
      <c r="CC98" s="64"/>
      <c r="CD98" s="64"/>
      <c r="CE98" s="64"/>
      <c r="CF98" s="64"/>
      <c r="CG98" s="64"/>
      <c r="CH98" s="64"/>
      <c r="CI98" s="64"/>
      <c r="CJ98" s="64"/>
      <c r="CK98" s="64"/>
      <c r="CL98" s="64"/>
      <c r="CM98" s="64"/>
      <c r="CN98" s="64"/>
      <c r="CO98" s="64"/>
      <c r="CP98" s="64"/>
      <c r="CQ98" s="64"/>
      <c r="CR98" s="64"/>
      <c r="CS98" s="64"/>
      <c r="CT98" s="64"/>
      <c r="CU98" s="64"/>
      <c r="CV98" s="64"/>
      <c r="CW98" s="64"/>
      <c r="CX98" s="64"/>
      <c r="CY98" s="64"/>
      <c r="CZ98" s="64"/>
      <c r="DA98" s="64"/>
      <c r="DB98" s="64"/>
      <c r="DC98" s="64"/>
      <c r="DD98" s="64"/>
      <c r="DE98" s="64"/>
      <c r="DF98" s="64"/>
      <c r="DG98" s="64"/>
      <c r="DH98" s="64"/>
      <c r="DI98" s="64"/>
      <c r="DJ98" s="64"/>
      <c r="DK98" s="64"/>
      <c r="DL98" s="64"/>
      <c r="DM98" s="64"/>
      <c r="DN98" s="64"/>
      <c r="DO98" s="64"/>
      <c r="DP98" s="64"/>
      <c r="DQ98" s="64"/>
      <c r="DR98" s="64"/>
      <c r="DS98" s="64"/>
      <c r="DT98" s="64"/>
      <c r="DU98" s="64"/>
      <c r="DV98" s="64"/>
      <c r="DW98" s="64"/>
      <c r="DX98" s="64"/>
      <c r="DY98" s="64"/>
      <c r="DZ98" s="64"/>
      <c r="EA98" s="64"/>
      <c r="EB98" s="64"/>
      <c r="EC98" s="64"/>
      <c r="ED98" s="64"/>
    </row>
    <row r="99" spans="1:134" ht="15.75" customHeight="1">
      <c r="A99" s="65" t="s">
        <v>135</v>
      </c>
      <c r="B99" s="65" t="s">
        <v>410</v>
      </c>
      <c r="C99" s="65" t="s">
        <v>549</v>
      </c>
      <c r="D99" s="65" t="str">
        <f t="shared" si="0"/>
        <v>TE</v>
      </c>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64"/>
      <c r="BX99" s="64"/>
      <c r="BY99" s="64"/>
      <c r="BZ99" s="64"/>
      <c r="CA99" s="64"/>
      <c r="CB99" s="64"/>
      <c r="CC99" s="64"/>
      <c r="CD99" s="64"/>
      <c r="CE99" s="64"/>
      <c r="CF99" s="64"/>
      <c r="CG99" s="64"/>
      <c r="CH99" s="64"/>
      <c r="CI99" s="64"/>
      <c r="CJ99" s="64"/>
      <c r="CK99" s="64"/>
      <c r="CL99" s="64"/>
      <c r="CM99" s="64"/>
      <c r="CN99" s="64"/>
      <c r="CO99" s="64"/>
      <c r="CP99" s="64"/>
      <c r="CQ99" s="64"/>
      <c r="CR99" s="64"/>
      <c r="CS99" s="64"/>
      <c r="CT99" s="64"/>
      <c r="CU99" s="64"/>
      <c r="CV99" s="64"/>
      <c r="CW99" s="64"/>
      <c r="CX99" s="64"/>
      <c r="CY99" s="64"/>
      <c r="CZ99" s="64"/>
      <c r="DA99" s="64"/>
      <c r="DB99" s="64"/>
      <c r="DC99" s="64"/>
      <c r="DD99" s="64"/>
      <c r="DE99" s="64"/>
      <c r="DF99" s="64"/>
      <c r="DG99" s="64"/>
      <c r="DH99" s="64"/>
      <c r="DI99" s="64"/>
      <c r="DJ99" s="64"/>
      <c r="DK99" s="64"/>
      <c r="DL99" s="64"/>
      <c r="DM99" s="64"/>
      <c r="DN99" s="64"/>
      <c r="DO99" s="64"/>
      <c r="DP99" s="64"/>
      <c r="DQ99" s="64"/>
      <c r="DR99" s="64"/>
      <c r="DS99" s="64"/>
      <c r="DT99" s="64"/>
      <c r="DU99" s="64"/>
      <c r="DV99" s="64"/>
      <c r="DW99" s="64"/>
      <c r="DX99" s="64"/>
      <c r="DY99" s="64"/>
      <c r="DZ99" s="64"/>
      <c r="EA99" s="64"/>
      <c r="EB99" s="64"/>
      <c r="EC99" s="64"/>
      <c r="ED99" s="64"/>
    </row>
    <row r="100" spans="1:134" ht="15.75" customHeight="1">
      <c r="A100" s="65" t="s">
        <v>136</v>
      </c>
      <c r="B100" s="65" t="s">
        <v>388</v>
      </c>
      <c r="C100" s="65" t="s">
        <v>550</v>
      </c>
      <c r="D100" s="65" t="str">
        <f t="shared" si="0"/>
        <v>TE</v>
      </c>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64"/>
      <c r="BX100" s="64"/>
      <c r="BY100" s="64"/>
      <c r="BZ100" s="64"/>
      <c r="CA100" s="64"/>
      <c r="CB100" s="64"/>
      <c r="CC100" s="64"/>
      <c r="CD100" s="64"/>
      <c r="CE100" s="64"/>
      <c r="CF100" s="64"/>
      <c r="CG100" s="64"/>
      <c r="CH100" s="64"/>
      <c r="CI100" s="64"/>
      <c r="CJ100" s="64"/>
      <c r="CK100" s="64"/>
      <c r="CL100" s="64"/>
      <c r="CM100" s="64"/>
      <c r="CN100" s="64"/>
      <c r="CO100" s="64"/>
      <c r="CP100" s="64"/>
      <c r="CQ100" s="64"/>
      <c r="CR100" s="64"/>
      <c r="CS100" s="64"/>
      <c r="CT100" s="64"/>
      <c r="CU100" s="64"/>
      <c r="CV100" s="64"/>
      <c r="CW100" s="64"/>
      <c r="CX100" s="64"/>
      <c r="CY100" s="64"/>
      <c r="CZ100" s="64"/>
      <c r="DA100" s="64"/>
      <c r="DB100" s="64"/>
      <c r="DC100" s="64"/>
      <c r="DD100" s="64"/>
      <c r="DE100" s="64"/>
      <c r="DF100" s="64"/>
      <c r="DG100" s="64"/>
      <c r="DH100" s="64"/>
      <c r="DI100" s="64"/>
      <c r="DJ100" s="64"/>
      <c r="DK100" s="64"/>
      <c r="DL100" s="64"/>
      <c r="DM100" s="64"/>
      <c r="DN100" s="64"/>
      <c r="DO100" s="64"/>
      <c r="DP100" s="64"/>
      <c r="DQ100" s="64"/>
      <c r="DR100" s="64"/>
      <c r="DS100" s="64"/>
      <c r="DT100" s="64"/>
      <c r="DU100" s="64"/>
      <c r="DV100" s="64"/>
      <c r="DW100" s="64"/>
      <c r="DX100" s="64"/>
      <c r="DY100" s="64"/>
      <c r="DZ100" s="64"/>
      <c r="EA100" s="64"/>
      <c r="EB100" s="64"/>
      <c r="EC100" s="64"/>
      <c r="ED100" s="64"/>
    </row>
    <row r="101" spans="1:134" ht="15.75" customHeight="1">
      <c r="A101" s="65" t="s">
        <v>252</v>
      </c>
      <c r="B101" s="65" t="s">
        <v>397</v>
      </c>
      <c r="C101" s="65" t="s">
        <v>551</v>
      </c>
      <c r="D101" s="65" t="str">
        <f t="shared" si="0"/>
        <v>TE</v>
      </c>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64"/>
      <c r="BX101" s="64"/>
      <c r="BY101" s="64"/>
      <c r="BZ101" s="64"/>
      <c r="CA101" s="64"/>
      <c r="CB101" s="64"/>
      <c r="CC101" s="64"/>
      <c r="CD101" s="64"/>
      <c r="CE101" s="64"/>
      <c r="CF101" s="64"/>
      <c r="CG101" s="64"/>
      <c r="CH101" s="64"/>
      <c r="CI101" s="64"/>
      <c r="CJ101" s="64"/>
      <c r="CK101" s="64"/>
      <c r="CL101" s="64"/>
      <c r="CM101" s="64"/>
      <c r="CN101" s="64"/>
      <c r="CO101" s="64"/>
      <c r="CP101" s="64"/>
      <c r="CQ101" s="64"/>
      <c r="CR101" s="64"/>
      <c r="CS101" s="64"/>
      <c r="CT101" s="64"/>
      <c r="CU101" s="64"/>
      <c r="CV101" s="64"/>
      <c r="CW101" s="64"/>
      <c r="CX101" s="64"/>
      <c r="CY101" s="64"/>
      <c r="CZ101" s="64"/>
      <c r="DA101" s="64"/>
      <c r="DB101" s="64"/>
      <c r="DC101" s="64"/>
      <c r="DD101" s="64"/>
      <c r="DE101" s="64"/>
      <c r="DF101" s="64"/>
      <c r="DG101" s="64"/>
      <c r="DH101" s="64"/>
      <c r="DI101" s="64"/>
      <c r="DJ101" s="64"/>
      <c r="DK101" s="64"/>
      <c r="DL101" s="64"/>
      <c r="DM101" s="64"/>
      <c r="DN101" s="64"/>
      <c r="DO101" s="64"/>
      <c r="DP101" s="64"/>
      <c r="DQ101" s="64"/>
      <c r="DR101" s="64"/>
      <c r="DS101" s="64"/>
      <c r="DT101" s="64"/>
      <c r="DU101" s="64"/>
      <c r="DV101" s="64"/>
      <c r="DW101" s="64"/>
      <c r="DX101" s="64"/>
      <c r="DY101" s="64"/>
      <c r="DZ101" s="64"/>
      <c r="EA101" s="64"/>
      <c r="EB101" s="64"/>
      <c r="EC101" s="64"/>
      <c r="ED101" s="64"/>
    </row>
    <row r="102" spans="1:134" ht="15.75" customHeight="1">
      <c r="A102" s="65" t="s">
        <v>302</v>
      </c>
      <c r="B102" s="65" t="s">
        <v>397</v>
      </c>
      <c r="C102" s="65" t="s">
        <v>552</v>
      </c>
      <c r="D102" s="65" t="str">
        <f t="shared" si="0"/>
        <v>RB</v>
      </c>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64"/>
      <c r="BX102" s="64"/>
      <c r="BY102" s="64"/>
      <c r="BZ102" s="64"/>
      <c r="CA102" s="64"/>
      <c r="CB102" s="64"/>
      <c r="CC102" s="64"/>
      <c r="CD102" s="64"/>
      <c r="CE102" s="64"/>
      <c r="CF102" s="64"/>
      <c r="CG102" s="64"/>
      <c r="CH102" s="64"/>
      <c r="CI102" s="64"/>
      <c r="CJ102" s="64"/>
      <c r="CK102" s="64"/>
      <c r="CL102" s="64"/>
      <c r="CM102" s="64"/>
      <c r="CN102" s="64"/>
      <c r="CO102" s="64"/>
      <c r="CP102" s="64"/>
      <c r="CQ102" s="64"/>
      <c r="CR102" s="64"/>
      <c r="CS102" s="64"/>
      <c r="CT102" s="64"/>
      <c r="CU102" s="64"/>
      <c r="CV102" s="64"/>
      <c r="CW102" s="64"/>
      <c r="CX102" s="64"/>
      <c r="CY102" s="64"/>
      <c r="CZ102" s="64"/>
      <c r="DA102" s="64"/>
      <c r="DB102" s="64"/>
      <c r="DC102" s="64"/>
      <c r="DD102" s="64"/>
      <c r="DE102" s="64"/>
      <c r="DF102" s="64"/>
      <c r="DG102" s="64"/>
      <c r="DH102" s="64"/>
      <c r="DI102" s="64"/>
      <c r="DJ102" s="64"/>
      <c r="DK102" s="64"/>
      <c r="DL102" s="64"/>
      <c r="DM102" s="64"/>
      <c r="DN102" s="64"/>
      <c r="DO102" s="64"/>
      <c r="DP102" s="64"/>
      <c r="DQ102" s="64"/>
      <c r="DR102" s="64"/>
      <c r="DS102" s="64"/>
      <c r="DT102" s="64"/>
      <c r="DU102" s="64"/>
      <c r="DV102" s="64"/>
      <c r="DW102" s="64"/>
      <c r="DX102" s="64"/>
      <c r="DY102" s="64"/>
      <c r="DZ102" s="64"/>
      <c r="EA102" s="64"/>
      <c r="EB102" s="64"/>
      <c r="EC102" s="64"/>
      <c r="ED102" s="64"/>
    </row>
    <row r="103" spans="1:134" ht="15.75" customHeight="1">
      <c r="A103" s="65" t="s">
        <v>553</v>
      </c>
      <c r="B103" s="65" t="s">
        <v>412</v>
      </c>
      <c r="C103" s="65" t="s">
        <v>554</v>
      </c>
      <c r="D103" s="65" t="str">
        <f t="shared" si="0"/>
        <v>RB</v>
      </c>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64"/>
      <c r="BX103" s="64"/>
      <c r="BY103" s="64"/>
      <c r="BZ103" s="64"/>
      <c r="CA103" s="64"/>
      <c r="CB103" s="64"/>
      <c r="CC103" s="64"/>
      <c r="CD103" s="64"/>
      <c r="CE103" s="64"/>
      <c r="CF103" s="64"/>
      <c r="CG103" s="64"/>
      <c r="CH103" s="64"/>
      <c r="CI103" s="64"/>
      <c r="CJ103" s="64"/>
      <c r="CK103" s="64"/>
      <c r="CL103" s="64"/>
      <c r="CM103" s="64"/>
      <c r="CN103" s="64"/>
      <c r="CO103" s="64"/>
      <c r="CP103" s="64"/>
      <c r="CQ103" s="64"/>
      <c r="CR103" s="64"/>
      <c r="CS103" s="64"/>
      <c r="CT103" s="64"/>
      <c r="CU103" s="64"/>
      <c r="CV103" s="64"/>
      <c r="CW103" s="64"/>
      <c r="CX103" s="64"/>
      <c r="CY103" s="64"/>
      <c r="CZ103" s="64"/>
      <c r="DA103" s="64"/>
      <c r="DB103" s="64"/>
      <c r="DC103" s="64"/>
      <c r="DD103" s="64"/>
      <c r="DE103" s="64"/>
      <c r="DF103" s="64"/>
      <c r="DG103" s="64"/>
      <c r="DH103" s="64"/>
      <c r="DI103" s="64"/>
      <c r="DJ103" s="64"/>
      <c r="DK103" s="64"/>
      <c r="DL103" s="64"/>
      <c r="DM103" s="64"/>
      <c r="DN103" s="64"/>
      <c r="DO103" s="64"/>
      <c r="DP103" s="64"/>
      <c r="DQ103" s="64"/>
      <c r="DR103" s="64"/>
      <c r="DS103" s="64"/>
      <c r="DT103" s="64"/>
      <c r="DU103" s="64"/>
      <c r="DV103" s="64"/>
      <c r="DW103" s="64"/>
      <c r="DX103" s="64"/>
      <c r="DY103" s="64"/>
      <c r="DZ103" s="64"/>
      <c r="EA103" s="64"/>
      <c r="EB103" s="64"/>
      <c r="EC103" s="64"/>
      <c r="ED103" s="64"/>
    </row>
    <row r="104" spans="1:134" ht="15.75" customHeight="1">
      <c r="A104" s="65" t="s">
        <v>555</v>
      </c>
      <c r="B104" s="65" t="s">
        <v>408</v>
      </c>
      <c r="C104" s="65" t="s">
        <v>556</v>
      </c>
      <c r="D104" s="65" t="str">
        <f t="shared" si="0"/>
        <v>TE</v>
      </c>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64"/>
      <c r="BX104" s="64"/>
      <c r="BY104" s="64"/>
      <c r="BZ104" s="64"/>
      <c r="CA104" s="64"/>
      <c r="CB104" s="64"/>
      <c r="CC104" s="64"/>
      <c r="CD104" s="64"/>
      <c r="CE104" s="64"/>
      <c r="CF104" s="64"/>
      <c r="CG104" s="64"/>
      <c r="CH104" s="64"/>
      <c r="CI104" s="64"/>
      <c r="CJ104" s="64"/>
      <c r="CK104" s="64"/>
      <c r="CL104" s="64"/>
      <c r="CM104" s="64"/>
      <c r="CN104" s="64"/>
      <c r="CO104" s="64"/>
      <c r="CP104" s="64"/>
      <c r="CQ104" s="64"/>
      <c r="CR104" s="64"/>
      <c r="CS104" s="64"/>
      <c r="CT104" s="64"/>
      <c r="CU104" s="64"/>
      <c r="CV104" s="64"/>
      <c r="CW104" s="64"/>
      <c r="CX104" s="64"/>
      <c r="CY104" s="64"/>
      <c r="CZ104" s="64"/>
      <c r="DA104" s="64"/>
      <c r="DB104" s="64"/>
      <c r="DC104" s="64"/>
      <c r="DD104" s="64"/>
      <c r="DE104" s="64"/>
      <c r="DF104" s="64"/>
      <c r="DG104" s="64"/>
      <c r="DH104" s="64"/>
      <c r="DI104" s="64"/>
      <c r="DJ104" s="64"/>
      <c r="DK104" s="64"/>
      <c r="DL104" s="64"/>
      <c r="DM104" s="64"/>
      <c r="DN104" s="64"/>
      <c r="DO104" s="64"/>
      <c r="DP104" s="64"/>
      <c r="DQ104" s="64"/>
      <c r="DR104" s="64"/>
      <c r="DS104" s="64"/>
      <c r="DT104" s="64"/>
      <c r="DU104" s="64"/>
      <c r="DV104" s="64"/>
      <c r="DW104" s="64"/>
      <c r="DX104" s="64"/>
      <c r="DY104" s="64"/>
      <c r="DZ104" s="64"/>
      <c r="EA104" s="64"/>
      <c r="EB104" s="64"/>
      <c r="EC104" s="64"/>
      <c r="ED104" s="64"/>
    </row>
    <row r="105" spans="1:134" ht="15.75" customHeight="1">
      <c r="A105" s="65" t="s">
        <v>322</v>
      </c>
      <c r="B105" s="65" t="s">
        <v>403</v>
      </c>
      <c r="C105" s="65" t="s">
        <v>557</v>
      </c>
      <c r="D105" s="65" t="str">
        <f t="shared" si="0"/>
        <v>K</v>
      </c>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64"/>
      <c r="BX105" s="64"/>
      <c r="BY105" s="64"/>
      <c r="BZ105" s="64"/>
      <c r="CA105" s="64"/>
      <c r="CB105" s="64"/>
      <c r="CC105" s="64"/>
      <c r="CD105" s="64"/>
      <c r="CE105" s="64"/>
      <c r="CF105" s="64"/>
      <c r="CG105" s="64"/>
      <c r="CH105" s="64"/>
      <c r="CI105" s="64"/>
      <c r="CJ105" s="64"/>
      <c r="CK105" s="64"/>
      <c r="CL105" s="64"/>
      <c r="CM105" s="64"/>
      <c r="CN105" s="64"/>
      <c r="CO105" s="64"/>
      <c r="CP105" s="64"/>
      <c r="CQ105" s="64"/>
      <c r="CR105" s="64"/>
      <c r="CS105" s="64"/>
      <c r="CT105" s="64"/>
      <c r="CU105" s="64"/>
      <c r="CV105" s="64"/>
      <c r="CW105" s="64"/>
      <c r="CX105" s="64"/>
      <c r="CY105" s="64"/>
      <c r="CZ105" s="64"/>
      <c r="DA105" s="64"/>
      <c r="DB105" s="64"/>
      <c r="DC105" s="64"/>
      <c r="DD105" s="64"/>
      <c r="DE105" s="64"/>
      <c r="DF105" s="64"/>
      <c r="DG105" s="64"/>
      <c r="DH105" s="64"/>
      <c r="DI105" s="64"/>
      <c r="DJ105" s="64"/>
      <c r="DK105" s="64"/>
      <c r="DL105" s="64"/>
      <c r="DM105" s="64"/>
      <c r="DN105" s="64"/>
      <c r="DO105" s="64"/>
      <c r="DP105" s="64"/>
      <c r="DQ105" s="64"/>
      <c r="DR105" s="64"/>
      <c r="DS105" s="64"/>
      <c r="DT105" s="64"/>
      <c r="DU105" s="64"/>
      <c r="DV105" s="64"/>
      <c r="DW105" s="64"/>
      <c r="DX105" s="64"/>
      <c r="DY105" s="64"/>
      <c r="DZ105" s="64"/>
      <c r="EA105" s="64"/>
      <c r="EB105" s="64"/>
      <c r="EC105" s="64"/>
      <c r="ED105" s="64"/>
    </row>
    <row r="106" spans="1:134" ht="15.75" customHeight="1">
      <c r="A106" s="65" t="s">
        <v>217</v>
      </c>
      <c r="B106" s="65" t="s">
        <v>398</v>
      </c>
      <c r="C106" s="65" t="s">
        <v>558</v>
      </c>
      <c r="D106" s="65" t="str">
        <f t="shared" si="0"/>
        <v>QB</v>
      </c>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64"/>
      <c r="BX106" s="64"/>
      <c r="BY106" s="64"/>
      <c r="BZ106" s="64"/>
      <c r="CA106" s="64"/>
      <c r="CB106" s="64"/>
      <c r="CC106" s="64"/>
      <c r="CD106" s="64"/>
      <c r="CE106" s="64"/>
      <c r="CF106" s="64"/>
      <c r="CG106" s="64"/>
      <c r="CH106" s="64"/>
      <c r="CI106" s="64"/>
      <c r="CJ106" s="64"/>
      <c r="CK106" s="64"/>
      <c r="CL106" s="64"/>
      <c r="CM106" s="64"/>
      <c r="CN106" s="64"/>
      <c r="CO106" s="64"/>
      <c r="CP106" s="64"/>
      <c r="CQ106" s="64"/>
      <c r="CR106" s="64"/>
      <c r="CS106" s="64"/>
      <c r="CT106" s="64"/>
      <c r="CU106" s="64"/>
      <c r="CV106" s="64"/>
      <c r="CW106" s="64"/>
      <c r="CX106" s="64"/>
      <c r="CY106" s="64"/>
      <c r="CZ106" s="64"/>
      <c r="DA106" s="64"/>
      <c r="DB106" s="64"/>
      <c r="DC106" s="64"/>
      <c r="DD106" s="64"/>
      <c r="DE106" s="64"/>
      <c r="DF106" s="64"/>
      <c r="DG106" s="64"/>
      <c r="DH106" s="64"/>
      <c r="DI106" s="64"/>
      <c r="DJ106" s="64"/>
      <c r="DK106" s="64"/>
      <c r="DL106" s="64"/>
      <c r="DM106" s="64"/>
      <c r="DN106" s="64"/>
      <c r="DO106" s="64"/>
      <c r="DP106" s="64"/>
      <c r="DQ106" s="64"/>
      <c r="DR106" s="64"/>
      <c r="DS106" s="64"/>
      <c r="DT106" s="64"/>
      <c r="DU106" s="64"/>
      <c r="DV106" s="64"/>
      <c r="DW106" s="64"/>
      <c r="DX106" s="64"/>
      <c r="DY106" s="64"/>
      <c r="DZ106" s="64"/>
      <c r="EA106" s="64"/>
      <c r="EB106" s="64"/>
      <c r="EC106" s="64"/>
      <c r="ED106" s="64"/>
    </row>
    <row r="107" spans="1:134" ht="15.75" customHeight="1">
      <c r="A107" s="65" t="s">
        <v>278</v>
      </c>
      <c r="B107" s="65" t="s">
        <v>408</v>
      </c>
      <c r="C107" s="65" t="s">
        <v>559</v>
      </c>
      <c r="D107" s="65" t="str">
        <f t="shared" si="0"/>
        <v>WR</v>
      </c>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64"/>
      <c r="BX107" s="64"/>
      <c r="BY107" s="64"/>
      <c r="BZ107" s="64"/>
      <c r="CA107" s="64"/>
      <c r="CB107" s="64"/>
      <c r="CC107" s="64"/>
      <c r="CD107" s="64"/>
      <c r="CE107" s="64"/>
      <c r="CF107" s="64"/>
      <c r="CG107" s="64"/>
      <c r="CH107" s="64"/>
      <c r="CI107" s="64"/>
      <c r="CJ107" s="64"/>
      <c r="CK107" s="64"/>
      <c r="CL107" s="64"/>
      <c r="CM107" s="64"/>
      <c r="CN107" s="64"/>
      <c r="CO107" s="64"/>
      <c r="CP107" s="64"/>
      <c r="CQ107" s="64"/>
      <c r="CR107" s="64"/>
      <c r="CS107" s="64"/>
      <c r="CT107" s="64"/>
      <c r="CU107" s="64"/>
      <c r="CV107" s="64"/>
      <c r="CW107" s="64"/>
      <c r="CX107" s="64"/>
      <c r="CY107" s="64"/>
      <c r="CZ107" s="64"/>
      <c r="DA107" s="64"/>
      <c r="DB107" s="64"/>
      <c r="DC107" s="64"/>
      <c r="DD107" s="64"/>
      <c r="DE107" s="64"/>
      <c r="DF107" s="64"/>
      <c r="DG107" s="64"/>
      <c r="DH107" s="64"/>
      <c r="DI107" s="64"/>
      <c r="DJ107" s="64"/>
      <c r="DK107" s="64"/>
      <c r="DL107" s="64"/>
      <c r="DM107" s="64"/>
      <c r="DN107" s="64"/>
      <c r="DO107" s="64"/>
      <c r="DP107" s="64"/>
      <c r="DQ107" s="64"/>
      <c r="DR107" s="64"/>
      <c r="DS107" s="64"/>
      <c r="DT107" s="64"/>
      <c r="DU107" s="64"/>
      <c r="DV107" s="64"/>
      <c r="DW107" s="64"/>
      <c r="DX107" s="64"/>
      <c r="DY107" s="64"/>
      <c r="DZ107" s="64"/>
      <c r="EA107" s="64"/>
      <c r="EB107" s="64"/>
      <c r="EC107" s="64"/>
      <c r="ED107" s="64"/>
    </row>
    <row r="108" spans="1:134" ht="15.75" customHeight="1">
      <c r="A108" s="65" t="s">
        <v>187</v>
      </c>
      <c r="B108" s="65" t="s">
        <v>386</v>
      </c>
      <c r="C108" s="65" t="s">
        <v>560</v>
      </c>
      <c r="D108" s="65" t="str">
        <f t="shared" si="0"/>
        <v>WR</v>
      </c>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64"/>
      <c r="BX108" s="64"/>
      <c r="BY108" s="64"/>
      <c r="BZ108" s="64"/>
      <c r="CA108" s="64"/>
      <c r="CB108" s="64"/>
      <c r="CC108" s="64"/>
      <c r="CD108" s="64"/>
      <c r="CE108" s="64"/>
      <c r="CF108" s="64"/>
      <c r="CG108" s="64"/>
      <c r="CH108" s="64"/>
      <c r="CI108" s="64"/>
      <c r="CJ108" s="64"/>
      <c r="CK108" s="64"/>
      <c r="CL108" s="64"/>
      <c r="CM108" s="64"/>
      <c r="CN108" s="64"/>
      <c r="CO108" s="64"/>
      <c r="CP108" s="64"/>
      <c r="CQ108" s="64"/>
      <c r="CR108" s="64"/>
      <c r="CS108" s="64"/>
      <c r="CT108" s="64"/>
      <c r="CU108" s="64"/>
      <c r="CV108" s="64"/>
      <c r="CW108" s="64"/>
      <c r="CX108" s="64"/>
      <c r="CY108" s="64"/>
      <c r="CZ108" s="64"/>
      <c r="DA108" s="64"/>
      <c r="DB108" s="64"/>
      <c r="DC108" s="64"/>
      <c r="DD108" s="64"/>
      <c r="DE108" s="64"/>
      <c r="DF108" s="64"/>
      <c r="DG108" s="64"/>
      <c r="DH108" s="64"/>
      <c r="DI108" s="64"/>
      <c r="DJ108" s="64"/>
      <c r="DK108" s="64"/>
      <c r="DL108" s="64"/>
      <c r="DM108" s="64"/>
      <c r="DN108" s="64"/>
      <c r="DO108" s="64"/>
      <c r="DP108" s="64"/>
      <c r="DQ108" s="64"/>
      <c r="DR108" s="64"/>
      <c r="DS108" s="64"/>
      <c r="DT108" s="64"/>
      <c r="DU108" s="64"/>
      <c r="DV108" s="64"/>
      <c r="DW108" s="64"/>
      <c r="DX108" s="64"/>
      <c r="DY108" s="64"/>
      <c r="DZ108" s="64"/>
      <c r="EA108" s="64"/>
      <c r="EB108" s="64"/>
      <c r="EC108" s="64"/>
      <c r="ED108" s="64"/>
    </row>
    <row r="109" spans="1:134" ht="15.75" customHeight="1">
      <c r="A109" s="65" t="s">
        <v>561</v>
      </c>
      <c r="B109" s="65" t="s">
        <v>411</v>
      </c>
      <c r="C109" s="65" t="s">
        <v>562</v>
      </c>
      <c r="D109" s="65" t="str">
        <f t="shared" si="0"/>
        <v>TE</v>
      </c>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64"/>
      <c r="BX109" s="64"/>
      <c r="BY109" s="64"/>
      <c r="BZ109" s="64"/>
      <c r="CA109" s="64"/>
      <c r="CB109" s="64"/>
      <c r="CC109" s="64"/>
      <c r="CD109" s="64"/>
      <c r="CE109" s="64"/>
      <c r="CF109" s="64"/>
      <c r="CG109" s="64"/>
      <c r="CH109" s="64"/>
      <c r="CI109" s="64"/>
      <c r="CJ109" s="64"/>
      <c r="CK109" s="64"/>
      <c r="CL109" s="64"/>
      <c r="CM109" s="64"/>
      <c r="CN109" s="64"/>
      <c r="CO109" s="64"/>
      <c r="CP109" s="64"/>
      <c r="CQ109" s="64"/>
      <c r="CR109" s="64"/>
      <c r="CS109" s="64"/>
      <c r="CT109" s="64"/>
      <c r="CU109" s="64"/>
      <c r="CV109" s="64"/>
      <c r="CW109" s="64"/>
      <c r="CX109" s="64"/>
      <c r="CY109" s="64"/>
      <c r="CZ109" s="64"/>
      <c r="DA109" s="64"/>
      <c r="DB109" s="64"/>
      <c r="DC109" s="64"/>
      <c r="DD109" s="64"/>
      <c r="DE109" s="64"/>
      <c r="DF109" s="64"/>
      <c r="DG109" s="64"/>
      <c r="DH109" s="64"/>
      <c r="DI109" s="64"/>
      <c r="DJ109" s="64"/>
      <c r="DK109" s="64"/>
      <c r="DL109" s="64"/>
      <c r="DM109" s="64"/>
      <c r="DN109" s="64"/>
      <c r="DO109" s="64"/>
      <c r="DP109" s="64"/>
      <c r="DQ109" s="64"/>
      <c r="DR109" s="64"/>
      <c r="DS109" s="64"/>
      <c r="DT109" s="64"/>
      <c r="DU109" s="64"/>
      <c r="DV109" s="64"/>
      <c r="DW109" s="64"/>
      <c r="DX109" s="64"/>
      <c r="DY109" s="64"/>
      <c r="DZ109" s="64"/>
      <c r="EA109" s="64"/>
      <c r="EB109" s="64"/>
      <c r="EC109" s="64"/>
      <c r="ED109" s="64"/>
    </row>
    <row r="110" spans="1:134" ht="15.75" customHeight="1">
      <c r="A110" s="65" t="s">
        <v>249</v>
      </c>
      <c r="B110" s="65" t="s">
        <v>404</v>
      </c>
      <c r="C110" s="65" t="s">
        <v>563</v>
      </c>
      <c r="D110" s="65" t="str">
        <f t="shared" si="0"/>
        <v>TE</v>
      </c>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64"/>
      <c r="BX110" s="64"/>
      <c r="BY110" s="64"/>
      <c r="BZ110" s="64"/>
      <c r="CA110" s="64"/>
      <c r="CB110" s="64"/>
      <c r="CC110" s="64"/>
      <c r="CD110" s="64"/>
      <c r="CE110" s="64"/>
      <c r="CF110" s="64"/>
      <c r="CG110" s="64"/>
      <c r="CH110" s="64"/>
      <c r="CI110" s="64"/>
      <c r="CJ110" s="64"/>
      <c r="CK110" s="64"/>
      <c r="CL110" s="64"/>
      <c r="CM110" s="64"/>
      <c r="CN110" s="64"/>
      <c r="CO110" s="64"/>
      <c r="CP110" s="64"/>
      <c r="CQ110" s="64"/>
      <c r="CR110" s="64"/>
      <c r="CS110" s="64"/>
      <c r="CT110" s="64"/>
      <c r="CU110" s="64"/>
      <c r="CV110" s="64"/>
      <c r="CW110" s="64"/>
      <c r="CX110" s="64"/>
      <c r="CY110" s="64"/>
      <c r="CZ110" s="64"/>
      <c r="DA110" s="64"/>
      <c r="DB110" s="64"/>
      <c r="DC110" s="64"/>
      <c r="DD110" s="64"/>
      <c r="DE110" s="64"/>
      <c r="DF110" s="64"/>
      <c r="DG110" s="64"/>
      <c r="DH110" s="64"/>
      <c r="DI110" s="64"/>
      <c r="DJ110" s="64"/>
      <c r="DK110" s="64"/>
      <c r="DL110" s="64"/>
      <c r="DM110" s="64"/>
      <c r="DN110" s="64"/>
      <c r="DO110" s="64"/>
      <c r="DP110" s="64"/>
      <c r="DQ110" s="64"/>
      <c r="DR110" s="64"/>
      <c r="DS110" s="64"/>
      <c r="DT110" s="64"/>
      <c r="DU110" s="64"/>
      <c r="DV110" s="64"/>
      <c r="DW110" s="64"/>
      <c r="DX110" s="64"/>
      <c r="DY110" s="64"/>
      <c r="DZ110" s="64"/>
      <c r="EA110" s="64"/>
      <c r="EB110" s="64"/>
      <c r="EC110" s="64"/>
      <c r="ED110" s="64"/>
    </row>
    <row r="111" spans="1:134" ht="15.75" customHeight="1">
      <c r="A111" s="65" t="s">
        <v>564</v>
      </c>
      <c r="B111" s="65" t="s">
        <v>388</v>
      </c>
      <c r="C111" s="65" t="s">
        <v>565</v>
      </c>
      <c r="D111" s="65" t="str">
        <f t="shared" si="0"/>
        <v>RB</v>
      </c>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64"/>
      <c r="BX111" s="64"/>
      <c r="BY111" s="64"/>
      <c r="BZ111" s="64"/>
      <c r="CA111" s="64"/>
      <c r="CB111" s="64"/>
      <c r="CC111" s="64"/>
      <c r="CD111" s="64"/>
      <c r="CE111" s="64"/>
      <c r="CF111" s="64"/>
      <c r="CG111" s="64"/>
      <c r="CH111" s="64"/>
      <c r="CI111" s="64"/>
      <c r="CJ111" s="64"/>
      <c r="CK111" s="64"/>
      <c r="CL111" s="64"/>
      <c r="CM111" s="64"/>
      <c r="CN111" s="64"/>
      <c r="CO111" s="64"/>
      <c r="CP111" s="64"/>
      <c r="CQ111" s="64"/>
      <c r="CR111" s="64"/>
      <c r="CS111" s="64"/>
      <c r="CT111" s="64"/>
      <c r="CU111" s="64"/>
      <c r="CV111" s="64"/>
      <c r="CW111" s="64"/>
      <c r="CX111" s="64"/>
      <c r="CY111" s="64"/>
      <c r="CZ111" s="64"/>
      <c r="DA111" s="64"/>
      <c r="DB111" s="64"/>
      <c r="DC111" s="64"/>
      <c r="DD111" s="64"/>
      <c r="DE111" s="64"/>
      <c r="DF111" s="64"/>
      <c r="DG111" s="64"/>
      <c r="DH111" s="64"/>
      <c r="DI111" s="64"/>
      <c r="DJ111" s="64"/>
      <c r="DK111" s="64"/>
      <c r="DL111" s="64"/>
      <c r="DM111" s="64"/>
      <c r="DN111" s="64"/>
      <c r="DO111" s="64"/>
      <c r="DP111" s="64"/>
      <c r="DQ111" s="64"/>
      <c r="DR111" s="64"/>
      <c r="DS111" s="64"/>
      <c r="DT111" s="64"/>
      <c r="DU111" s="64"/>
      <c r="DV111" s="64"/>
      <c r="DW111" s="64"/>
      <c r="DX111" s="64"/>
      <c r="DY111" s="64"/>
      <c r="DZ111" s="64"/>
      <c r="EA111" s="64"/>
      <c r="EB111" s="64"/>
      <c r="EC111" s="64"/>
      <c r="ED111" s="64"/>
    </row>
    <row r="112" spans="1:134" ht="15.75" customHeight="1">
      <c r="A112" s="65" t="s">
        <v>65</v>
      </c>
      <c r="B112" s="65" t="s">
        <v>402</v>
      </c>
      <c r="C112" s="65" t="s">
        <v>566</v>
      </c>
      <c r="D112" s="65" t="str">
        <f t="shared" si="0"/>
        <v>WR</v>
      </c>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64"/>
      <c r="BX112" s="64"/>
      <c r="BY112" s="64"/>
      <c r="BZ112" s="64"/>
      <c r="CA112" s="64"/>
      <c r="CB112" s="64"/>
      <c r="CC112" s="64"/>
      <c r="CD112" s="64"/>
      <c r="CE112" s="64"/>
      <c r="CF112" s="64"/>
      <c r="CG112" s="64"/>
      <c r="CH112" s="64"/>
      <c r="CI112" s="64"/>
      <c r="CJ112" s="64"/>
      <c r="CK112" s="64"/>
      <c r="CL112" s="64"/>
      <c r="CM112" s="64"/>
      <c r="CN112" s="64"/>
      <c r="CO112" s="64"/>
      <c r="CP112" s="64"/>
      <c r="CQ112" s="64"/>
      <c r="CR112" s="64"/>
      <c r="CS112" s="64"/>
      <c r="CT112" s="64"/>
      <c r="CU112" s="64"/>
      <c r="CV112" s="64"/>
      <c r="CW112" s="64"/>
      <c r="CX112" s="64"/>
      <c r="CY112" s="64"/>
      <c r="CZ112" s="64"/>
      <c r="DA112" s="64"/>
      <c r="DB112" s="64"/>
      <c r="DC112" s="64"/>
      <c r="DD112" s="64"/>
      <c r="DE112" s="64"/>
      <c r="DF112" s="64"/>
      <c r="DG112" s="64"/>
      <c r="DH112" s="64"/>
      <c r="DI112" s="64"/>
      <c r="DJ112" s="64"/>
      <c r="DK112" s="64"/>
      <c r="DL112" s="64"/>
      <c r="DM112" s="64"/>
      <c r="DN112" s="64"/>
      <c r="DO112" s="64"/>
      <c r="DP112" s="64"/>
      <c r="DQ112" s="64"/>
      <c r="DR112" s="64"/>
      <c r="DS112" s="64"/>
      <c r="DT112" s="64"/>
      <c r="DU112" s="64"/>
      <c r="DV112" s="64"/>
      <c r="DW112" s="64"/>
      <c r="DX112" s="64"/>
      <c r="DY112" s="64"/>
      <c r="DZ112" s="64"/>
      <c r="EA112" s="64"/>
      <c r="EB112" s="64"/>
      <c r="EC112" s="64"/>
      <c r="ED112" s="64"/>
    </row>
    <row r="113" spans="1:134" ht="15.75" customHeight="1">
      <c r="A113" s="65" t="s">
        <v>44</v>
      </c>
      <c r="B113" s="65" t="s">
        <v>395</v>
      </c>
      <c r="C113" s="65" t="s">
        <v>567</v>
      </c>
      <c r="D113" s="65" t="str">
        <f t="shared" si="0"/>
        <v>RB</v>
      </c>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64"/>
      <c r="BX113" s="64"/>
      <c r="BY113" s="64"/>
      <c r="BZ113" s="64"/>
      <c r="CA113" s="64"/>
      <c r="CB113" s="64"/>
      <c r="CC113" s="64"/>
      <c r="CD113" s="64"/>
      <c r="CE113" s="64"/>
      <c r="CF113" s="64"/>
      <c r="CG113" s="64"/>
      <c r="CH113" s="64"/>
      <c r="CI113" s="64"/>
      <c r="CJ113" s="64"/>
      <c r="CK113" s="64"/>
      <c r="CL113" s="64"/>
      <c r="CM113" s="64"/>
      <c r="CN113" s="64"/>
      <c r="CO113" s="64"/>
      <c r="CP113" s="64"/>
      <c r="CQ113" s="64"/>
      <c r="CR113" s="64"/>
      <c r="CS113" s="64"/>
      <c r="CT113" s="64"/>
      <c r="CU113" s="64"/>
      <c r="CV113" s="64"/>
      <c r="CW113" s="64"/>
      <c r="CX113" s="64"/>
      <c r="CY113" s="64"/>
      <c r="CZ113" s="64"/>
      <c r="DA113" s="64"/>
      <c r="DB113" s="64"/>
      <c r="DC113" s="64"/>
      <c r="DD113" s="64"/>
      <c r="DE113" s="64"/>
      <c r="DF113" s="64"/>
      <c r="DG113" s="64"/>
      <c r="DH113" s="64"/>
      <c r="DI113" s="64"/>
      <c r="DJ113" s="64"/>
      <c r="DK113" s="64"/>
      <c r="DL113" s="64"/>
      <c r="DM113" s="64"/>
      <c r="DN113" s="64"/>
      <c r="DO113" s="64"/>
      <c r="DP113" s="64"/>
      <c r="DQ113" s="64"/>
      <c r="DR113" s="64"/>
      <c r="DS113" s="64"/>
      <c r="DT113" s="64"/>
      <c r="DU113" s="64"/>
      <c r="DV113" s="64"/>
      <c r="DW113" s="64"/>
      <c r="DX113" s="64"/>
      <c r="DY113" s="64"/>
      <c r="DZ113" s="64"/>
      <c r="EA113" s="64"/>
      <c r="EB113" s="64"/>
      <c r="EC113" s="64"/>
      <c r="ED113" s="64"/>
    </row>
    <row r="114" spans="1:134" ht="15.75" customHeight="1">
      <c r="A114" s="65" t="s">
        <v>86</v>
      </c>
      <c r="B114" s="65" t="s">
        <v>392</v>
      </c>
      <c r="C114" s="65" t="s">
        <v>568</v>
      </c>
      <c r="D114" s="65" t="str">
        <f t="shared" si="0"/>
        <v>TE</v>
      </c>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64"/>
      <c r="BX114" s="64"/>
      <c r="BY114" s="64"/>
      <c r="BZ114" s="64"/>
      <c r="CA114" s="64"/>
      <c r="CB114" s="64"/>
      <c r="CC114" s="64"/>
      <c r="CD114" s="64"/>
      <c r="CE114" s="64"/>
      <c r="CF114" s="64"/>
      <c r="CG114" s="64"/>
      <c r="CH114" s="64"/>
      <c r="CI114" s="64"/>
      <c r="CJ114" s="64"/>
      <c r="CK114" s="64"/>
      <c r="CL114" s="64"/>
      <c r="CM114" s="64"/>
      <c r="CN114" s="64"/>
      <c r="CO114" s="64"/>
      <c r="CP114" s="64"/>
      <c r="CQ114" s="64"/>
      <c r="CR114" s="64"/>
      <c r="CS114" s="64"/>
      <c r="CT114" s="64"/>
      <c r="CU114" s="64"/>
      <c r="CV114" s="64"/>
      <c r="CW114" s="64"/>
      <c r="CX114" s="64"/>
      <c r="CY114" s="64"/>
      <c r="CZ114" s="64"/>
      <c r="DA114" s="64"/>
      <c r="DB114" s="64"/>
      <c r="DC114" s="64"/>
      <c r="DD114" s="64"/>
      <c r="DE114" s="64"/>
      <c r="DF114" s="64"/>
      <c r="DG114" s="64"/>
      <c r="DH114" s="64"/>
      <c r="DI114" s="64"/>
      <c r="DJ114" s="64"/>
      <c r="DK114" s="64"/>
      <c r="DL114" s="64"/>
      <c r="DM114" s="64"/>
      <c r="DN114" s="64"/>
      <c r="DO114" s="64"/>
      <c r="DP114" s="64"/>
      <c r="DQ114" s="64"/>
      <c r="DR114" s="64"/>
      <c r="DS114" s="64"/>
      <c r="DT114" s="64"/>
      <c r="DU114" s="64"/>
      <c r="DV114" s="64"/>
      <c r="DW114" s="64"/>
      <c r="DX114" s="64"/>
      <c r="DY114" s="64"/>
      <c r="DZ114" s="64"/>
      <c r="EA114" s="64"/>
      <c r="EB114" s="64"/>
      <c r="EC114" s="64"/>
      <c r="ED114" s="64"/>
    </row>
    <row r="115" spans="1:134" ht="15.75" customHeight="1">
      <c r="A115" s="65" t="s">
        <v>569</v>
      </c>
      <c r="B115" s="65" t="s">
        <v>388</v>
      </c>
      <c r="C115" s="65" t="s">
        <v>570</v>
      </c>
      <c r="D115" s="65" t="str">
        <f t="shared" si="0"/>
        <v>TE</v>
      </c>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64"/>
      <c r="BX115" s="64"/>
      <c r="BY115" s="64"/>
      <c r="BZ115" s="64"/>
      <c r="CA115" s="64"/>
      <c r="CB115" s="64"/>
      <c r="CC115" s="64"/>
      <c r="CD115" s="64"/>
      <c r="CE115" s="64"/>
      <c r="CF115" s="64"/>
      <c r="CG115" s="64"/>
      <c r="CH115" s="64"/>
      <c r="CI115" s="64"/>
      <c r="CJ115" s="64"/>
      <c r="CK115" s="64"/>
      <c r="CL115" s="64"/>
      <c r="CM115" s="64"/>
      <c r="CN115" s="64"/>
      <c r="CO115" s="64"/>
      <c r="CP115" s="64"/>
      <c r="CQ115" s="64"/>
      <c r="CR115" s="64"/>
      <c r="CS115" s="64"/>
      <c r="CT115" s="64"/>
      <c r="CU115" s="64"/>
      <c r="CV115" s="64"/>
      <c r="CW115" s="64"/>
      <c r="CX115" s="64"/>
      <c r="CY115" s="64"/>
      <c r="CZ115" s="64"/>
      <c r="DA115" s="64"/>
      <c r="DB115" s="64"/>
      <c r="DC115" s="64"/>
      <c r="DD115" s="64"/>
      <c r="DE115" s="64"/>
      <c r="DF115" s="64"/>
      <c r="DG115" s="64"/>
      <c r="DH115" s="64"/>
      <c r="DI115" s="64"/>
      <c r="DJ115" s="64"/>
      <c r="DK115" s="64"/>
      <c r="DL115" s="64"/>
      <c r="DM115" s="64"/>
      <c r="DN115" s="64"/>
      <c r="DO115" s="64"/>
      <c r="DP115" s="64"/>
      <c r="DQ115" s="64"/>
      <c r="DR115" s="64"/>
      <c r="DS115" s="64"/>
      <c r="DT115" s="64"/>
      <c r="DU115" s="64"/>
      <c r="DV115" s="64"/>
      <c r="DW115" s="64"/>
      <c r="DX115" s="64"/>
      <c r="DY115" s="64"/>
      <c r="DZ115" s="64"/>
      <c r="EA115" s="64"/>
      <c r="EB115" s="64"/>
      <c r="EC115" s="64"/>
      <c r="ED115" s="64"/>
    </row>
    <row r="116" spans="1:134" ht="15.75" customHeight="1">
      <c r="A116" s="65" t="s">
        <v>28</v>
      </c>
      <c r="B116" s="65" t="s">
        <v>404</v>
      </c>
      <c r="C116" s="65" t="s">
        <v>571</v>
      </c>
      <c r="D116" s="65" t="str">
        <f t="shared" si="0"/>
        <v>RB</v>
      </c>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64"/>
      <c r="BX116" s="64"/>
      <c r="BY116" s="64"/>
      <c r="BZ116" s="64"/>
      <c r="CA116" s="64"/>
      <c r="CB116" s="64"/>
      <c r="CC116" s="64"/>
      <c r="CD116" s="64"/>
      <c r="CE116" s="64"/>
      <c r="CF116" s="64"/>
      <c r="CG116" s="64"/>
      <c r="CH116" s="64"/>
      <c r="CI116" s="64"/>
      <c r="CJ116" s="64"/>
      <c r="CK116" s="64"/>
      <c r="CL116" s="64"/>
      <c r="CM116" s="64"/>
      <c r="CN116" s="64"/>
      <c r="CO116" s="64"/>
      <c r="CP116" s="64"/>
      <c r="CQ116" s="64"/>
      <c r="CR116" s="64"/>
      <c r="CS116" s="64"/>
      <c r="CT116" s="64"/>
      <c r="CU116" s="64"/>
      <c r="CV116" s="64"/>
      <c r="CW116" s="64"/>
      <c r="CX116" s="64"/>
      <c r="CY116" s="64"/>
      <c r="CZ116" s="64"/>
      <c r="DA116" s="64"/>
      <c r="DB116" s="64"/>
      <c r="DC116" s="64"/>
      <c r="DD116" s="64"/>
      <c r="DE116" s="64"/>
      <c r="DF116" s="64"/>
      <c r="DG116" s="64"/>
      <c r="DH116" s="64"/>
      <c r="DI116" s="64"/>
      <c r="DJ116" s="64"/>
      <c r="DK116" s="64"/>
      <c r="DL116" s="64"/>
      <c r="DM116" s="64"/>
      <c r="DN116" s="64"/>
      <c r="DO116" s="64"/>
      <c r="DP116" s="64"/>
      <c r="DQ116" s="64"/>
      <c r="DR116" s="64"/>
      <c r="DS116" s="64"/>
      <c r="DT116" s="64"/>
      <c r="DU116" s="64"/>
      <c r="DV116" s="64"/>
      <c r="DW116" s="64"/>
      <c r="DX116" s="64"/>
      <c r="DY116" s="64"/>
      <c r="DZ116" s="64"/>
      <c r="EA116" s="64"/>
      <c r="EB116" s="64"/>
      <c r="EC116" s="64"/>
      <c r="ED116" s="64"/>
    </row>
    <row r="117" spans="1:134" ht="15.75" customHeight="1">
      <c r="A117" s="65" t="s">
        <v>264</v>
      </c>
      <c r="B117" s="65" t="s">
        <v>387</v>
      </c>
      <c r="C117" s="65" t="s">
        <v>572</v>
      </c>
      <c r="D117" s="65" t="str">
        <f t="shared" si="0"/>
        <v>WR</v>
      </c>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64"/>
      <c r="BX117" s="64"/>
      <c r="BY117" s="64"/>
      <c r="BZ117" s="64"/>
      <c r="CA117" s="64"/>
      <c r="CB117" s="64"/>
      <c r="CC117" s="64"/>
      <c r="CD117" s="64"/>
      <c r="CE117" s="64"/>
      <c r="CF117" s="64"/>
      <c r="CG117" s="64"/>
      <c r="CH117" s="64"/>
      <c r="CI117" s="64"/>
      <c r="CJ117" s="64"/>
      <c r="CK117" s="64"/>
      <c r="CL117" s="64"/>
      <c r="CM117" s="64"/>
      <c r="CN117" s="64"/>
      <c r="CO117" s="64"/>
      <c r="CP117" s="64"/>
      <c r="CQ117" s="64"/>
      <c r="CR117" s="64"/>
      <c r="CS117" s="64"/>
      <c r="CT117" s="64"/>
      <c r="CU117" s="64"/>
      <c r="CV117" s="64"/>
      <c r="CW117" s="64"/>
      <c r="CX117" s="64"/>
      <c r="CY117" s="64"/>
      <c r="CZ117" s="64"/>
      <c r="DA117" s="64"/>
      <c r="DB117" s="64"/>
      <c r="DC117" s="64"/>
      <c r="DD117" s="64"/>
      <c r="DE117" s="64"/>
      <c r="DF117" s="64"/>
      <c r="DG117" s="64"/>
      <c r="DH117" s="64"/>
      <c r="DI117" s="64"/>
      <c r="DJ117" s="64"/>
      <c r="DK117" s="64"/>
      <c r="DL117" s="64"/>
      <c r="DM117" s="64"/>
      <c r="DN117" s="64"/>
      <c r="DO117" s="64"/>
      <c r="DP117" s="64"/>
      <c r="DQ117" s="64"/>
      <c r="DR117" s="64"/>
      <c r="DS117" s="64"/>
      <c r="DT117" s="64"/>
      <c r="DU117" s="64"/>
      <c r="DV117" s="64"/>
      <c r="DW117" s="64"/>
      <c r="DX117" s="64"/>
      <c r="DY117" s="64"/>
      <c r="DZ117" s="64"/>
      <c r="EA117" s="64"/>
      <c r="EB117" s="64"/>
      <c r="EC117" s="64"/>
      <c r="ED117" s="64"/>
    </row>
    <row r="118" spans="1:134" ht="15.75" customHeight="1">
      <c r="A118" s="65" t="s">
        <v>118</v>
      </c>
      <c r="B118" s="65" t="s">
        <v>416</v>
      </c>
      <c r="C118" s="65" t="s">
        <v>573</v>
      </c>
      <c r="D118" s="65" t="str">
        <f t="shared" si="0"/>
        <v>WR</v>
      </c>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64"/>
      <c r="BX118" s="64"/>
      <c r="BY118" s="64"/>
      <c r="BZ118" s="64"/>
      <c r="CA118" s="64"/>
      <c r="CB118" s="64"/>
      <c r="CC118" s="64"/>
      <c r="CD118" s="64"/>
      <c r="CE118" s="64"/>
      <c r="CF118" s="64"/>
      <c r="CG118" s="64"/>
      <c r="CH118" s="64"/>
      <c r="CI118" s="64"/>
      <c r="CJ118" s="64"/>
      <c r="CK118" s="64"/>
      <c r="CL118" s="64"/>
      <c r="CM118" s="64"/>
      <c r="CN118" s="64"/>
      <c r="CO118" s="64"/>
      <c r="CP118" s="64"/>
      <c r="CQ118" s="64"/>
      <c r="CR118" s="64"/>
      <c r="CS118" s="64"/>
      <c r="CT118" s="64"/>
      <c r="CU118" s="64"/>
      <c r="CV118" s="64"/>
      <c r="CW118" s="64"/>
      <c r="CX118" s="64"/>
      <c r="CY118" s="64"/>
      <c r="CZ118" s="64"/>
      <c r="DA118" s="64"/>
      <c r="DB118" s="64"/>
      <c r="DC118" s="64"/>
      <c r="DD118" s="64"/>
      <c r="DE118" s="64"/>
      <c r="DF118" s="64"/>
      <c r="DG118" s="64"/>
      <c r="DH118" s="64"/>
      <c r="DI118" s="64"/>
      <c r="DJ118" s="64"/>
      <c r="DK118" s="64"/>
      <c r="DL118" s="64"/>
      <c r="DM118" s="64"/>
      <c r="DN118" s="64"/>
      <c r="DO118" s="64"/>
      <c r="DP118" s="64"/>
      <c r="DQ118" s="64"/>
      <c r="DR118" s="64"/>
      <c r="DS118" s="64"/>
      <c r="DT118" s="64"/>
      <c r="DU118" s="64"/>
      <c r="DV118" s="64"/>
      <c r="DW118" s="64"/>
      <c r="DX118" s="64"/>
      <c r="DY118" s="64"/>
      <c r="DZ118" s="64"/>
      <c r="EA118" s="64"/>
      <c r="EB118" s="64"/>
      <c r="EC118" s="64"/>
      <c r="ED118" s="64"/>
    </row>
    <row r="119" spans="1:134" ht="15.75" customHeight="1">
      <c r="A119" s="65" t="s">
        <v>574</v>
      </c>
      <c r="B119" s="65" t="s">
        <v>413</v>
      </c>
      <c r="C119" s="65" t="s">
        <v>575</v>
      </c>
      <c r="D119" s="65" t="str">
        <f t="shared" si="0"/>
        <v>WR</v>
      </c>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64"/>
      <c r="BX119" s="64"/>
      <c r="BY119" s="64"/>
      <c r="BZ119" s="64"/>
      <c r="CA119" s="64"/>
      <c r="CB119" s="64"/>
      <c r="CC119" s="64"/>
      <c r="CD119" s="64"/>
      <c r="CE119" s="64"/>
      <c r="CF119" s="64"/>
      <c r="CG119" s="64"/>
      <c r="CH119" s="64"/>
      <c r="CI119" s="64"/>
      <c r="CJ119" s="64"/>
      <c r="CK119" s="64"/>
      <c r="CL119" s="64"/>
      <c r="CM119" s="64"/>
      <c r="CN119" s="64"/>
      <c r="CO119" s="64"/>
      <c r="CP119" s="64"/>
      <c r="CQ119" s="64"/>
      <c r="CR119" s="64"/>
      <c r="CS119" s="64"/>
      <c r="CT119" s="64"/>
      <c r="CU119" s="64"/>
      <c r="CV119" s="64"/>
      <c r="CW119" s="64"/>
      <c r="CX119" s="64"/>
      <c r="CY119" s="64"/>
      <c r="CZ119" s="64"/>
      <c r="DA119" s="64"/>
      <c r="DB119" s="64"/>
      <c r="DC119" s="64"/>
      <c r="DD119" s="64"/>
      <c r="DE119" s="64"/>
      <c r="DF119" s="64"/>
      <c r="DG119" s="64"/>
      <c r="DH119" s="64"/>
      <c r="DI119" s="64"/>
      <c r="DJ119" s="64"/>
      <c r="DK119" s="64"/>
      <c r="DL119" s="64"/>
      <c r="DM119" s="64"/>
      <c r="DN119" s="64"/>
      <c r="DO119" s="64"/>
      <c r="DP119" s="64"/>
      <c r="DQ119" s="64"/>
      <c r="DR119" s="64"/>
      <c r="DS119" s="64"/>
      <c r="DT119" s="64"/>
      <c r="DU119" s="64"/>
      <c r="DV119" s="64"/>
      <c r="DW119" s="64"/>
      <c r="DX119" s="64"/>
      <c r="DY119" s="64"/>
      <c r="DZ119" s="64"/>
      <c r="EA119" s="64"/>
      <c r="EB119" s="64"/>
      <c r="EC119" s="64"/>
      <c r="ED119" s="64"/>
    </row>
    <row r="120" spans="1:134" ht="15.75" customHeight="1">
      <c r="A120" s="65" t="s">
        <v>229</v>
      </c>
      <c r="B120" s="65" t="s">
        <v>406</v>
      </c>
      <c r="C120" s="65" t="s">
        <v>576</v>
      </c>
      <c r="D120" s="65" t="str">
        <f t="shared" si="0"/>
        <v>WR</v>
      </c>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64"/>
      <c r="BX120" s="64"/>
      <c r="BY120" s="64"/>
      <c r="BZ120" s="64"/>
      <c r="CA120" s="64"/>
      <c r="CB120" s="64"/>
      <c r="CC120" s="64"/>
      <c r="CD120" s="64"/>
      <c r="CE120" s="64"/>
      <c r="CF120" s="64"/>
      <c r="CG120" s="64"/>
      <c r="CH120" s="64"/>
      <c r="CI120" s="64"/>
      <c r="CJ120" s="64"/>
      <c r="CK120" s="64"/>
      <c r="CL120" s="64"/>
      <c r="CM120" s="64"/>
      <c r="CN120" s="64"/>
      <c r="CO120" s="64"/>
      <c r="CP120" s="64"/>
      <c r="CQ120" s="64"/>
      <c r="CR120" s="64"/>
      <c r="CS120" s="64"/>
      <c r="CT120" s="64"/>
      <c r="CU120" s="64"/>
      <c r="CV120" s="64"/>
      <c r="CW120" s="64"/>
      <c r="CX120" s="64"/>
      <c r="CY120" s="64"/>
      <c r="CZ120" s="64"/>
      <c r="DA120" s="64"/>
      <c r="DB120" s="64"/>
      <c r="DC120" s="64"/>
      <c r="DD120" s="64"/>
      <c r="DE120" s="64"/>
      <c r="DF120" s="64"/>
      <c r="DG120" s="64"/>
      <c r="DH120" s="64"/>
      <c r="DI120" s="64"/>
      <c r="DJ120" s="64"/>
      <c r="DK120" s="64"/>
      <c r="DL120" s="64"/>
      <c r="DM120" s="64"/>
      <c r="DN120" s="64"/>
      <c r="DO120" s="64"/>
      <c r="DP120" s="64"/>
      <c r="DQ120" s="64"/>
      <c r="DR120" s="64"/>
      <c r="DS120" s="64"/>
      <c r="DT120" s="64"/>
      <c r="DU120" s="64"/>
      <c r="DV120" s="64"/>
      <c r="DW120" s="64"/>
      <c r="DX120" s="64"/>
      <c r="DY120" s="64"/>
      <c r="DZ120" s="64"/>
      <c r="EA120" s="64"/>
      <c r="EB120" s="64"/>
      <c r="EC120" s="64"/>
      <c r="ED120" s="64"/>
    </row>
    <row r="121" spans="1:134" ht="15.75" customHeight="1">
      <c r="A121" s="65" t="s">
        <v>152</v>
      </c>
      <c r="B121" s="65" t="s">
        <v>394</v>
      </c>
      <c r="C121" s="65" t="s">
        <v>577</v>
      </c>
      <c r="D121" s="65" t="str">
        <f t="shared" si="0"/>
        <v>DEF</v>
      </c>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64"/>
      <c r="BX121" s="64"/>
      <c r="BY121" s="64"/>
      <c r="BZ121" s="64"/>
      <c r="CA121" s="64"/>
      <c r="CB121" s="64"/>
      <c r="CC121" s="64"/>
      <c r="CD121" s="64"/>
      <c r="CE121" s="64"/>
      <c r="CF121" s="64"/>
      <c r="CG121" s="64"/>
      <c r="CH121" s="64"/>
      <c r="CI121" s="64"/>
      <c r="CJ121" s="64"/>
      <c r="CK121" s="64"/>
      <c r="CL121" s="64"/>
      <c r="CM121" s="64"/>
      <c r="CN121" s="64"/>
      <c r="CO121" s="64"/>
      <c r="CP121" s="64"/>
      <c r="CQ121" s="64"/>
      <c r="CR121" s="64"/>
      <c r="CS121" s="64"/>
      <c r="CT121" s="64"/>
      <c r="CU121" s="64"/>
      <c r="CV121" s="64"/>
      <c r="CW121" s="64"/>
      <c r="CX121" s="64"/>
      <c r="CY121" s="64"/>
      <c r="CZ121" s="64"/>
      <c r="DA121" s="64"/>
      <c r="DB121" s="64"/>
      <c r="DC121" s="64"/>
      <c r="DD121" s="64"/>
      <c r="DE121" s="64"/>
      <c r="DF121" s="64"/>
      <c r="DG121" s="64"/>
      <c r="DH121" s="64"/>
      <c r="DI121" s="64"/>
      <c r="DJ121" s="64"/>
      <c r="DK121" s="64"/>
      <c r="DL121" s="64"/>
      <c r="DM121" s="64"/>
      <c r="DN121" s="64"/>
      <c r="DO121" s="64"/>
      <c r="DP121" s="64"/>
      <c r="DQ121" s="64"/>
      <c r="DR121" s="64"/>
      <c r="DS121" s="64"/>
      <c r="DT121" s="64"/>
      <c r="DU121" s="64"/>
      <c r="DV121" s="64"/>
      <c r="DW121" s="64"/>
      <c r="DX121" s="64"/>
      <c r="DY121" s="64"/>
      <c r="DZ121" s="64"/>
      <c r="EA121" s="64"/>
      <c r="EB121" s="64"/>
      <c r="EC121" s="64"/>
      <c r="ED121" s="64"/>
    </row>
    <row r="122" spans="1:134" ht="15.75" customHeight="1">
      <c r="A122" s="65" t="s">
        <v>37</v>
      </c>
      <c r="B122" s="65" t="s">
        <v>387</v>
      </c>
      <c r="C122" s="65" t="s">
        <v>578</v>
      </c>
      <c r="D122" s="65" t="str">
        <f t="shared" si="0"/>
        <v>RB</v>
      </c>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64"/>
      <c r="BX122" s="64"/>
      <c r="BY122" s="64"/>
      <c r="BZ122" s="64"/>
      <c r="CA122" s="64"/>
      <c r="CB122" s="64"/>
      <c r="CC122" s="64"/>
      <c r="CD122" s="64"/>
      <c r="CE122" s="64"/>
      <c r="CF122" s="64"/>
      <c r="CG122" s="64"/>
      <c r="CH122" s="64"/>
      <c r="CI122" s="64"/>
      <c r="CJ122" s="64"/>
      <c r="CK122" s="64"/>
      <c r="CL122" s="64"/>
      <c r="CM122" s="64"/>
      <c r="CN122" s="64"/>
      <c r="CO122" s="64"/>
      <c r="CP122" s="64"/>
      <c r="CQ122" s="64"/>
      <c r="CR122" s="64"/>
      <c r="CS122" s="64"/>
      <c r="CT122" s="64"/>
      <c r="CU122" s="64"/>
      <c r="CV122" s="64"/>
      <c r="CW122" s="64"/>
      <c r="CX122" s="64"/>
      <c r="CY122" s="64"/>
      <c r="CZ122" s="64"/>
      <c r="DA122" s="64"/>
      <c r="DB122" s="64"/>
      <c r="DC122" s="64"/>
      <c r="DD122" s="64"/>
      <c r="DE122" s="64"/>
      <c r="DF122" s="64"/>
      <c r="DG122" s="64"/>
      <c r="DH122" s="64"/>
      <c r="DI122" s="64"/>
      <c r="DJ122" s="64"/>
      <c r="DK122" s="64"/>
      <c r="DL122" s="64"/>
      <c r="DM122" s="64"/>
      <c r="DN122" s="64"/>
      <c r="DO122" s="64"/>
      <c r="DP122" s="64"/>
      <c r="DQ122" s="64"/>
      <c r="DR122" s="64"/>
      <c r="DS122" s="64"/>
      <c r="DT122" s="64"/>
      <c r="DU122" s="64"/>
      <c r="DV122" s="64"/>
      <c r="DW122" s="64"/>
      <c r="DX122" s="64"/>
      <c r="DY122" s="64"/>
      <c r="DZ122" s="64"/>
      <c r="EA122" s="64"/>
      <c r="EB122" s="64"/>
      <c r="EC122" s="64"/>
      <c r="ED122" s="64"/>
    </row>
    <row r="123" spans="1:134" ht="15.75" customHeight="1">
      <c r="A123" s="65" t="s">
        <v>579</v>
      </c>
      <c r="B123" s="65" t="s">
        <v>392</v>
      </c>
      <c r="C123" s="65" t="s">
        <v>580</v>
      </c>
      <c r="D123" s="65" t="str">
        <f t="shared" si="0"/>
        <v>QB</v>
      </c>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64"/>
      <c r="BX123" s="64"/>
      <c r="BY123" s="64"/>
      <c r="BZ123" s="64"/>
      <c r="CA123" s="64"/>
      <c r="CB123" s="64"/>
      <c r="CC123" s="64"/>
      <c r="CD123" s="64"/>
      <c r="CE123" s="64"/>
      <c r="CF123" s="64"/>
      <c r="CG123" s="64"/>
      <c r="CH123" s="64"/>
      <c r="CI123" s="64"/>
      <c r="CJ123" s="64"/>
      <c r="CK123" s="64"/>
      <c r="CL123" s="64"/>
      <c r="CM123" s="64"/>
      <c r="CN123" s="64"/>
      <c r="CO123" s="64"/>
      <c r="CP123" s="64"/>
      <c r="CQ123" s="64"/>
      <c r="CR123" s="64"/>
      <c r="CS123" s="64"/>
      <c r="CT123" s="64"/>
      <c r="CU123" s="64"/>
      <c r="CV123" s="64"/>
      <c r="CW123" s="64"/>
      <c r="CX123" s="64"/>
      <c r="CY123" s="64"/>
      <c r="CZ123" s="64"/>
      <c r="DA123" s="64"/>
      <c r="DB123" s="64"/>
      <c r="DC123" s="64"/>
      <c r="DD123" s="64"/>
      <c r="DE123" s="64"/>
      <c r="DF123" s="64"/>
      <c r="DG123" s="64"/>
      <c r="DH123" s="64"/>
      <c r="DI123" s="64"/>
      <c r="DJ123" s="64"/>
      <c r="DK123" s="64"/>
      <c r="DL123" s="64"/>
      <c r="DM123" s="64"/>
      <c r="DN123" s="64"/>
      <c r="DO123" s="64"/>
      <c r="DP123" s="64"/>
      <c r="DQ123" s="64"/>
      <c r="DR123" s="64"/>
      <c r="DS123" s="64"/>
      <c r="DT123" s="64"/>
      <c r="DU123" s="64"/>
      <c r="DV123" s="64"/>
      <c r="DW123" s="64"/>
      <c r="DX123" s="64"/>
      <c r="DY123" s="64"/>
      <c r="DZ123" s="64"/>
      <c r="EA123" s="64"/>
      <c r="EB123" s="64"/>
      <c r="EC123" s="64"/>
      <c r="ED123" s="64"/>
    </row>
    <row r="124" spans="1:134" ht="15.75" customHeight="1">
      <c r="A124" s="65" t="s">
        <v>248</v>
      </c>
      <c r="B124" s="65" t="s">
        <v>395</v>
      </c>
      <c r="C124" s="65" t="s">
        <v>581</v>
      </c>
      <c r="D124" s="65" t="str">
        <f t="shared" si="0"/>
        <v>DEF</v>
      </c>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64"/>
      <c r="BX124" s="64"/>
      <c r="BY124" s="64"/>
      <c r="BZ124" s="64"/>
      <c r="CA124" s="64"/>
      <c r="CB124" s="64"/>
      <c r="CC124" s="64"/>
      <c r="CD124" s="64"/>
      <c r="CE124" s="64"/>
      <c r="CF124" s="64"/>
      <c r="CG124" s="64"/>
      <c r="CH124" s="64"/>
      <c r="CI124" s="64"/>
      <c r="CJ124" s="64"/>
      <c r="CK124" s="64"/>
      <c r="CL124" s="64"/>
      <c r="CM124" s="64"/>
      <c r="CN124" s="64"/>
      <c r="CO124" s="64"/>
      <c r="CP124" s="64"/>
      <c r="CQ124" s="64"/>
      <c r="CR124" s="64"/>
      <c r="CS124" s="64"/>
      <c r="CT124" s="64"/>
      <c r="CU124" s="64"/>
      <c r="CV124" s="64"/>
      <c r="CW124" s="64"/>
      <c r="CX124" s="64"/>
      <c r="CY124" s="64"/>
      <c r="CZ124" s="64"/>
      <c r="DA124" s="64"/>
      <c r="DB124" s="64"/>
      <c r="DC124" s="64"/>
      <c r="DD124" s="64"/>
      <c r="DE124" s="64"/>
      <c r="DF124" s="64"/>
      <c r="DG124" s="64"/>
      <c r="DH124" s="64"/>
      <c r="DI124" s="64"/>
      <c r="DJ124" s="64"/>
      <c r="DK124" s="64"/>
      <c r="DL124" s="64"/>
      <c r="DM124" s="64"/>
      <c r="DN124" s="64"/>
      <c r="DO124" s="64"/>
      <c r="DP124" s="64"/>
      <c r="DQ124" s="64"/>
      <c r="DR124" s="64"/>
      <c r="DS124" s="64"/>
      <c r="DT124" s="64"/>
      <c r="DU124" s="64"/>
      <c r="DV124" s="64"/>
      <c r="DW124" s="64"/>
      <c r="DX124" s="64"/>
      <c r="DY124" s="64"/>
      <c r="DZ124" s="64"/>
      <c r="EA124" s="64"/>
      <c r="EB124" s="64"/>
      <c r="EC124" s="64"/>
      <c r="ED124" s="64"/>
    </row>
    <row r="125" spans="1:134" ht="15.75" customHeight="1">
      <c r="A125" s="65" t="s">
        <v>327</v>
      </c>
      <c r="B125" s="65" t="s">
        <v>394</v>
      </c>
      <c r="C125" s="65" t="s">
        <v>582</v>
      </c>
      <c r="D125" s="65" t="str">
        <f t="shared" si="0"/>
        <v>WR</v>
      </c>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64"/>
      <c r="BX125" s="64"/>
      <c r="BY125" s="64"/>
      <c r="BZ125" s="64"/>
      <c r="CA125" s="64"/>
      <c r="CB125" s="64"/>
      <c r="CC125" s="64"/>
      <c r="CD125" s="64"/>
      <c r="CE125" s="64"/>
      <c r="CF125" s="64"/>
      <c r="CG125" s="64"/>
      <c r="CH125" s="64"/>
      <c r="CI125" s="64"/>
      <c r="CJ125" s="64"/>
      <c r="CK125" s="64"/>
      <c r="CL125" s="64"/>
      <c r="CM125" s="64"/>
      <c r="CN125" s="64"/>
      <c r="CO125" s="64"/>
      <c r="CP125" s="64"/>
      <c r="CQ125" s="64"/>
      <c r="CR125" s="64"/>
      <c r="CS125" s="64"/>
      <c r="CT125" s="64"/>
      <c r="CU125" s="64"/>
      <c r="CV125" s="64"/>
      <c r="CW125" s="64"/>
      <c r="CX125" s="64"/>
      <c r="CY125" s="64"/>
      <c r="CZ125" s="64"/>
      <c r="DA125" s="64"/>
      <c r="DB125" s="64"/>
      <c r="DC125" s="64"/>
      <c r="DD125" s="64"/>
      <c r="DE125" s="64"/>
      <c r="DF125" s="64"/>
      <c r="DG125" s="64"/>
      <c r="DH125" s="64"/>
      <c r="DI125" s="64"/>
      <c r="DJ125" s="64"/>
      <c r="DK125" s="64"/>
      <c r="DL125" s="64"/>
      <c r="DM125" s="64"/>
      <c r="DN125" s="64"/>
      <c r="DO125" s="64"/>
      <c r="DP125" s="64"/>
      <c r="DQ125" s="64"/>
      <c r="DR125" s="64"/>
      <c r="DS125" s="64"/>
      <c r="DT125" s="64"/>
      <c r="DU125" s="64"/>
      <c r="DV125" s="64"/>
      <c r="DW125" s="64"/>
      <c r="DX125" s="64"/>
      <c r="DY125" s="64"/>
      <c r="DZ125" s="64"/>
      <c r="EA125" s="64"/>
      <c r="EB125" s="64"/>
      <c r="EC125" s="64"/>
      <c r="ED125" s="64"/>
    </row>
    <row r="126" spans="1:134" ht="15.75" customHeight="1">
      <c r="A126" s="65" t="s">
        <v>306</v>
      </c>
      <c r="B126" s="65" t="s">
        <v>407</v>
      </c>
      <c r="C126" s="65" t="s">
        <v>583</v>
      </c>
      <c r="D126" s="65" t="str">
        <f t="shared" si="0"/>
        <v>RB</v>
      </c>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64"/>
      <c r="BX126" s="64"/>
      <c r="BY126" s="64"/>
      <c r="BZ126" s="64"/>
      <c r="CA126" s="64"/>
      <c r="CB126" s="64"/>
      <c r="CC126" s="64"/>
      <c r="CD126" s="64"/>
      <c r="CE126" s="64"/>
      <c r="CF126" s="64"/>
      <c r="CG126" s="64"/>
      <c r="CH126" s="64"/>
      <c r="CI126" s="64"/>
      <c r="CJ126" s="64"/>
      <c r="CK126" s="64"/>
      <c r="CL126" s="64"/>
      <c r="CM126" s="64"/>
      <c r="CN126" s="64"/>
      <c r="CO126" s="64"/>
      <c r="CP126" s="64"/>
      <c r="CQ126" s="64"/>
      <c r="CR126" s="64"/>
      <c r="CS126" s="64"/>
      <c r="CT126" s="64"/>
      <c r="CU126" s="64"/>
      <c r="CV126" s="64"/>
      <c r="CW126" s="64"/>
      <c r="CX126" s="64"/>
      <c r="CY126" s="64"/>
      <c r="CZ126" s="64"/>
      <c r="DA126" s="64"/>
      <c r="DB126" s="64"/>
      <c r="DC126" s="64"/>
      <c r="DD126" s="64"/>
      <c r="DE126" s="64"/>
      <c r="DF126" s="64"/>
      <c r="DG126" s="64"/>
      <c r="DH126" s="64"/>
      <c r="DI126" s="64"/>
      <c r="DJ126" s="64"/>
      <c r="DK126" s="64"/>
      <c r="DL126" s="64"/>
      <c r="DM126" s="64"/>
      <c r="DN126" s="64"/>
      <c r="DO126" s="64"/>
      <c r="DP126" s="64"/>
      <c r="DQ126" s="64"/>
      <c r="DR126" s="64"/>
      <c r="DS126" s="64"/>
      <c r="DT126" s="64"/>
      <c r="DU126" s="64"/>
      <c r="DV126" s="64"/>
      <c r="DW126" s="64"/>
      <c r="DX126" s="64"/>
      <c r="DY126" s="64"/>
      <c r="DZ126" s="64"/>
      <c r="EA126" s="64"/>
      <c r="EB126" s="64"/>
      <c r="EC126" s="64"/>
      <c r="ED126" s="64"/>
    </row>
    <row r="127" spans="1:134" ht="15.75" customHeight="1">
      <c r="A127" s="65" t="s">
        <v>584</v>
      </c>
      <c r="B127" s="65" t="s">
        <v>408</v>
      </c>
      <c r="C127" s="65" t="s">
        <v>585</v>
      </c>
      <c r="D127" s="65" t="str">
        <f t="shared" si="0"/>
        <v>RB</v>
      </c>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64"/>
      <c r="BX127" s="64"/>
      <c r="BY127" s="64"/>
      <c r="BZ127" s="64"/>
      <c r="CA127" s="64"/>
      <c r="CB127" s="64"/>
      <c r="CC127" s="64"/>
      <c r="CD127" s="64"/>
      <c r="CE127" s="64"/>
      <c r="CF127" s="64"/>
      <c r="CG127" s="64"/>
      <c r="CH127" s="64"/>
      <c r="CI127" s="64"/>
      <c r="CJ127" s="64"/>
      <c r="CK127" s="64"/>
      <c r="CL127" s="64"/>
      <c r="CM127" s="64"/>
      <c r="CN127" s="64"/>
      <c r="CO127" s="64"/>
      <c r="CP127" s="64"/>
      <c r="CQ127" s="64"/>
      <c r="CR127" s="64"/>
      <c r="CS127" s="64"/>
      <c r="CT127" s="64"/>
      <c r="CU127" s="64"/>
      <c r="CV127" s="64"/>
      <c r="CW127" s="64"/>
      <c r="CX127" s="64"/>
      <c r="CY127" s="64"/>
      <c r="CZ127" s="64"/>
      <c r="DA127" s="64"/>
      <c r="DB127" s="64"/>
      <c r="DC127" s="64"/>
      <c r="DD127" s="64"/>
      <c r="DE127" s="64"/>
      <c r="DF127" s="64"/>
      <c r="DG127" s="64"/>
      <c r="DH127" s="64"/>
      <c r="DI127" s="64"/>
      <c r="DJ127" s="64"/>
      <c r="DK127" s="64"/>
      <c r="DL127" s="64"/>
      <c r="DM127" s="64"/>
      <c r="DN127" s="64"/>
      <c r="DO127" s="64"/>
      <c r="DP127" s="64"/>
      <c r="DQ127" s="64"/>
      <c r="DR127" s="64"/>
      <c r="DS127" s="64"/>
      <c r="DT127" s="64"/>
      <c r="DU127" s="64"/>
      <c r="DV127" s="64"/>
      <c r="DW127" s="64"/>
      <c r="DX127" s="64"/>
      <c r="DY127" s="64"/>
      <c r="DZ127" s="64"/>
      <c r="EA127" s="64"/>
      <c r="EB127" s="64"/>
      <c r="EC127" s="64"/>
      <c r="ED127" s="64"/>
    </row>
    <row r="128" spans="1:134" ht="15.75" customHeight="1">
      <c r="A128" s="65" t="s">
        <v>79</v>
      </c>
      <c r="B128" s="65" t="s">
        <v>410</v>
      </c>
      <c r="C128" s="65" t="s">
        <v>586</v>
      </c>
      <c r="D128" s="65" t="str">
        <f t="shared" si="0"/>
        <v>WR</v>
      </c>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64"/>
      <c r="BX128" s="64"/>
      <c r="BY128" s="64"/>
      <c r="BZ128" s="64"/>
      <c r="CA128" s="64"/>
      <c r="CB128" s="64"/>
      <c r="CC128" s="64"/>
      <c r="CD128" s="64"/>
      <c r="CE128" s="64"/>
      <c r="CF128" s="64"/>
      <c r="CG128" s="64"/>
      <c r="CH128" s="64"/>
      <c r="CI128" s="64"/>
      <c r="CJ128" s="64"/>
      <c r="CK128" s="64"/>
      <c r="CL128" s="64"/>
      <c r="CM128" s="64"/>
      <c r="CN128" s="64"/>
      <c r="CO128" s="64"/>
      <c r="CP128" s="64"/>
      <c r="CQ128" s="64"/>
      <c r="CR128" s="64"/>
      <c r="CS128" s="64"/>
      <c r="CT128" s="64"/>
      <c r="CU128" s="64"/>
      <c r="CV128" s="64"/>
      <c r="CW128" s="64"/>
      <c r="CX128" s="64"/>
      <c r="CY128" s="64"/>
      <c r="CZ128" s="64"/>
      <c r="DA128" s="64"/>
      <c r="DB128" s="64"/>
      <c r="DC128" s="64"/>
      <c r="DD128" s="64"/>
      <c r="DE128" s="64"/>
      <c r="DF128" s="64"/>
      <c r="DG128" s="64"/>
      <c r="DH128" s="64"/>
      <c r="DI128" s="64"/>
      <c r="DJ128" s="64"/>
      <c r="DK128" s="64"/>
      <c r="DL128" s="64"/>
      <c r="DM128" s="64"/>
      <c r="DN128" s="64"/>
      <c r="DO128" s="64"/>
      <c r="DP128" s="64"/>
      <c r="DQ128" s="64"/>
      <c r="DR128" s="64"/>
      <c r="DS128" s="64"/>
      <c r="DT128" s="64"/>
      <c r="DU128" s="64"/>
      <c r="DV128" s="64"/>
      <c r="DW128" s="64"/>
      <c r="DX128" s="64"/>
      <c r="DY128" s="64"/>
      <c r="DZ128" s="64"/>
      <c r="EA128" s="64"/>
      <c r="EB128" s="64"/>
      <c r="EC128" s="64"/>
      <c r="ED128" s="64"/>
    </row>
    <row r="129" spans="1:134" ht="15.75" customHeight="1">
      <c r="A129" s="65" t="s">
        <v>587</v>
      </c>
      <c r="B129" s="65" t="s">
        <v>387</v>
      </c>
      <c r="C129" s="65" t="s">
        <v>588</v>
      </c>
      <c r="D129" s="65" t="str">
        <f t="shared" si="0"/>
        <v>WR</v>
      </c>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64"/>
      <c r="BX129" s="64"/>
      <c r="BY129" s="64"/>
      <c r="BZ129" s="64"/>
      <c r="CA129" s="64"/>
      <c r="CB129" s="64"/>
      <c r="CC129" s="64"/>
      <c r="CD129" s="64"/>
      <c r="CE129" s="64"/>
      <c r="CF129" s="64"/>
      <c r="CG129" s="64"/>
      <c r="CH129" s="64"/>
      <c r="CI129" s="64"/>
      <c r="CJ129" s="64"/>
      <c r="CK129" s="64"/>
      <c r="CL129" s="64"/>
      <c r="CM129" s="64"/>
      <c r="CN129" s="64"/>
      <c r="CO129" s="64"/>
      <c r="CP129" s="64"/>
      <c r="CQ129" s="64"/>
      <c r="CR129" s="64"/>
      <c r="CS129" s="64"/>
      <c r="CT129" s="64"/>
      <c r="CU129" s="64"/>
      <c r="CV129" s="64"/>
      <c r="CW129" s="64"/>
      <c r="CX129" s="64"/>
      <c r="CY129" s="64"/>
      <c r="CZ129" s="64"/>
      <c r="DA129" s="64"/>
      <c r="DB129" s="64"/>
      <c r="DC129" s="64"/>
      <c r="DD129" s="64"/>
      <c r="DE129" s="64"/>
      <c r="DF129" s="64"/>
      <c r="DG129" s="64"/>
      <c r="DH129" s="64"/>
      <c r="DI129" s="64"/>
      <c r="DJ129" s="64"/>
      <c r="DK129" s="64"/>
      <c r="DL129" s="64"/>
      <c r="DM129" s="64"/>
      <c r="DN129" s="64"/>
      <c r="DO129" s="64"/>
      <c r="DP129" s="64"/>
      <c r="DQ129" s="64"/>
      <c r="DR129" s="64"/>
      <c r="DS129" s="64"/>
      <c r="DT129" s="64"/>
      <c r="DU129" s="64"/>
      <c r="DV129" s="64"/>
      <c r="DW129" s="64"/>
      <c r="DX129" s="64"/>
      <c r="DY129" s="64"/>
      <c r="DZ129" s="64"/>
      <c r="EA129" s="64"/>
      <c r="EB129" s="64"/>
      <c r="EC129" s="64"/>
      <c r="ED129" s="64"/>
    </row>
    <row r="130" spans="1:134" ht="15.75" customHeight="1">
      <c r="A130" s="65" t="s">
        <v>589</v>
      </c>
      <c r="B130" s="65" t="s">
        <v>392</v>
      </c>
      <c r="C130" s="65" t="s">
        <v>590</v>
      </c>
      <c r="D130" s="65" t="str">
        <f t="shared" si="0"/>
        <v>QB</v>
      </c>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64"/>
      <c r="BX130" s="64"/>
      <c r="BY130" s="64"/>
      <c r="BZ130" s="64"/>
      <c r="CA130" s="64"/>
      <c r="CB130" s="64"/>
      <c r="CC130" s="64"/>
      <c r="CD130" s="64"/>
      <c r="CE130" s="64"/>
      <c r="CF130" s="64"/>
      <c r="CG130" s="64"/>
      <c r="CH130" s="64"/>
      <c r="CI130" s="64"/>
      <c r="CJ130" s="64"/>
      <c r="CK130" s="64"/>
      <c r="CL130" s="64"/>
      <c r="CM130" s="64"/>
      <c r="CN130" s="64"/>
      <c r="CO130" s="64"/>
      <c r="CP130" s="64"/>
      <c r="CQ130" s="64"/>
      <c r="CR130" s="64"/>
      <c r="CS130" s="64"/>
      <c r="CT130" s="64"/>
      <c r="CU130" s="64"/>
      <c r="CV130" s="64"/>
      <c r="CW130" s="64"/>
      <c r="CX130" s="64"/>
      <c r="CY130" s="64"/>
      <c r="CZ130" s="64"/>
      <c r="DA130" s="64"/>
      <c r="DB130" s="64"/>
      <c r="DC130" s="64"/>
      <c r="DD130" s="64"/>
      <c r="DE130" s="64"/>
      <c r="DF130" s="64"/>
      <c r="DG130" s="64"/>
      <c r="DH130" s="64"/>
      <c r="DI130" s="64"/>
      <c r="DJ130" s="64"/>
      <c r="DK130" s="64"/>
      <c r="DL130" s="64"/>
      <c r="DM130" s="64"/>
      <c r="DN130" s="64"/>
      <c r="DO130" s="64"/>
      <c r="DP130" s="64"/>
      <c r="DQ130" s="64"/>
      <c r="DR130" s="64"/>
      <c r="DS130" s="64"/>
      <c r="DT130" s="64"/>
      <c r="DU130" s="64"/>
      <c r="DV130" s="64"/>
      <c r="DW130" s="64"/>
      <c r="DX130" s="64"/>
      <c r="DY130" s="64"/>
      <c r="DZ130" s="64"/>
      <c r="EA130" s="64"/>
      <c r="EB130" s="64"/>
      <c r="EC130" s="64"/>
      <c r="ED130" s="64"/>
    </row>
    <row r="131" spans="1:134" ht="15.75" customHeight="1">
      <c r="A131" s="65" t="s">
        <v>317</v>
      </c>
      <c r="B131" s="65" t="s">
        <v>392</v>
      </c>
      <c r="C131" s="65" t="s">
        <v>591</v>
      </c>
      <c r="D131" s="65" t="str">
        <f t="shared" si="0"/>
        <v>WR</v>
      </c>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64"/>
      <c r="BX131" s="64"/>
      <c r="BY131" s="64"/>
      <c r="BZ131" s="64"/>
      <c r="CA131" s="64"/>
      <c r="CB131" s="64"/>
      <c r="CC131" s="64"/>
      <c r="CD131" s="64"/>
      <c r="CE131" s="64"/>
      <c r="CF131" s="64"/>
      <c r="CG131" s="64"/>
      <c r="CH131" s="64"/>
      <c r="CI131" s="64"/>
      <c r="CJ131" s="64"/>
      <c r="CK131" s="64"/>
      <c r="CL131" s="64"/>
      <c r="CM131" s="64"/>
      <c r="CN131" s="64"/>
      <c r="CO131" s="64"/>
      <c r="CP131" s="64"/>
      <c r="CQ131" s="64"/>
      <c r="CR131" s="64"/>
      <c r="CS131" s="64"/>
      <c r="CT131" s="64"/>
      <c r="CU131" s="64"/>
      <c r="CV131" s="64"/>
      <c r="CW131" s="64"/>
      <c r="CX131" s="64"/>
      <c r="CY131" s="64"/>
      <c r="CZ131" s="64"/>
      <c r="DA131" s="64"/>
      <c r="DB131" s="64"/>
      <c r="DC131" s="64"/>
      <c r="DD131" s="64"/>
      <c r="DE131" s="64"/>
      <c r="DF131" s="64"/>
      <c r="DG131" s="64"/>
      <c r="DH131" s="64"/>
      <c r="DI131" s="64"/>
      <c r="DJ131" s="64"/>
      <c r="DK131" s="64"/>
      <c r="DL131" s="64"/>
      <c r="DM131" s="64"/>
      <c r="DN131" s="64"/>
      <c r="DO131" s="64"/>
      <c r="DP131" s="64"/>
      <c r="DQ131" s="64"/>
      <c r="DR131" s="64"/>
      <c r="DS131" s="64"/>
      <c r="DT131" s="64"/>
      <c r="DU131" s="64"/>
      <c r="DV131" s="64"/>
      <c r="DW131" s="64"/>
      <c r="DX131" s="64"/>
      <c r="DY131" s="64"/>
      <c r="DZ131" s="64"/>
      <c r="EA131" s="64"/>
      <c r="EB131" s="64"/>
      <c r="EC131" s="64"/>
      <c r="ED131" s="64"/>
    </row>
    <row r="132" spans="1:134" ht="15.75" customHeight="1">
      <c r="A132" s="65" t="s">
        <v>592</v>
      </c>
      <c r="B132" s="68" t="s">
        <v>417</v>
      </c>
      <c r="C132" s="65" t="s">
        <v>593</v>
      </c>
      <c r="D132" s="65" t="str">
        <f t="shared" si="0"/>
        <v>WR</v>
      </c>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64"/>
      <c r="BX132" s="64"/>
      <c r="BY132" s="64"/>
      <c r="BZ132" s="64"/>
      <c r="CA132" s="64"/>
      <c r="CB132" s="64"/>
      <c r="CC132" s="64"/>
      <c r="CD132" s="64"/>
      <c r="CE132" s="64"/>
      <c r="CF132" s="64"/>
      <c r="CG132" s="64"/>
      <c r="CH132" s="64"/>
      <c r="CI132" s="64"/>
      <c r="CJ132" s="64"/>
      <c r="CK132" s="64"/>
      <c r="CL132" s="64"/>
      <c r="CM132" s="64"/>
      <c r="CN132" s="64"/>
      <c r="CO132" s="64"/>
      <c r="CP132" s="64"/>
      <c r="CQ132" s="64"/>
      <c r="CR132" s="64"/>
      <c r="CS132" s="64"/>
      <c r="CT132" s="64"/>
      <c r="CU132" s="64"/>
      <c r="CV132" s="64"/>
      <c r="CW132" s="64"/>
      <c r="CX132" s="64"/>
      <c r="CY132" s="64"/>
      <c r="CZ132" s="64"/>
      <c r="DA132" s="64"/>
      <c r="DB132" s="64"/>
      <c r="DC132" s="64"/>
      <c r="DD132" s="64"/>
      <c r="DE132" s="64"/>
      <c r="DF132" s="64"/>
      <c r="DG132" s="64"/>
      <c r="DH132" s="64"/>
      <c r="DI132" s="64"/>
      <c r="DJ132" s="64"/>
      <c r="DK132" s="64"/>
      <c r="DL132" s="64"/>
      <c r="DM132" s="64"/>
      <c r="DN132" s="64"/>
      <c r="DO132" s="64"/>
      <c r="DP132" s="64"/>
      <c r="DQ132" s="64"/>
      <c r="DR132" s="64"/>
      <c r="DS132" s="64"/>
      <c r="DT132" s="64"/>
      <c r="DU132" s="64"/>
      <c r="DV132" s="64"/>
      <c r="DW132" s="64"/>
      <c r="DX132" s="64"/>
      <c r="DY132" s="64"/>
      <c r="DZ132" s="64"/>
      <c r="EA132" s="64"/>
      <c r="EB132" s="64"/>
      <c r="EC132" s="64"/>
      <c r="ED132" s="64"/>
    </row>
    <row r="133" spans="1:134" ht="15.75" customHeight="1">
      <c r="A133" s="65" t="s">
        <v>207</v>
      </c>
      <c r="B133" s="65" t="s">
        <v>398</v>
      </c>
      <c r="C133" s="65" t="s">
        <v>594</v>
      </c>
      <c r="D133" s="65" t="str">
        <f t="shared" si="0"/>
        <v>RB</v>
      </c>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64"/>
      <c r="BX133" s="64"/>
      <c r="BY133" s="64"/>
      <c r="BZ133" s="64"/>
      <c r="CA133" s="64"/>
      <c r="CB133" s="64"/>
      <c r="CC133" s="64"/>
      <c r="CD133" s="64"/>
      <c r="CE133" s="64"/>
      <c r="CF133" s="64"/>
      <c r="CG133" s="64"/>
      <c r="CH133" s="64"/>
      <c r="CI133" s="64"/>
      <c r="CJ133" s="64"/>
      <c r="CK133" s="64"/>
      <c r="CL133" s="64"/>
      <c r="CM133" s="64"/>
      <c r="CN133" s="64"/>
      <c r="CO133" s="64"/>
      <c r="CP133" s="64"/>
      <c r="CQ133" s="64"/>
      <c r="CR133" s="64"/>
      <c r="CS133" s="64"/>
      <c r="CT133" s="64"/>
      <c r="CU133" s="64"/>
      <c r="CV133" s="64"/>
      <c r="CW133" s="64"/>
      <c r="CX133" s="64"/>
      <c r="CY133" s="64"/>
      <c r="CZ133" s="64"/>
      <c r="DA133" s="64"/>
      <c r="DB133" s="64"/>
      <c r="DC133" s="64"/>
      <c r="DD133" s="64"/>
      <c r="DE133" s="64"/>
      <c r="DF133" s="64"/>
      <c r="DG133" s="64"/>
      <c r="DH133" s="64"/>
      <c r="DI133" s="64"/>
      <c r="DJ133" s="64"/>
      <c r="DK133" s="64"/>
      <c r="DL133" s="64"/>
      <c r="DM133" s="64"/>
      <c r="DN133" s="64"/>
      <c r="DO133" s="64"/>
      <c r="DP133" s="64"/>
      <c r="DQ133" s="64"/>
      <c r="DR133" s="64"/>
      <c r="DS133" s="64"/>
      <c r="DT133" s="64"/>
      <c r="DU133" s="64"/>
      <c r="DV133" s="64"/>
      <c r="DW133" s="64"/>
      <c r="DX133" s="64"/>
      <c r="DY133" s="64"/>
      <c r="DZ133" s="64"/>
      <c r="EA133" s="64"/>
      <c r="EB133" s="64"/>
      <c r="EC133" s="64"/>
      <c r="ED133" s="64"/>
    </row>
    <row r="134" spans="1:134" ht="15.75" customHeight="1">
      <c r="A134" s="65" t="s">
        <v>70</v>
      </c>
      <c r="B134" s="65" t="s">
        <v>390</v>
      </c>
      <c r="C134" s="65" t="s">
        <v>595</v>
      </c>
      <c r="D134" s="65" t="str">
        <f t="shared" si="0"/>
        <v>WR</v>
      </c>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64"/>
      <c r="BX134" s="64"/>
      <c r="BY134" s="64"/>
      <c r="BZ134" s="64"/>
      <c r="CA134" s="64"/>
      <c r="CB134" s="64"/>
      <c r="CC134" s="64"/>
      <c r="CD134" s="64"/>
      <c r="CE134" s="64"/>
      <c r="CF134" s="64"/>
      <c r="CG134" s="64"/>
      <c r="CH134" s="64"/>
      <c r="CI134" s="64"/>
      <c r="CJ134" s="64"/>
      <c r="CK134" s="64"/>
      <c r="CL134" s="64"/>
      <c r="CM134" s="64"/>
      <c r="CN134" s="64"/>
      <c r="CO134" s="64"/>
      <c r="CP134" s="64"/>
      <c r="CQ134" s="64"/>
      <c r="CR134" s="64"/>
      <c r="CS134" s="64"/>
      <c r="CT134" s="64"/>
      <c r="CU134" s="64"/>
      <c r="CV134" s="64"/>
      <c r="CW134" s="64"/>
      <c r="CX134" s="64"/>
      <c r="CY134" s="64"/>
      <c r="CZ134" s="64"/>
      <c r="DA134" s="64"/>
      <c r="DB134" s="64"/>
      <c r="DC134" s="64"/>
      <c r="DD134" s="64"/>
      <c r="DE134" s="64"/>
      <c r="DF134" s="64"/>
      <c r="DG134" s="64"/>
      <c r="DH134" s="64"/>
      <c r="DI134" s="64"/>
      <c r="DJ134" s="64"/>
      <c r="DK134" s="64"/>
      <c r="DL134" s="64"/>
      <c r="DM134" s="64"/>
      <c r="DN134" s="64"/>
      <c r="DO134" s="64"/>
      <c r="DP134" s="64"/>
      <c r="DQ134" s="64"/>
      <c r="DR134" s="64"/>
      <c r="DS134" s="64"/>
      <c r="DT134" s="64"/>
      <c r="DU134" s="64"/>
      <c r="DV134" s="64"/>
      <c r="DW134" s="64"/>
      <c r="DX134" s="64"/>
      <c r="DY134" s="64"/>
      <c r="DZ134" s="64"/>
      <c r="EA134" s="64"/>
      <c r="EB134" s="64"/>
      <c r="EC134" s="64"/>
      <c r="ED134" s="64"/>
    </row>
    <row r="135" spans="1:134" ht="15.75" customHeight="1">
      <c r="A135" s="65" t="s">
        <v>77</v>
      </c>
      <c r="B135" s="65" t="s">
        <v>411</v>
      </c>
      <c r="C135" s="65" t="s">
        <v>596</v>
      </c>
      <c r="D135" s="65" t="str">
        <f t="shared" si="0"/>
        <v>WR</v>
      </c>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64"/>
      <c r="BX135" s="64"/>
      <c r="BY135" s="64"/>
      <c r="BZ135" s="64"/>
      <c r="CA135" s="64"/>
      <c r="CB135" s="64"/>
      <c r="CC135" s="64"/>
      <c r="CD135" s="64"/>
      <c r="CE135" s="64"/>
      <c r="CF135" s="64"/>
      <c r="CG135" s="64"/>
      <c r="CH135" s="64"/>
      <c r="CI135" s="64"/>
      <c r="CJ135" s="64"/>
      <c r="CK135" s="64"/>
      <c r="CL135" s="64"/>
      <c r="CM135" s="64"/>
      <c r="CN135" s="64"/>
      <c r="CO135" s="64"/>
      <c r="CP135" s="64"/>
      <c r="CQ135" s="64"/>
      <c r="CR135" s="64"/>
      <c r="CS135" s="64"/>
      <c r="CT135" s="64"/>
      <c r="CU135" s="64"/>
      <c r="CV135" s="64"/>
      <c r="CW135" s="64"/>
      <c r="CX135" s="64"/>
      <c r="CY135" s="64"/>
      <c r="CZ135" s="64"/>
      <c r="DA135" s="64"/>
      <c r="DB135" s="64"/>
      <c r="DC135" s="64"/>
      <c r="DD135" s="64"/>
      <c r="DE135" s="64"/>
      <c r="DF135" s="64"/>
      <c r="DG135" s="64"/>
      <c r="DH135" s="64"/>
      <c r="DI135" s="64"/>
      <c r="DJ135" s="64"/>
      <c r="DK135" s="64"/>
      <c r="DL135" s="64"/>
      <c r="DM135" s="64"/>
      <c r="DN135" s="64"/>
      <c r="DO135" s="64"/>
      <c r="DP135" s="64"/>
      <c r="DQ135" s="64"/>
      <c r="DR135" s="64"/>
      <c r="DS135" s="64"/>
      <c r="DT135" s="64"/>
      <c r="DU135" s="64"/>
      <c r="DV135" s="64"/>
      <c r="DW135" s="64"/>
      <c r="DX135" s="64"/>
      <c r="DY135" s="64"/>
      <c r="DZ135" s="64"/>
      <c r="EA135" s="64"/>
      <c r="EB135" s="64"/>
      <c r="EC135" s="64"/>
      <c r="ED135" s="64"/>
    </row>
    <row r="136" spans="1:134" ht="15.75" customHeight="1">
      <c r="A136" s="65" t="s">
        <v>597</v>
      </c>
      <c r="B136" s="65" t="s">
        <v>409</v>
      </c>
      <c r="C136" s="65" t="s">
        <v>598</v>
      </c>
      <c r="D136" s="65" t="str">
        <f t="shared" si="0"/>
        <v>RB</v>
      </c>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64"/>
      <c r="BX136" s="64"/>
      <c r="BY136" s="64"/>
      <c r="BZ136" s="64"/>
      <c r="CA136" s="64"/>
      <c r="CB136" s="64"/>
      <c r="CC136" s="64"/>
      <c r="CD136" s="64"/>
      <c r="CE136" s="64"/>
      <c r="CF136" s="64"/>
      <c r="CG136" s="64"/>
      <c r="CH136" s="64"/>
      <c r="CI136" s="64"/>
      <c r="CJ136" s="64"/>
      <c r="CK136" s="64"/>
      <c r="CL136" s="64"/>
      <c r="CM136" s="64"/>
      <c r="CN136" s="64"/>
      <c r="CO136" s="64"/>
      <c r="CP136" s="64"/>
      <c r="CQ136" s="64"/>
      <c r="CR136" s="64"/>
      <c r="CS136" s="64"/>
      <c r="CT136" s="64"/>
      <c r="CU136" s="64"/>
      <c r="CV136" s="64"/>
      <c r="CW136" s="64"/>
      <c r="CX136" s="64"/>
      <c r="CY136" s="64"/>
      <c r="CZ136" s="64"/>
      <c r="DA136" s="64"/>
      <c r="DB136" s="64"/>
      <c r="DC136" s="64"/>
      <c r="DD136" s="64"/>
      <c r="DE136" s="64"/>
      <c r="DF136" s="64"/>
      <c r="DG136" s="64"/>
      <c r="DH136" s="64"/>
      <c r="DI136" s="64"/>
      <c r="DJ136" s="64"/>
      <c r="DK136" s="64"/>
      <c r="DL136" s="64"/>
      <c r="DM136" s="64"/>
      <c r="DN136" s="64"/>
      <c r="DO136" s="64"/>
      <c r="DP136" s="64"/>
      <c r="DQ136" s="64"/>
      <c r="DR136" s="64"/>
      <c r="DS136" s="64"/>
      <c r="DT136" s="64"/>
      <c r="DU136" s="64"/>
      <c r="DV136" s="64"/>
      <c r="DW136" s="64"/>
      <c r="DX136" s="64"/>
      <c r="DY136" s="64"/>
      <c r="DZ136" s="64"/>
      <c r="EA136" s="64"/>
      <c r="EB136" s="64"/>
      <c r="EC136" s="64"/>
      <c r="ED136" s="64"/>
    </row>
    <row r="137" spans="1:134" ht="15.75" customHeight="1">
      <c r="A137" s="65" t="s">
        <v>599</v>
      </c>
      <c r="B137" s="65" t="s">
        <v>403</v>
      </c>
      <c r="C137" s="65" t="s">
        <v>600</v>
      </c>
      <c r="D137" s="65" t="str">
        <f t="shared" si="0"/>
        <v>WR</v>
      </c>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64"/>
      <c r="BX137" s="64"/>
      <c r="BY137" s="64"/>
      <c r="BZ137" s="64"/>
      <c r="CA137" s="64"/>
      <c r="CB137" s="64"/>
      <c r="CC137" s="64"/>
      <c r="CD137" s="64"/>
      <c r="CE137" s="64"/>
      <c r="CF137" s="64"/>
      <c r="CG137" s="64"/>
      <c r="CH137" s="64"/>
      <c r="CI137" s="64"/>
      <c r="CJ137" s="64"/>
      <c r="CK137" s="64"/>
      <c r="CL137" s="64"/>
      <c r="CM137" s="64"/>
      <c r="CN137" s="64"/>
      <c r="CO137" s="64"/>
      <c r="CP137" s="64"/>
      <c r="CQ137" s="64"/>
      <c r="CR137" s="64"/>
      <c r="CS137" s="64"/>
      <c r="CT137" s="64"/>
      <c r="CU137" s="64"/>
      <c r="CV137" s="64"/>
      <c r="CW137" s="64"/>
      <c r="CX137" s="64"/>
      <c r="CY137" s="64"/>
      <c r="CZ137" s="64"/>
      <c r="DA137" s="64"/>
      <c r="DB137" s="64"/>
      <c r="DC137" s="64"/>
      <c r="DD137" s="64"/>
      <c r="DE137" s="64"/>
      <c r="DF137" s="64"/>
      <c r="DG137" s="64"/>
      <c r="DH137" s="64"/>
      <c r="DI137" s="64"/>
      <c r="DJ137" s="64"/>
      <c r="DK137" s="64"/>
      <c r="DL137" s="64"/>
      <c r="DM137" s="64"/>
      <c r="DN137" s="64"/>
      <c r="DO137" s="64"/>
      <c r="DP137" s="64"/>
      <c r="DQ137" s="64"/>
      <c r="DR137" s="64"/>
      <c r="DS137" s="64"/>
      <c r="DT137" s="64"/>
      <c r="DU137" s="64"/>
      <c r="DV137" s="64"/>
      <c r="DW137" s="64"/>
      <c r="DX137" s="64"/>
      <c r="DY137" s="64"/>
      <c r="DZ137" s="64"/>
      <c r="EA137" s="64"/>
      <c r="EB137" s="64"/>
      <c r="EC137" s="64"/>
      <c r="ED137" s="64"/>
    </row>
    <row r="138" spans="1:134" ht="15.75" customHeight="1">
      <c r="A138" s="65" t="s">
        <v>294</v>
      </c>
      <c r="B138" s="65" t="s">
        <v>396</v>
      </c>
      <c r="C138" s="65" t="s">
        <v>601</v>
      </c>
      <c r="D138" s="65" t="str">
        <f t="shared" si="0"/>
        <v>WR</v>
      </c>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64"/>
      <c r="BX138" s="64"/>
      <c r="BY138" s="64"/>
      <c r="BZ138" s="64"/>
      <c r="CA138" s="64"/>
      <c r="CB138" s="64"/>
      <c r="CC138" s="64"/>
      <c r="CD138" s="64"/>
      <c r="CE138" s="64"/>
      <c r="CF138" s="64"/>
      <c r="CG138" s="64"/>
      <c r="CH138" s="64"/>
      <c r="CI138" s="64"/>
      <c r="CJ138" s="64"/>
      <c r="CK138" s="64"/>
      <c r="CL138" s="64"/>
      <c r="CM138" s="64"/>
      <c r="CN138" s="64"/>
      <c r="CO138" s="64"/>
      <c r="CP138" s="64"/>
      <c r="CQ138" s="64"/>
      <c r="CR138" s="64"/>
      <c r="CS138" s="64"/>
      <c r="CT138" s="64"/>
      <c r="CU138" s="64"/>
      <c r="CV138" s="64"/>
      <c r="CW138" s="64"/>
      <c r="CX138" s="64"/>
      <c r="CY138" s="64"/>
      <c r="CZ138" s="64"/>
      <c r="DA138" s="64"/>
      <c r="DB138" s="64"/>
      <c r="DC138" s="64"/>
      <c r="DD138" s="64"/>
      <c r="DE138" s="64"/>
      <c r="DF138" s="64"/>
      <c r="DG138" s="64"/>
      <c r="DH138" s="64"/>
      <c r="DI138" s="64"/>
      <c r="DJ138" s="64"/>
      <c r="DK138" s="64"/>
      <c r="DL138" s="64"/>
      <c r="DM138" s="64"/>
      <c r="DN138" s="64"/>
      <c r="DO138" s="64"/>
      <c r="DP138" s="64"/>
      <c r="DQ138" s="64"/>
      <c r="DR138" s="64"/>
      <c r="DS138" s="64"/>
      <c r="DT138" s="64"/>
      <c r="DU138" s="64"/>
      <c r="DV138" s="64"/>
      <c r="DW138" s="64"/>
      <c r="DX138" s="64"/>
      <c r="DY138" s="64"/>
      <c r="DZ138" s="64"/>
      <c r="EA138" s="64"/>
      <c r="EB138" s="64"/>
      <c r="EC138" s="64"/>
      <c r="ED138" s="64"/>
    </row>
    <row r="139" spans="1:134" ht="15.75" customHeight="1">
      <c r="A139" s="65" t="s">
        <v>40</v>
      </c>
      <c r="B139" s="65" t="s">
        <v>386</v>
      </c>
      <c r="C139" s="65" t="s">
        <v>602</v>
      </c>
      <c r="D139" s="65" t="str">
        <f t="shared" si="0"/>
        <v>WR</v>
      </c>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64"/>
      <c r="BX139" s="64"/>
      <c r="BY139" s="64"/>
      <c r="BZ139" s="64"/>
      <c r="CA139" s="64"/>
      <c r="CB139" s="64"/>
      <c r="CC139" s="64"/>
      <c r="CD139" s="64"/>
      <c r="CE139" s="64"/>
      <c r="CF139" s="64"/>
      <c r="CG139" s="64"/>
      <c r="CH139" s="64"/>
      <c r="CI139" s="64"/>
      <c r="CJ139" s="64"/>
      <c r="CK139" s="64"/>
      <c r="CL139" s="64"/>
      <c r="CM139" s="64"/>
      <c r="CN139" s="64"/>
      <c r="CO139" s="64"/>
      <c r="CP139" s="64"/>
      <c r="CQ139" s="64"/>
      <c r="CR139" s="64"/>
      <c r="CS139" s="64"/>
      <c r="CT139" s="64"/>
      <c r="CU139" s="64"/>
      <c r="CV139" s="64"/>
      <c r="CW139" s="64"/>
      <c r="CX139" s="64"/>
      <c r="CY139" s="64"/>
      <c r="CZ139" s="64"/>
      <c r="DA139" s="64"/>
      <c r="DB139" s="64"/>
      <c r="DC139" s="64"/>
      <c r="DD139" s="64"/>
      <c r="DE139" s="64"/>
      <c r="DF139" s="64"/>
      <c r="DG139" s="64"/>
      <c r="DH139" s="64"/>
      <c r="DI139" s="64"/>
      <c r="DJ139" s="64"/>
      <c r="DK139" s="64"/>
      <c r="DL139" s="64"/>
      <c r="DM139" s="64"/>
      <c r="DN139" s="64"/>
      <c r="DO139" s="64"/>
      <c r="DP139" s="64"/>
      <c r="DQ139" s="64"/>
      <c r="DR139" s="64"/>
      <c r="DS139" s="64"/>
      <c r="DT139" s="64"/>
      <c r="DU139" s="64"/>
      <c r="DV139" s="64"/>
      <c r="DW139" s="64"/>
      <c r="DX139" s="64"/>
      <c r="DY139" s="64"/>
      <c r="DZ139" s="64"/>
      <c r="EA139" s="64"/>
      <c r="EB139" s="64"/>
      <c r="EC139" s="64"/>
      <c r="ED139" s="64"/>
    </row>
    <row r="140" spans="1:134" ht="15.75" customHeight="1">
      <c r="A140" s="65" t="s">
        <v>179</v>
      </c>
      <c r="B140" s="65" t="s">
        <v>406</v>
      </c>
      <c r="C140" s="65" t="s">
        <v>603</v>
      </c>
      <c r="D140" s="65" t="str">
        <f t="shared" si="0"/>
        <v>QB</v>
      </c>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64"/>
      <c r="BX140" s="64"/>
      <c r="BY140" s="64"/>
      <c r="BZ140" s="64"/>
      <c r="CA140" s="64"/>
      <c r="CB140" s="64"/>
      <c r="CC140" s="64"/>
      <c r="CD140" s="64"/>
      <c r="CE140" s="64"/>
      <c r="CF140" s="64"/>
      <c r="CG140" s="64"/>
      <c r="CH140" s="64"/>
      <c r="CI140" s="64"/>
      <c r="CJ140" s="64"/>
      <c r="CK140" s="64"/>
      <c r="CL140" s="64"/>
      <c r="CM140" s="64"/>
      <c r="CN140" s="64"/>
      <c r="CO140" s="64"/>
      <c r="CP140" s="64"/>
      <c r="CQ140" s="64"/>
      <c r="CR140" s="64"/>
      <c r="CS140" s="64"/>
      <c r="CT140" s="64"/>
      <c r="CU140" s="64"/>
      <c r="CV140" s="64"/>
      <c r="CW140" s="64"/>
      <c r="CX140" s="64"/>
      <c r="CY140" s="64"/>
      <c r="CZ140" s="64"/>
      <c r="DA140" s="64"/>
      <c r="DB140" s="64"/>
      <c r="DC140" s="64"/>
      <c r="DD140" s="64"/>
      <c r="DE140" s="64"/>
      <c r="DF140" s="64"/>
      <c r="DG140" s="64"/>
      <c r="DH140" s="64"/>
      <c r="DI140" s="64"/>
      <c r="DJ140" s="64"/>
      <c r="DK140" s="64"/>
      <c r="DL140" s="64"/>
      <c r="DM140" s="64"/>
      <c r="DN140" s="64"/>
      <c r="DO140" s="64"/>
      <c r="DP140" s="64"/>
      <c r="DQ140" s="64"/>
      <c r="DR140" s="64"/>
      <c r="DS140" s="64"/>
      <c r="DT140" s="64"/>
      <c r="DU140" s="64"/>
      <c r="DV140" s="64"/>
      <c r="DW140" s="64"/>
      <c r="DX140" s="64"/>
      <c r="DY140" s="64"/>
      <c r="DZ140" s="64"/>
      <c r="EA140" s="64"/>
      <c r="EB140" s="64"/>
      <c r="EC140" s="64"/>
      <c r="ED140" s="64"/>
    </row>
    <row r="141" spans="1:134" ht="15.75" customHeight="1">
      <c r="A141" s="65" t="s">
        <v>299</v>
      </c>
      <c r="B141" s="65" t="s">
        <v>399</v>
      </c>
      <c r="C141" s="65" t="s">
        <v>604</v>
      </c>
      <c r="D141" s="65" t="str">
        <f t="shared" si="0"/>
        <v>WR</v>
      </c>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64"/>
      <c r="BX141" s="64"/>
      <c r="BY141" s="64"/>
      <c r="BZ141" s="64"/>
      <c r="CA141" s="64"/>
      <c r="CB141" s="64"/>
      <c r="CC141" s="64"/>
      <c r="CD141" s="64"/>
      <c r="CE141" s="64"/>
      <c r="CF141" s="64"/>
      <c r="CG141" s="64"/>
      <c r="CH141" s="64"/>
      <c r="CI141" s="64"/>
      <c r="CJ141" s="64"/>
      <c r="CK141" s="64"/>
      <c r="CL141" s="64"/>
      <c r="CM141" s="64"/>
      <c r="CN141" s="64"/>
      <c r="CO141" s="64"/>
      <c r="CP141" s="64"/>
      <c r="CQ141" s="64"/>
      <c r="CR141" s="64"/>
      <c r="CS141" s="64"/>
      <c r="CT141" s="64"/>
      <c r="CU141" s="64"/>
      <c r="CV141" s="64"/>
      <c r="CW141" s="64"/>
      <c r="CX141" s="64"/>
      <c r="CY141" s="64"/>
      <c r="CZ141" s="64"/>
      <c r="DA141" s="64"/>
      <c r="DB141" s="64"/>
      <c r="DC141" s="64"/>
      <c r="DD141" s="64"/>
      <c r="DE141" s="64"/>
      <c r="DF141" s="64"/>
      <c r="DG141" s="64"/>
      <c r="DH141" s="64"/>
      <c r="DI141" s="64"/>
      <c r="DJ141" s="64"/>
      <c r="DK141" s="64"/>
      <c r="DL141" s="64"/>
      <c r="DM141" s="64"/>
      <c r="DN141" s="64"/>
      <c r="DO141" s="64"/>
      <c r="DP141" s="64"/>
      <c r="DQ141" s="64"/>
      <c r="DR141" s="64"/>
      <c r="DS141" s="64"/>
      <c r="DT141" s="64"/>
      <c r="DU141" s="64"/>
      <c r="DV141" s="64"/>
      <c r="DW141" s="64"/>
      <c r="DX141" s="64"/>
      <c r="DY141" s="64"/>
      <c r="DZ141" s="64"/>
      <c r="EA141" s="64"/>
      <c r="EB141" s="64"/>
      <c r="EC141" s="64"/>
      <c r="ED141" s="64"/>
    </row>
    <row r="142" spans="1:134" ht="15.75" customHeight="1">
      <c r="A142" s="65" t="s">
        <v>605</v>
      </c>
      <c r="B142" s="65" t="s">
        <v>403</v>
      </c>
      <c r="C142" s="65" t="s">
        <v>606</v>
      </c>
      <c r="D142" s="65" t="str">
        <f t="shared" si="0"/>
        <v>RB</v>
      </c>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c r="CI142" s="64"/>
      <c r="CJ142" s="64"/>
      <c r="CK142" s="64"/>
      <c r="CL142" s="64"/>
      <c r="CM142" s="64"/>
      <c r="CN142" s="64"/>
      <c r="CO142" s="64"/>
      <c r="CP142" s="64"/>
      <c r="CQ142" s="64"/>
      <c r="CR142" s="64"/>
      <c r="CS142" s="64"/>
      <c r="CT142" s="64"/>
      <c r="CU142" s="64"/>
      <c r="CV142" s="64"/>
      <c r="CW142" s="64"/>
      <c r="CX142" s="64"/>
      <c r="CY142" s="64"/>
      <c r="CZ142" s="64"/>
      <c r="DA142" s="64"/>
      <c r="DB142" s="64"/>
      <c r="DC142" s="64"/>
      <c r="DD142" s="64"/>
      <c r="DE142" s="64"/>
      <c r="DF142" s="64"/>
      <c r="DG142" s="64"/>
      <c r="DH142" s="64"/>
      <c r="DI142" s="64"/>
      <c r="DJ142" s="64"/>
      <c r="DK142" s="64"/>
      <c r="DL142" s="64"/>
      <c r="DM142" s="64"/>
      <c r="DN142" s="64"/>
      <c r="DO142" s="64"/>
      <c r="DP142" s="64"/>
      <c r="DQ142" s="64"/>
      <c r="DR142" s="64"/>
      <c r="DS142" s="64"/>
      <c r="DT142" s="64"/>
      <c r="DU142" s="64"/>
      <c r="DV142" s="64"/>
      <c r="DW142" s="64"/>
      <c r="DX142" s="64"/>
      <c r="DY142" s="64"/>
      <c r="DZ142" s="64"/>
      <c r="EA142" s="64"/>
      <c r="EB142" s="64"/>
      <c r="EC142" s="64"/>
      <c r="ED142" s="64"/>
    </row>
    <row r="143" spans="1:134" ht="15.75" customHeight="1">
      <c r="A143" s="65" t="s">
        <v>173</v>
      </c>
      <c r="B143" s="65" t="s">
        <v>392</v>
      </c>
      <c r="C143" s="65" t="s">
        <v>607</v>
      </c>
      <c r="D143" s="65" t="str">
        <f t="shared" si="0"/>
        <v>RB</v>
      </c>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64"/>
      <c r="BX143" s="64"/>
      <c r="BY143" s="64"/>
      <c r="BZ143" s="64"/>
      <c r="CA143" s="64"/>
      <c r="CB143" s="64"/>
      <c r="CC143" s="64"/>
      <c r="CD143" s="64"/>
      <c r="CE143" s="64"/>
      <c r="CF143" s="64"/>
      <c r="CG143" s="64"/>
      <c r="CH143" s="64"/>
      <c r="CI143" s="64"/>
      <c r="CJ143" s="64"/>
      <c r="CK143" s="64"/>
      <c r="CL143" s="64"/>
      <c r="CM143" s="64"/>
      <c r="CN143" s="64"/>
      <c r="CO143" s="64"/>
      <c r="CP143" s="64"/>
      <c r="CQ143" s="64"/>
      <c r="CR143" s="64"/>
      <c r="CS143" s="64"/>
      <c r="CT143" s="64"/>
      <c r="CU143" s="64"/>
      <c r="CV143" s="64"/>
      <c r="CW143" s="64"/>
      <c r="CX143" s="64"/>
      <c r="CY143" s="64"/>
      <c r="CZ143" s="64"/>
      <c r="DA143" s="64"/>
      <c r="DB143" s="64"/>
      <c r="DC143" s="64"/>
      <c r="DD143" s="64"/>
      <c r="DE143" s="64"/>
      <c r="DF143" s="64"/>
      <c r="DG143" s="64"/>
      <c r="DH143" s="64"/>
      <c r="DI143" s="64"/>
      <c r="DJ143" s="64"/>
      <c r="DK143" s="64"/>
      <c r="DL143" s="64"/>
      <c r="DM143" s="64"/>
      <c r="DN143" s="64"/>
      <c r="DO143" s="64"/>
      <c r="DP143" s="64"/>
      <c r="DQ143" s="64"/>
      <c r="DR143" s="64"/>
      <c r="DS143" s="64"/>
      <c r="DT143" s="64"/>
      <c r="DU143" s="64"/>
      <c r="DV143" s="64"/>
      <c r="DW143" s="64"/>
      <c r="DX143" s="64"/>
      <c r="DY143" s="64"/>
      <c r="DZ143" s="64"/>
      <c r="EA143" s="64"/>
      <c r="EB143" s="64"/>
      <c r="EC143" s="64"/>
      <c r="ED143" s="64"/>
    </row>
    <row r="144" spans="1:134" ht="15.75" customHeight="1">
      <c r="A144" s="65" t="s">
        <v>608</v>
      </c>
      <c r="B144" s="65" t="s">
        <v>417</v>
      </c>
      <c r="C144" s="65" t="s">
        <v>609</v>
      </c>
      <c r="D144" s="65" t="str">
        <f t="shared" si="0"/>
        <v>K</v>
      </c>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64"/>
      <c r="BX144" s="64"/>
      <c r="BY144" s="64"/>
      <c r="BZ144" s="64"/>
      <c r="CA144" s="64"/>
      <c r="CB144" s="64"/>
      <c r="CC144" s="64"/>
      <c r="CD144" s="64"/>
      <c r="CE144" s="64"/>
      <c r="CF144" s="64"/>
      <c r="CG144" s="64"/>
      <c r="CH144" s="64"/>
      <c r="CI144" s="64"/>
      <c r="CJ144" s="64"/>
      <c r="CK144" s="64"/>
      <c r="CL144" s="64"/>
      <c r="CM144" s="64"/>
      <c r="CN144" s="64"/>
      <c r="CO144" s="64"/>
      <c r="CP144" s="64"/>
      <c r="CQ144" s="64"/>
      <c r="CR144" s="64"/>
      <c r="CS144" s="64"/>
      <c r="CT144" s="64"/>
      <c r="CU144" s="64"/>
      <c r="CV144" s="64"/>
      <c r="CW144" s="64"/>
      <c r="CX144" s="64"/>
      <c r="CY144" s="64"/>
      <c r="CZ144" s="64"/>
      <c r="DA144" s="64"/>
      <c r="DB144" s="64"/>
      <c r="DC144" s="64"/>
      <c r="DD144" s="64"/>
      <c r="DE144" s="64"/>
      <c r="DF144" s="64"/>
      <c r="DG144" s="64"/>
      <c r="DH144" s="64"/>
      <c r="DI144" s="64"/>
      <c r="DJ144" s="64"/>
      <c r="DK144" s="64"/>
      <c r="DL144" s="64"/>
      <c r="DM144" s="64"/>
      <c r="DN144" s="64"/>
      <c r="DO144" s="64"/>
      <c r="DP144" s="64"/>
      <c r="DQ144" s="64"/>
      <c r="DR144" s="64"/>
      <c r="DS144" s="64"/>
      <c r="DT144" s="64"/>
      <c r="DU144" s="64"/>
      <c r="DV144" s="64"/>
      <c r="DW144" s="64"/>
      <c r="DX144" s="64"/>
      <c r="DY144" s="64"/>
      <c r="DZ144" s="64"/>
      <c r="EA144" s="64"/>
      <c r="EB144" s="64"/>
      <c r="EC144" s="64"/>
      <c r="ED144" s="64"/>
    </row>
    <row r="145" spans="1:134" ht="15.75" customHeight="1">
      <c r="A145" s="65" t="s">
        <v>610</v>
      </c>
      <c r="B145" s="65" t="s">
        <v>406</v>
      </c>
      <c r="C145" s="65" t="s">
        <v>611</v>
      </c>
      <c r="D145" s="65" t="str">
        <f t="shared" si="0"/>
        <v>WR</v>
      </c>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64"/>
      <c r="BX145" s="64"/>
      <c r="BY145" s="64"/>
      <c r="BZ145" s="64"/>
      <c r="CA145" s="64"/>
      <c r="CB145" s="64"/>
      <c r="CC145" s="64"/>
      <c r="CD145" s="64"/>
      <c r="CE145" s="64"/>
      <c r="CF145" s="64"/>
      <c r="CG145" s="64"/>
      <c r="CH145" s="64"/>
      <c r="CI145" s="64"/>
      <c r="CJ145" s="64"/>
      <c r="CK145" s="64"/>
      <c r="CL145" s="64"/>
      <c r="CM145" s="64"/>
      <c r="CN145" s="64"/>
      <c r="CO145" s="64"/>
      <c r="CP145" s="64"/>
      <c r="CQ145" s="64"/>
      <c r="CR145" s="64"/>
      <c r="CS145" s="64"/>
      <c r="CT145" s="64"/>
      <c r="CU145" s="64"/>
      <c r="CV145" s="64"/>
      <c r="CW145" s="64"/>
      <c r="CX145" s="64"/>
      <c r="CY145" s="64"/>
      <c r="CZ145" s="64"/>
      <c r="DA145" s="64"/>
      <c r="DB145" s="64"/>
      <c r="DC145" s="64"/>
      <c r="DD145" s="64"/>
      <c r="DE145" s="64"/>
      <c r="DF145" s="64"/>
      <c r="DG145" s="64"/>
      <c r="DH145" s="64"/>
      <c r="DI145" s="64"/>
      <c r="DJ145" s="64"/>
      <c r="DK145" s="64"/>
      <c r="DL145" s="64"/>
      <c r="DM145" s="64"/>
      <c r="DN145" s="64"/>
      <c r="DO145" s="64"/>
      <c r="DP145" s="64"/>
      <c r="DQ145" s="64"/>
      <c r="DR145" s="64"/>
      <c r="DS145" s="64"/>
      <c r="DT145" s="64"/>
      <c r="DU145" s="64"/>
      <c r="DV145" s="64"/>
      <c r="DW145" s="64"/>
      <c r="DX145" s="64"/>
      <c r="DY145" s="64"/>
      <c r="DZ145" s="64"/>
      <c r="EA145" s="64"/>
      <c r="EB145" s="64"/>
      <c r="EC145" s="64"/>
      <c r="ED145" s="64"/>
    </row>
    <row r="146" spans="1:134" ht="15.75" customHeight="1">
      <c r="A146" s="65" t="s">
        <v>284</v>
      </c>
      <c r="B146" s="65" t="s">
        <v>415</v>
      </c>
      <c r="C146" s="65" t="s">
        <v>612</v>
      </c>
      <c r="D146" s="65" t="str">
        <f t="shared" si="0"/>
        <v>WR</v>
      </c>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64"/>
      <c r="BX146" s="64"/>
      <c r="BY146" s="64"/>
      <c r="BZ146" s="64"/>
      <c r="CA146" s="64"/>
      <c r="CB146" s="64"/>
      <c r="CC146" s="64"/>
      <c r="CD146" s="64"/>
      <c r="CE146" s="64"/>
      <c r="CF146" s="64"/>
      <c r="CG146" s="64"/>
      <c r="CH146" s="64"/>
      <c r="CI146" s="64"/>
      <c r="CJ146" s="64"/>
      <c r="CK146" s="64"/>
      <c r="CL146" s="64"/>
      <c r="CM146" s="64"/>
      <c r="CN146" s="64"/>
      <c r="CO146" s="64"/>
      <c r="CP146" s="64"/>
      <c r="CQ146" s="64"/>
      <c r="CR146" s="64"/>
      <c r="CS146" s="64"/>
      <c r="CT146" s="64"/>
      <c r="CU146" s="64"/>
      <c r="CV146" s="64"/>
      <c r="CW146" s="64"/>
      <c r="CX146" s="64"/>
      <c r="CY146" s="64"/>
      <c r="CZ146" s="64"/>
      <c r="DA146" s="64"/>
      <c r="DB146" s="64"/>
      <c r="DC146" s="64"/>
      <c r="DD146" s="64"/>
      <c r="DE146" s="64"/>
      <c r="DF146" s="64"/>
      <c r="DG146" s="64"/>
      <c r="DH146" s="64"/>
      <c r="DI146" s="64"/>
      <c r="DJ146" s="64"/>
      <c r="DK146" s="64"/>
      <c r="DL146" s="64"/>
      <c r="DM146" s="64"/>
      <c r="DN146" s="64"/>
      <c r="DO146" s="64"/>
      <c r="DP146" s="64"/>
      <c r="DQ146" s="64"/>
      <c r="DR146" s="64"/>
      <c r="DS146" s="64"/>
      <c r="DT146" s="64"/>
      <c r="DU146" s="64"/>
      <c r="DV146" s="64"/>
      <c r="DW146" s="64"/>
      <c r="DX146" s="64"/>
      <c r="DY146" s="64"/>
      <c r="DZ146" s="64"/>
      <c r="EA146" s="64"/>
      <c r="EB146" s="64"/>
      <c r="EC146" s="64"/>
      <c r="ED146" s="64"/>
    </row>
    <row r="147" spans="1:134" ht="15.75" customHeight="1">
      <c r="A147" s="65" t="s">
        <v>193</v>
      </c>
      <c r="B147" s="65" t="s">
        <v>412</v>
      </c>
      <c r="C147" s="65" t="s">
        <v>613</v>
      </c>
      <c r="D147" s="65" t="str">
        <f t="shared" si="0"/>
        <v>TE</v>
      </c>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64"/>
      <c r="BX147" s="64"/>
      <c r="BY147" s="64"/>
      <c r="BZ147" s="64"/>
      <c r="CA147" s="64"/>
      <c r="CB147" s="64"/>
      <c r="CC147" s="64"/>
      <c r="CD147" s="64"/>
      <c r="CE147" s="64"/>
      <c r="CF147" s="64"/>
      <c r="CG147" s="64"/>
      <c r="CH147" s="64"/>
      <c r="CI147" s="64"/>
      <c r="CJ147" s="64"/>
      <c r="CK147" s="64"/>
      <c r="CL147" s="64"/>
      <c r="CM147" s="64"/>
      <c r="CN147" s="64"/>
      <c r="CO147" s="64"/>
      <c r="CP147" s="64"/>
      <c r="CQ147" s="64"/>
      <c r="CR147" s="64"/>
      <c r="CS147" s="64"/>
      <c r="CT147" s="64"/>
      <c r="CU147" s="64"/>
      <c r="CV147" s="64"/>
      <c r="CW147" s="64"/>
      <c r="CX147" s="64"/>
      <c r="CY147" s="64"/>
      <c r="CZ147" s="64"/>
      <c r="DA147" s="64"/>
      <c r="DB147" s="64"/>
      <c r="DC147" s="64"/>
      <c r="DD147" s="64"/>
      <c r="DE147" s="64"/>
      <c r="DF147" s="64"/>
      <c r="DG147" s="64"/>
      <c r="DH147" s="64"/>
      <c r="DI147" s="64"/>
      <c r="DJ147" s="64"/>
      <c r="DK147" s="64"/>
      <c r="DL147" s="64"/>
      <c r="DM147" s="64"/>
      <c r="DN147" s="64"/>
      <c r="DO147" s="64"/>
      <c r="DP147" s="64"/>
      <c r="DQ147" s="64"/>
      <c r="DR147" s="64"/>
      <c r="DS147" s="64"/>
      <c r="DT147" s="64"/>
      <c r="DU147" s="64"/>
      <c r="DV147" s="64"/>
      <c r="DW147" s="64"/>
      <c r="DX147" s="64"/>
      <c r="DY147" s="64"/>
      <c r="DZ147" s="64"/>
      <c r="EA147" s="64"/>
      <c r="EB147" s="64"/>
      <c r="EC147" s="64"/>
      <c r="ED147" s="64"/>
    </row>
    <row r="148" spans="1:134" ht="15.75" customHeight="1">
      <c r="A148" s="65" t="s">
        <v>614</v>
      </c>
      <c r="B148" s="65" t="s">
        <v>385</v>
      </c>
      <c r="C148" s="65" t="s">
        <v>615</v>
      </c>
      <c r="D148" s="65" t="str">
        <f t="shared" si="0"/>
        <v>TE</v>
      </c>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64"/>
      <c r="BX148" s="64"/>
      <c r="BY148" s="64"/>
      <c r="BZ148" s="64"/>
      <c r="CA148" s="64"/>
      <c r="CB148" s="64"/>
      <c r="CC148" s="64"/>
      <c r="CD148" s="64"/>
      <c r="CE148" s="64"/>
      <c r="CF148" s="64"/>
      <c r="CG148" s="64"/>
      <c r="CH148" s="64"/>
      <c r="CI148" s="64"/>
      <c r="CJ148" s="64"/>
      <c r="CK148" s="64"/>
      <c r="CL148" s="64"/>
      <c r="CM148" s="64"/>
      <c r="CN148" s="64"/>
      <c r="CO148" s="64"/>
      <c r="CP148" s="64"/>
      <c r="CQ148" s="64"/>
      <c r="CR148" s="64"/>
      <c r="CS148" s="64"/>
      <c r="CT148" s="64"/>
      <c r="CU148" s="64"/>
      <c r="CV148" s="64"/>
      <c r="CW148" s="64"/>
      <c r="CX148" s="64"/>
      <c r="CY148" s="64"/>
      <c r="CZ148" s="64"/>
      <c r="DA148" s="64"/>
      <c r="DB148" s="64"/>
      <c r="DC148" s="64"/>
      <c r="DD148" s="64"/>
      <c r="DE148" s="64"/>
      <c r="DF148" s="64"/>
      <c r="DG148" s="64"/>
      <c r="DH148" s="64"/>
      <c r="DI148" s="64"/>
      <c r="DJ148" s="64"/>
      <c r="DK148" s="64"/>
      <c r="DL148" s="64"/>
      <c r="DM148" s="64"/>
      <c r="DN148" s="64"/>
      <c r="DO148" s="64"/>
      <c r="DP148" s="64"/>
      <c r="DQ148" s="64"/>
      <c r="DR148" s="64"/>
      <c r="DS148" s="64"/>
      <c r="DT148" s="64"/>
      <c r="DU148" s="64"/>
      <c r="DV148" s="64"/>
      <c r="DW148" s="64"/>
      <c r="DX148" s="64"/>
      <c r="DY148" s="64"/>
      <c r="DZ148" s="64"/>
      <c r="EA148" s="64"/>
      <c r="EB148" s="64"/>
      <c r="EC148" s="64"/>
      <c r="ED148" s="64"/>
    </row>
    <row r="149" spans="1:134" ht="15.75" customHeight="1">
      <c r="A149" s="65" t="s">
        <v>324</v>
      </c>
      <c r="B149" s="65" t="s">
        <v>400</v>
      </c>
      <c r="C149" s="65" t="s">
        <v>616</v>
      </c>
      <c r="D149" s="65" t="str">
        <f t="shared" si="0"/>
        <v>RB</v>
      </c>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64"/>
      <c r="BX149" s="64"/>
      <c r="BY149" s="64"/>
      <c r="BZ149" s="64"/>
      <c r="CA149" s="64"/>
      <c r="CB149" s="64"/>
      <c r="CC149" s="64"/>
      <c r="CD149" s="64"/>
      <c r="CE149" s="64"/>
      <c r="CF149" s="64"/>
      <c r="CG149" s="64"/>
      <c r="CH149" s="64"/>
      <c r="CI149" s="64"/>
      <c r="CJ149" s="64"/>
      <c r="CK149" s="64"/>
      <c r="CL149" s="64"/>
      <c r="CM149" s="64"/>
      <c r="CN149" s="64"/>
      <c r="CO149" s="64"/>
      <c r="CP149" s="64"/>
      <c r="CQ149" s="64"/>
      <c r="CR149" s="64"/>
      <c r="CS149" s="64"/>
      <c r="CT149" s="64"/>
      <c r="CU149" s="64"/>
      <c r="CV149" s="64"/>
      <c r="CW149" s="64"/>
      <c r="CX149" s="64"/>
      <c r="CY149" s="64"/>
      <c r="CZ149" s="64"/>
      <c r="DA149" s="64"/>
      <c r="DB149" s="64"/>
      <c r="DC149" s="64"/>
      <c r="DD149" s="64"/>
      <c r="DE149" s="64"/>
      <c r="DF149" s="64"/>
      <c r="DG149" s="64"/>
      <c r="DH149" s="64"/>
      <c r="DI149" s="64"/>
      <c r="DJ149" s="64"/>
      <c r="DK149" s="64"/>
      <c r="DL149" s="64"/>
      <c r="DM149" s="64"/>
      <c r="DN149" s="64"/>
      <c r="DO149" s="64"/>
      <c r="DP149" s="64"/>
      <c r="DQ149" s="64"/>
      <c r="DR149" s="64"/>
      <c r="DS149" s="64"/>
      <c r="DT149" s="64"/>
      <c r="DU149" s="64"/>
      <c r="DV149" s="64"/>
      <c r="DW149" s="64"/>
      <c r="DX149" s="64"/>
      <c r="DY149" s="64"/>
      <c r="DZ149" s="64"/>
      <c r="EA149" s="64"/>
      <c r="EB149" s="64"/>
      <c r="EC149" s="64"/>
      <c r="ED149" s="64"/>
    </row>
    <row r="150" spans="1:134" ht="15.75" customHeight="1">
      <c r="A150" s="65" t="s">
        <v>617</v>
      </c>
      <c r="B150" s="65" t="s">
        <v>388</v>
      </c>
      <c r="C150" s="65" t="s">
        <v>618</v>
      </c>
      <c r="D150" s="65" t="str">
        <f t="shared" si="0"/>
        <v>WR</v>
      </c>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64"/>
      <c r="BX150" s="64"/>
      <c r="BY150" s="64"/>
      <c r="BZ150" s="64"/>
      <c r="CA150" s="64"/>
      <c r="CB150" s="64"/>
      <c r="CC150" s="64"/>
      <c r="CD150" s="64"/>
      <c r="CE150" s="64"/>
      <c r="CF150" s="64"/>
      <c r="CG150" s="64"/>
      <c r="CH150" s="64"/>
      <c r="CI150" s="64"/>
      <c r="CJ150" s="64"/>
      <c r="CK150" s="64"/>
      <c r="CL150" s="64"/>
      <c r="CM150" s="64"/>
      <c r="CN150" s="64"/>
      <c r="CO150" s="64"/>
      <c r="CP150" s="64"/>
      <c r="CQ150" s="64"/>
      <c r="CR150" s="64"/>
      <c r="CS150" s="64"/>
      <c r="CT150" s="64"/>
      <c r="CU150" s="64"/>
      <c r="CV150" s="64"/>
      <c r="CW150" s="64"/>
      <c r="CX150" s="64"/>
      <c r="CY150" s="64"/>
      <c r="CZ150" s="64"/>
      <c r="DA150" s="64"/>
      <c r="DB150" s="64"/>
      <c r="DC150" s="64"/>
      <c r="DD150" s="64"/>
      <c r="DE150" s="64"/>
      <c r="DF150" s="64"/>
      <c r="DG150" s="64"/>
      <c r="DH150" s="64"/>
      <c r="DI150" s="64"/>
      <c r="DJ150" s="64"/>
      <c r="DK150" s="64"/>
      <c r="DL150" s="64"/>
      <c r="DM150" s="64"/>
      <c r="DN150" s="64"/>
      <c r="DO150" s="64"/>
      <c r="DP150" s="64"/>
      <c r="DQ150" s="64"/>
      <c r="DR150" s="64"/>
      <c r="DS150" s="64"/>
      <c r="DT150" s="64"/>
      <c r="DU150" s="64"/>
      <c r="DV150" s="64"/>
      <c r="DW150" s="64"/>
      <c r="DX150" s="64"/>
      <c r="DY150" s="64"/>
      <c r="DZ150" s="64"/>
      <c r="EA150" s="64"/>
      <c r="EB150" s="64"/>
      <c r="EC150" s="64"/>
      <c r="ED150" s="64"/>
    </row>
    <row r="151" spans="1:134" ht="15.75" customHeight="1">
      <c r="A151" s="65" t="s">
        <v>619</v>
      </c>
      <c r="B151" s="65" t="s">
        <v>396</v>
      </c>
      <c r="C151" s="65" t="s">
        <v>620</v>
      </c>
      <c r="D151" s="65" t="str">
        <f t="shared" si="0"/>
        <v>RB</v>
      </c>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64"/>
      <c r="BX151" s="64"/>
      <c r="BY151" s="64"/>
      <c r="BZ151" s="64"/>
      <c r="CA151" s="64"/>
      <c r="CB151" s="64"/>
      <c r="CC151" s="64"/>
      <c r="CD151" s="64"/>
      <c r="CE151" s="64"/>
      <c r="CF151" s="64"/>
      <c r="CG151" s="64"/>
      <c r="CH151" s="64"/>
      <c r="CI151" s="64"/>
      <c r="CJ151" s="64"/>
      <c r="CK151" s="64"/>
      <c r="CL151" s="64"/>
      <c r="CM151" s="64"/>
      <c r="CN151" s="64"/>
      <c r="CO151" s="64"/>
      <c r="CP151" s="64"/>
      <c r="CQ151" s="64"/>
      <c r="CR151" s="64"/>
      <c r="CS151" s="64"/>
      <c r="CT151" s="64"/>
      <c r="CU151" s="64"/>
      <c r="CV151" s="64"/>
      <c r="CW151" s="64"/>
      <c r="CX151" s="64"/>
      <c r="CY151" s="64"/>
      <c r="CZ151" s="64"/>
      <c r="DA151" s="64"/>
      <c r="DB151" s="64"/>
      <c r="DC151" s="64"/>
      <c r="DD151" s="64"/>
      <c r="DE151" s="64"/>
      <c r="DF151" s="64"/>
      <c r="DG151" s="64"/>
      <c r="DH151" s="64"/>
      <c r="DI151" s="64"/>
      <c r="DJ151" s="64"/>
      <c r="DK151" s="64"/>
      <c r="DL151" s="64"/>
      <c r="DM151" s="64"/>
      <c r="DN151" s="64"/>
      <c r="DO151" s="64"/>
      <c r="DP151" s="64"/>
      <c r="DQ151" s="64"/>
      <c r="DR151" s="64"/>
      <c r="DS151" s="64"/>
      <c r="DT151" s="64"/>
      <c r="DU151" s="64"/>
      <c r="DV151" s="64"/>
      <c r="DW151" s="64"/>
      <c r="DX151" s="64"/>
      <c r="DY151" s="64"/>
      <c r="DZ151" s="64"/>
      <c r="EA151" s="64"/>
      <c r="EB151" s="64"/>
      <c r="EC151" s="64"/>
      <c r="ED151" s="64"/>
    </row>
    <row r="152" spans="1:134" ht="15.75" customHeight="1">
      <c r="A152" s="65" t="s">
        <v>621</v>
      </c>
      <c r="B152" s="65" t="s">
        <v>385</v>
      </c>
      <c r="C152" s="65" t="s">
        <v>622</v>
      </c>
      <c r="D152" s="65" t="str">
        <f t="shared" si="0"/>
        <v>RB</v>
      </c>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64"/>
      <c r="BX152" s="64"/>
      <c r="BY152" s="64"/>
      <c r="BZ152" s="64"/>
      <c r="CA152" s="64"/>
      <c r="CB152" s="64"/>
      <c r="CC152" s="64"/>
      <c r="CD152" s="64"/>
      <c r="CE152" s="64"/>
      <c r="CF152" s="64"/>
      <c r="CG152" s="64"/>
      <c r="CH152" s="64"/>
      <c r="CI152" s="64"/>
      <c r="CJ152" s="64"/>
      <c r="CK152" s="64"/>
      <c r="CL152" s="64"/>
      <c r="CM152" s="64"/>
      <c r="CN152" s="64"/>
      <c r="CO152" s="64"/>
      <c r="CP152" s="64"/>
      <c r="CQ152" s="64"/>
      <c r="CR152" s="64"/>
      <c r="CS152" s="64"/>
      <c r="CT152" s="64"/>
      <c r="CU152" s="64"/>
      <c r="CV152" s="64"/>
      <c r="CW152" s="64"/>
      <c r="CX152" s="64"/>
      <c r="CY152" s="64"/>
      <c r="CZ152" s="64"/>
      <c r="DA152" s="64"/>
      <c r="DB152" s="64"/>
      <c r="DC152" s="64"/>
      <c r="DD152" s="64"/>
      <c r="DE152" s="64"/>
      <c r="DF152" s="64"/>
      <c r="DG152" s="64"/>
      <c r="DH152" s="64"/>
      <c r="DI152" s="64"/>
      <c r="DJ152" s="64"/>
      <c r="DK152" s="64"/>
      <c r="DL152" s="64"/>
      <c r="DM152" s="64"/>
      <c r="DN152" s="64"/>
      <c r="DO152" s="64"/>
      <c r="DP152" s="64"/>
      <c r="DQ152" s="64"/>
      <c r="DR152" s="64"/>
      <c r="DS152" s="64"/>
      <c r="DT152" s="64"/>
      <c r="DU152" s="64"/>
      <c r="DV152" s="64"/>
      <c r="DW152" s="64"/>
      <c r="DX152" s="64"/>
      <c r="DY152" s="64"/>
      <c r="DZ152" s="64"/>
      <c r="EA152" s="64"/>
      <c r="EB152" s="64"/>
      <c r="EC152" s="64"/>
      <c r="ED152" s="64"/>
    </row>
    <row r="153" spans="1:134" ht="15.75" customHeight="1">
      <c r="A153" s="65" t="s">
        <v>121</v>
      </c>
      <c r="B153" s="65" t="s">
        <v>414</v>
      </c>
      <c r="C153" s="65" t="s">
        <v>623</v>
      </c>
      <c r="D153" s="65" t="str">
        <f t="shared" si="0"/>
        <v>WR</v>
      </c>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64"/>
      <c r="BX153" s="64"/>
      <c r="BY153" s="64"/>
      <c r="BZ153" s="64"/>
      <c r="CA153" s="64"/>
      <c r="CB153" s="64"/>
      <c r="CC153" s="64"/>
      <c r="CD153" s="64"/>
      <c r="CE153" s="64"/>
      <c r="CF153" s="64"/>
      <c r="CG153" s="64"/>
      <c r="CH153" s="64"/>
      <c r="CI153" s="64"/>
      <c r="CJ153" s="64"/>
      <c r="CK153" s="64"/>
      <c r="CL153" s="64"/>
      <c r="CM153" s="64"/>
      <c r="CN153" s="64"/>
      <c r="CO153" s="64"/>
      <c r="CP153" s="64"/>
      <c r="CQ153" s="64"/>
      <c r="CR153" s="64"/>
      <c r="CS153" s="64"/>
      <c r="CT153" s="64"/>
      <c r="CU153" s="64"/>
      <c r="CV153" s="64"/>
      <c r="CW153" s="64"/>
      <c r="CX153" s="64"/>
      <c r="CY153" s="64"/>
      <c r="CZ153" s="64"/>
      <c r="DA153" s="64"/>
      <c r="DB153" s="64"/>
      <c r="DC153" s="64"/>
      <c r="DD153" s="64"/>
      <c r="DE153" s="64"/>
      <c r="DF153" s="64"/>
      <c r="DG153" s="64"/>
      <c r="DH153" s="64"/>
      <c r="DI153" s="64"/>
      <c r="DJ153" s="64"/>
      <c r="DK153" s="64"/>
      <c r="DL153" s="64"/>
      <c r="DM153" s="64"/>
      <c r="DN153" s="64"/>
      <c r="DO153" s="64"/>
      <c r="DP153" s="64"/>
      <c r="DQ153" s="64"/>
      <c r="DR153" s="64"/>
      <c r="DS153" s="64"/>
      <c r="DT153" s="64"/>
      <c r="DU153" s="64"/>
      <c r="DV153" s="64"/>
      <c r="DW153" s="64"/>
      <c r="DX153" s="64"/>
      <c r="DY153" s="64"/>
      <c r="DZ153" s="64"/>
      <c r="EA153" s="64"/>
      <c r="EB153" s="64"/>
      <c r="EC153" s="64"/>
      <c r="ED153" s="64"/>
    </row>
    <row r="154" spans="1:134" ht="15.75" customHeight="1">
      <c r="A154" s="65" t="s">
        <v>147</v>
      </c>
      <c r="B154" s="65" t="s">
        <v>394</v>
      </c>
      <c r="C154" s="65" t="s">
        <v>624</v>
      </c>
      <c r="D154" s="65" t="str">
        <f t="shared" si="0"/>
        <v>TE</v>
      </c>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64"/>
      <c r="BX154" s="64"/>
      <c r="BY154" s="64"/>
      <c r="BZ154" s="64"/>
      <c r="CA154" s="64"/>
      <c r="CB154" s="64"/>
      <c r="CC154" s="64"/>
      <c r="CD154" s="64"/>
      <c r="CE154" s="64"/>
      <c r="CF154" s="64"/>
      <c r="CG154" s="64"/>
      <c r="CH154" s="64"/>
      <c r="CI154" s="64"/>
      <c r="CJ154" s="64"/>
      <c r="CK154" s="64"/>
      <c r="CL154" s="64"/>
      <c r="CM154" s="64"/>
      <c r="CN154" s="64"/>
      <c r="CO154" s="64"/>
      <c r="CP154" s="64"/>
      <c r="CQ154" s="64"/>
      <c r="CR154" s="64"/>
      <c r="CS154" s="64"/>
      <c r="CT154" s="64"/>
      <c r="CU154" s="64"/>
      <c r="CV154" s="64"/>
      <c r="CW154" s="64"/>
      <c r="CX154" s="64"/>
      <c r="CY154" s="64"/>
      <c r="CZ154" s="64"/>
      <c r="DA154" s="64"/>
      <c r="DB154" s="64"/>
      <c r="DC154" s="64"/>
      <c r="DD154" s="64"/>
      <c r="DE154" s="64"/>
      <c r="DF154" s="64"/>
      <c r="DG154" s="64"/>
      <c r="DH154" s="64"/>
      <c r="DI154" s="64"/>
      <c r="DJ154" s="64"/>
      <c r="DK154" s="64"/>
      <c r="DL154" s="64"/>
      <c r="DM154" s="64"/>
      <c r="DN154" s="64"/>
      <c r="DO154" s="64"/>
      <c r="DP154" s="64"/>
      <c r="DQ154" s="64"/>
      <c r="DR154" s="64"/>
      <c r="DS154" s="64"/>
      <c r="DT154" s="64"/>
      <c r="DU154" s="64"/>
      <c r="DV154" s="64"/>
      <c r="DW154" s="64"/>
      <c r="DX154" s="64"/>
      <c r="DY154" s="64"/>
      <c r="DZ154" s="64"/>
      <c r="EA154" s="64"/>
      <c r="EB154" s="64"/>
      <c r="EC154" s="64"/>
      <c r="ED154" s="64"/>
    </row>
    <row r="155" spans="1:134" ht="15.75" customHeight="1">
      <c r="A155" s="65" t="s">
        <v>310</v>
      </c>
      <c r="B155" s="65" t="s">
        <v>391</v>
      </c>
      <c r="C155" s="65" t="s">
        <v>625</v>
      </c>
      <c r="D155" s="65" t="str">
        <f t="shared" si="0"/>
        <v>K</v>
      </c>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64"/>
      <c r="BX155" s="64"/>
      <c r="BY155" s="64"/>
      <c r="BZ155" s="64"/>
      <c r="CA155" s="64"/>
      <c r="CB155" s="64"/>
      <c r="CC155" s="64"/>
      <c r="CD155" s="64"/>
      <c r="CE155" s="64"/>
      <c r="CF155" s="64"/>
      <c r="CG155" s="64"/>
      <c r="CH155" s="64"/>
      <c r="CI155" s="64"/>
      <c r="CJ155" s="64"/>
      <c r="CK155" s="64"/>
      <c r="CL155" s="64"/>
      <c r="CM155" s="64"/>
      <c r="CN155" s="64"/>
      <c r="CO155" s="64"/>
      <c r="CP155" s="64"/>
      <c r="CQ155" s="64"/>
      <c r="CR155" s="64"/>
      <c r="CS155" s="64"/>
      <c r="CT155" s="64"/>
      <c r="CU155" s="64"/>
      <c r="CV155" s="64"/>
      <c r="CW155" s="64"/>
      <c r="CX155" s="64"/>
      <c r="CY155" s="64"/>
      <c r="CZ155" s="64"/>
      <c r="DA155" s="64"/>
      <c r="DB155" s="64"/>
      <c r="DC155" s="64"/>
      <c r="DD155" s="64"/>
      <c r="DE155" s="64"/>
      <c r="DF155" s="64"/>
      <c r="DG155" s="64"/>
      <c r="DH155" s="64"/>
      <c r="DI155" s="64"/>
      <c r="DJ155" s="64"/>
      <c r="DK155" s="64"/>
      <c r="DL155" s="64"/>
      <c r="DM155" s="64"/>
      <c r="DN155" s="64"/>
      <c r="DO155" s="64"/>
      <c r="DP155" s="64"/>
      <c r="DQ155" s="64"/>
      <c r="DR155" s="64"/>
      <c r="DS155" s="64"/>
      <c r="DT155" s="64"/>
      <c r="DU155" s="64"/>
      <c r="DV155" s="64"/>
      <c r="DW155" s="64"/>
      <c r="DX155" s="64"/>
      <c r="DY155" s="64"/>
      <c r="DZ155" s="64"/>
      <c r="EA155" s="64"/>
      <c r="EB155" s="64"/>
      <c r="EC155" s="64"/>
      <c r="ED155" s="64"/>
    </row>
    <row r="156" spans="1:134" ht="15.75" customHeight="1">
      <c r="A156" s="65" t="s">
        <v>626</v>
      </c>
      <c r="B156" s="65" t="s">
        <v>417</v>
      </c>
      <c r="C156" s="65" t="s">
        <v>627</v>
      </c>
      <c r="D156" s="65" t="str">
        <f t="shared" si="0"/>
        <v>RB</v>
      </c>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64"/>
      <c r="BX156" s="64"/>
      <c r="BY156" s="64"/>
      <c r="BZ156" s="64"/>
      <c r="CA156" s="64"/>
      <c r="CB156" s="64"/>
      <c r="CC156" s="64"/>
      <c r="CD156" s="64"/>
      <c r="CE156" s="64"/>
      <c r="CF156" s="64"/>
      <c r="CG156" s="64"/>
      <c r="CH156" s="64"/>
      <c r="CI156" s="64"/>
      <c r="CJ156" s="64"/>
      <c r="CK156" s="64"/>
      <c r="CL156" s="64"/>
      <c r="CM156" s="64"/>
      <c r="CN156" s="64"/>
      <c r="CO156" s="64"/>
      <c r="CP156" s="64"/>
      <c r="CQ156" s="64"/>
      <c r="CR156" s="64"/>
      <c r="CS156" s="64"/>
      <c r="CT156" s="64"/>
      <c r="CU156" s="64"/>
      <c r="CV156" s="64"/>
      <c r="CW156" s="64"/>
      <c r="CX156" s="64"/>
      <c r="CY156" s="64"/>
      <c r="CZ156" s="64"/>
      <c r="DA156" s="64"/>
      <c r="DB156" s="64"/>
      <c r="DC156" s="64"/>
      <c r="DD156" s="64"/>
      <c r="DE156" s="64"/>
      <c r="DF156" s="64"/>
      <c r="DG156" s="64"/>
      <c r="DH156" s="64"/>
      <c r="DI156" s="64"/>
      <c r="DJ156" s="64"/>
      <c r="DK156" s="64"/>
      <c r="DL156" s="64"/>
      <c r="DM156" s="64"/>
      <c r="DN156" s="64"/>
      <c r="DO156" s="64"/>
      <c r="DP156" s="64"/>
      <c r="DQ156" s="64"/>
      <c r="DR156" s="64"/>
      <c r="DS156" s="64"/>
      <c r="DT156" s="64"/>
      <c r="DU156" s="64"/>
      <c r="DV156" s="64"/>
      <c r="DW156" s="64"/>
      <c r="DX156" s="64"/>
      <c r="DY156" s="64"/>
      <c r="DZ156" s="64"/>
      <c r="EA156" s="64"/>
      <c r="EB156" s="64"/>
      <c r="EC156" s="64"/>
      <c r="ED156" s="64"/>
    </row>
    <row r="157" spans="1:134" ht="15.75" customHeight="1">
      <c r="A157" s="65" t="s">
        <v>628</v>
      </c>
      <c r="B157" s="65" t="s">
        <v>407</v>
      </c>
      <c r="C157" s="65" t="s">
        <v>629</v>
      </c>
      <c r="D157" s="65" t="str">
        <f t="shared" si="0"/>
        <v>TE</v>
      </c>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64"/>
      <c r="BX157" s="64"/>
      <c r="BY157" s="64"/>
      <c r="BZ157" s="64"/>
      <c r="CA157" s="64"/>
      <c r="CB157" s="64"/>
      <c r="CC157" s="64"/>
      <c r="CD157" s="64"/>
      <c r="CE157" s="64"/>
      <c r="CF157" s="64"/>
      <c r="CG157" s="64"/>
      <c r="CH157" s="64"/>
      <c r="CI157" s="64"/>
      <c r="CJ157" s="64"/>
      <c r="CK157" s="64"/>
      <c r="CL157" s="64"/>
      <c r="CM157" s="64"/>
      <c r="CN157" s="64"/>
      <c r="CO157" s="64"/>
      <c r="CP157" s="64"/>
      <c r="CQ157" s="64"/>
      <c r="CR157" s="64"/>
      <c r="CS157" s="64"/>
      <c r="CT157" s="64"/>
      <c r="CU157" s="64"/>
      <c r="CV157" s="64"/>
      <c r="CW157" s="64"/>
      <c r="CX157" s="64"/>
      <c r="CY157" s="64"/>
      <c r="CZ157" s="64"/>
      <c r="DA157" s="64"/>
      <c r="DB157" s="64"/>
      <c r="DC157" s="64"/>
      <c r="DD157" s="64"/>
      <c r="DE157" s="64"/>
      <c r="DF157" s="64"/>
      <c r="DG157" s="64"/>
      <c r="DH157" s="64"/>
      <c r="DI157" s="64"/>
      <c r="DJ157" s="64"/>
      <c r="DK157" s="64"/>
      <c r="DL157" s="64"/>
      <c r="DM157" s="64"/>
      <c r="DN157" s="64"/>
      <c r="DO157" s="64"/>
      <c r="DP157" s="64"/>
      <c r="DQ157" s="64"/>
      <c r="DR157" s="64"/>
      <c r="DS157" s="64"/>
      <c r="DT157" s="64"/>
      <c r="DU157" s="64"/>
      <c r="DV157" s="64"/>
      <c r="DW157" s="64"/>
      <c r="DX157" s="64"/>
      <c r="DY157" s="64"/>
      <c r="DZ157" s="64"/>
      <c r="EA157" s="64"/>
      <c r="EB157" s="64"/>
      <c r="EC157" s="64"/>
      <c r="ED157" s="64"/>
    </row>
    <row r="158" spans="1:134" ht="15.75" customHeight="1">
      <c r="A158" s="65" t="s">
        <v>630</v>
      </c>
      <c r="B158" s="65" t="s">
        <v>417</v>
      </c>
      <c r="C158" s="65" t="s">
        <v>631</v>
      </c>
      <c r="D158" s="65" t="str">
        <f t="shared" si="0"/>
        <v>WR</v>
      </c>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64"/>
      <c r="BX158" s="64"/>
      <c r="BY158" s="64"/>
      <c r="BZ158" s="64"/>
      <c r="CA158" s="64"/>
      <c r="CB158" s="64"/>
      <c r="CC158" s="64"/>
      <c r="CD158" s="64"/>
      <c r="CE158" s="64"/>
      <c r="CF158" s="64"/>
      <c r="CG158" s="64"/>
      <c r="CH158" s="64"/>
      <c r="CI158" s="64"/>
      <c r="CJ158" s="64"/>
      <c r="CK158" s="64"/>
      <c r="CL158" s="64"/>
      <c r="CM158" s="64"/>
      <c r="CN158" s="64"/>
      <c r="CO158" s="64"/>
      <c r="CP158" s="64"/>
      <c r="CQ158" s="64"/>
      <c r="CR158" s="64"/>
      <c r="CS158" s="64"/>
      <c r="CT158" s="64"/>
      <c r="CU158" s="64"/>
      <c r="CV158" s="64"/>
      <c r="CW158" s="64"/>
      <c r="CX158" s="64"/>
      <c r="CY158" s="64"/>
      <c r="CZ158" s="64"/>
      <c r="DA158" s="64"/>
      <c r="DB158" s="64"/>
      <c r="DC158" s="64"/>
      <c r="DD158" s="64"/>
      <c r="DE158" s="64"/>
      <c r="DF158" s="64"/>
      <c r="DG158" s="64"/>
      <c r="DH158" s="64"/>
      <c r="DI158" s="64"/>
      <c r="DJ158" s="64"/>
      <c r="DK158" s="64"/>
      <c r="DL158" s="64"/>
      <c r="DM158" s="64"/>
      <c r="DN158" s="64"/>
      <c r="DO158" s="64"/>
      <c r="DP158" s="64"/>
      <c r="DQ158" s="64"/>
      <c r="DR158" s="64"/>
      <c r="DS158" s="64"/>
      <c r="DT158" s="64"/>
      <c r="DU158" s="64"/>
      <c r="DV158" s="64"/>
      <c r="DW158" s="64"/>
      <c r="DX158" s="64"/>
      <c r="DY158" s="64"/>
      <c r="DZ158" s="64"/>
      <c r="EA158" s="64"/>
      <c r="EB158" s="64"/>
      <c r="EC158" s="64"/>
      <c r="ED158" s="64"/>
    </row>
    <row r="159" spans="1:134" ht="15.75" customHeight="1">
      <c r="A159" s="65" t="s">
        <v>283</v>
      </c>
      <c r="B159" s="65" t="s">
        <v>400</v>
      </c>
      <c r="C159" s="65" t="s">
        <v>632</v>
      </c>
      <c r="D159" s="65" t="str">
        <f t="shared" si="0"/>
        <v>QB</v>
      </c>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64"/>
      <c r="BX159" s="64"/>
      <c r="BY159" s="64"/>
      <c r="BZ159" s="64"/>
      <c r="CA159" s="64"/>
      <c r="CB159" s="64"/>
      <c r="CC159" s="64"/>
      <c r="CD159" s="64"/>
      <c r="CE159" s="64"/>
      <c r="CF159" s="64"/>
      <c r="CG159" s="64"/>
      <c r="CH159" s="64"/>
      <c r="CI159" s="64"/>
      <c r="CJ159" s="64"/>
      <c r="CK159" s="64"/>
      <c r="CL159" s="64"/>
      <c r="CM159" s="64"/>
      <c r="CN159" s="64"/>
      <c r="CO159" s="64"/>
      <c r="CP159" s="64"/>
      <c r="CQ159" s="64"/>
      <c r="CR159" s="64"/>
      <c r="CS159" s="64"/>
      <c r="CT159" s="64"/>
      <c r="CU159" s="64"/>
      <c r="CV159" s="64"/>
      <c r="CW159" s="64"/>
      <c r="CX159" s="64"/>
      <c r="CY159" s="64"/>
      <c r="CZ159" s="64"/>
      <c r="DA159" s="64"/>
      <c r="DB159" s="64"/>
      <c r="DC159" s="64"/>
      <c r="DD159" s="64"/>
      <c r="DE159" s="64"/>
      <c r="DF159" s="64"/>
      <c r="DG159" s="64"/>
      <c r="DH159" s="64"/>
      <c r="DI159" s="64"/>
      <c r="DJ159" s="64"/>
      <c r="DK159" s="64"/>
      <c r="DL159" s="64"/>
      <c r="DM159" s="64"/>
      <c r="DN159" s="64"/>
      <c r="DO159" s="64"/>
      <c r="DP159" s="64"/>
      <c r="DQ159" s="64"/>
      <c r="DR159" s="64"/>
      <c r="DS159" s="64"/>
      <c r="DT159" s="64"/>
      <c r="DU159" s="64"/>
      <c r="DV159" s="64"/>
      <c r="DW159" s="64"/>
      <c r="DX159" s="64"/>
      <c r="DY159" s="64"/>
      <c r="DZ159" s="64"/>
      <c r="EA159" s="64"/>
      <c r="EB159" s="64"/>
      <c r="EC159" s="64"/>
      <c r="ED159" s="64"/>
    </row>
    <row r="160" spans="1:134" ht="15.75" customHeight="1">
      <c r="A160" s="65" t="s">
        <v>35</v>
      </c>
      <c r="B160" s="65" t="s">
        <v>409</v>
      </c>
      <c r="C160" s="65" t="s">
        <v>633</v>
      </c>
      <c r="D160" s="65" t="str">
        <f t="shared" si="0"/>
        <v>WR</v>
      </c>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64"/>
      <c r="BX160" s="64"/>
      <c r="BY160" s="64"/>
      <c r="BZ160" s="64"/>
      <c r="CA160" s="64"/>
      <c r="CB160" s="64"/>
      <c r="CC160" s="64"/>
      <c r="CD160" s="64"/>
      <c r="CE160" s="64"/>
      <c r="CF160" s="64"/>
      <c r="CG160" s="64"/>
      <c r="CH160" s="64"/>
      <c r="CI160" s="64"/>
      <c r="CJ160" s="64"/>
      <c r="CK160" s="64"/>
      <c r="CL160" s="64"/>
      <c r="CM160" s="64"/>
      <c r="CN160" s="64"/>
      <c r="CO160" s="64"/>
      <c r="CP160" s="64"/>
      <c r="CQ160" s="64"/>
      <c r="CR160" s="64"/>
      <c r="CS160" s="64"/>
      <c r="CT160" s="64"/>
      <c r="CU160" s="64"/>
      <c r="CV160" s="64"/>
      <c r="CW160" s="64"/>
      <c r="CX160" s="64"/>
      <c r="CY160" s="64"/>
      <c r="CZ160" s="64"/>
      <c r="DA160" s="64"/>
      <c r="DB160" s="64"/>
      <c r="DC160" s="64"/>
      <c r="DD160" s="64"/>
      <c r="DE160" s="64"/>
      <c r="DF160" s="64"/>
      <c r="DG160" s="64"/>
      <c r="DH160" s="64"/>
      <c r="DI160" s="64"/>
      <c r="DJ160" s="64"/>
      <c r="DK160" s="64"/>
      <c r="DL160" s="64"/>
      <c r="DM160" s="64"/>
      <c r="DN160" s="64"/>
      <c r="DO160" s="64"/>
      <c r="DP160" s="64"/>
      <c r="DQ160" s="64"/>
      <c r="DR160" s="64"/>
      <c r="DS160" s="64"/>
      <c r="DT160" s="64"/>
      <c r="DU160" s="64"/>
      <c r="DV160" s="64"/>
      <c r="DW160" s="64"/>
      <c r="DX160" s="64"/>
      <c r="DY160" s="64"/>
      <c r="DZ160" s="64"/>
      <c r="EA160" s="64"/>
      <c r="EB160" s="64"/>
      <c r="EC160" s="64"/>
      <c r="ED160" s="64"/>
    </row>
    <row r="161" spans="1:134" ht="15.75" customHeight="1">
      <c r="A161" s="65" t="s">
        <v>181</v>
      </c>
      <c r="B161" s="65" t="s">
        <v>403</v>
      </c>
      <c r="C161" s="65" t="s">
        <v>634</v>
      </c>
      <c r="D161" s="65" t="str">
        <f t="shared" si="0"/>
        <v>QB</v>
      </c>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64"/>
      <c r="BX161" s="64"/>
      <c r="BY161" s="64"/>
      <c r="BZ161" s="64"/>
      <c r="CA161" s="64"/>
      <c r="CB161" s="64"/>
      <c r="CC161" s="64"/>
      <c r="CD161" s="64"/>
      <c r="CE161" s="64"/>
      <c r="CF161" s="64"/>
      <c r="CG161" s="64"/>
      <c r="CH161" s="64"/>
      <c r="CI161" s="64"/>
      <c r="CJ161" s="64"/>
      <c r="CK161" s="64"/>
      <c r="CL161" s="64"/>
      <c r="CM161" s="64"/>
      <c r="CN161" s="64"/>
      <c r="CO161" s="64"/>
      <c r="CP161" s="64"/>
      <c r="CQ161" s="64"/>
      <c r="CR161" s="64"/>
      <c r="CS161" s="64"/>
      <c r="CT161" s="64"/>
      <c r="CU161" s="64"/>
      <c r="CV161" s="64"/>
      <c r="CW161" s="64"/>
      <c r="CX161" s="64"/>
      <c r="CY161" s="64"/>
      <c r="CZ161" s="64"/>
      <c r="DA161" s="64"/>
      <c r="DB161" s="64"/>
      <c r="DC161" s="64"/>
      <c r="DD161" s="64"/>
      <c r="DE161" s="64"/>
      <c r="DF161" s="64"/>
      <c r="DG161" s="64"/>
      <c r="DH161" s="64"/>
      <c r="DI161" s="64"/>
      <c r="DJ161" s="64"/>
      <c r="DK161" s="64"/>
      <c r="DL161" s="64"/>
      <c r="DM161" s="64"/>
      <c r="DN161" s="64"/>
      <c r="DO161" s="64"/>
      <c r="DP161" s="64"/>
      <c r="DQ161" s="64"/>
      <c r="DR161" s="64"/>
      <c r="DS161" s="64"/>
      <c r="DT161" s="64"/>
      <c r="DU161" s="64"/>
      <c r="DV161" s="64"/>
      <c r="DW161" s="64"/>
      <c r="DX161" s="64"/>
      <c r="DY161" s="64"/>
      <c r="DZ161" s="64"/>
      <c r="EA161" s="64"/>
      <c r="EB161" s="64"/>
      <c r="EC161" s="64"/>
      <c r="ED161" s="64"/>
    </row>
    <row r="162" spans="1:134" ht="15.75" customHeight="1">
      <c r="A162" s="65" t="s">
        <v>74</v>
      </c>
      <c r="B162" s="65" t="s">
        <v>413</v>
      </c>
      <c r="C162" s="65" t="s">
        <v>635</v>
      </c>
      <c r="D162" s="65" t="str">
        <f t="shared" si="0"/>
        <v>TE</v>
      </c>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64"/>
      <c r="BX162" s="64"/>
      <c r="BY162" s="64"/>
      <c r="BZ162" s="64"/>
      <c r="CA162" s="64"/>
      <c r="CB162" s="64"/>
      <c r="CC162" s="64"/>
      <c r="CD162" s="64"/>
      <c r="CE162" s="64"/>
      <c r="CF162" s="64"/>
      <c r="CG162" s="64"/>
      <c r="CH162" s="64"/>
      <c r="CI162" s="64"/>
      <c r="CJ162" s="64"/>
      <c r="CK162" s="64"/>
      <c r="CL162" s="64"/>
      <c r="CM162" s="64"/>
      <c r="CN162" s="64"/>
      <c r="CO162" s="64"/>
      <c r="CP162" s="64"/>
      <c r="CQ162" s="64"/>
      <c r="CR162" s="64"/>
      <c r="CS162" s="64"/>
      <c r="CT162" s="64"/>
      <c r="CU162" s="64"/>
      <c r="CV162" s="64"/>
      <c r="CW162" s="64"/>
      <c r="CX162" s="64"/>
      <c r="CY162" s="64"/>
      <c r="CZ162" s="64"/>
      <c r="DA162" s="64"/>
      <c r="DB162" s="64"/>
      <c r="DC162" s="64"/>
      <c r="DD162" s="64"/>
      <c r="DE162" s="64"/>
      <c r="DF162" s="64"/>
      <c r="DG162" s="64"/>
      <c r="DH162" s="64"/>
      <c r="DI162" s="64"/>
      <c r="DJ162" s="64"/>
      <c r="DK162" s="64"/>
      <c r="DL162" s="64"/>
      <c r="DM162" s="64"/>
      <c r="DN162" s="64"/>
      <c r="DO162" s="64"/>
      <c r="DP162" s="64"/>
      <c r="DQ162" s="64"/>
      <c r="DR162" s="64"/>
      <c r="DS162" s="64"/>
      <c r="DT162" s="64"/>
      <c r="DU162" s="64"/>
      <c r="DV162" s="64"/>
      <c r="DW162" s="64"/>
      <c r="DX162" s="64"/>
      <c r="DY162" s="64"/>
      <c r="DZ162" s="64"/>
      <c r="EA162" s="64"/>
      <c r="EB162" s="64"/>
      <c r="EC162" s="64"/>
      <c r="ED162" s="64"/>
    </row>
    <row r="163" spans="1:134" ht="15.75" customHeight="1">
      <c r="A163" s="65" t="s">
        <v>90</v>
      </c>
      <c r="B163" s="65" t="s">
        <v>393</v>
      </c>
      <c r="C163" s="65" t="s">
        <v>636</v>
      </c>
      <c r="D163" s="65" t="str">
        <f t="shared" si="0"/>
        <v>WR</v>
      </c>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64"/>
      <c r="BX163" s="64"/>
      <c r="BY163" s="64"/>
      <c r="BZ163" s="64"/>
      <c r="CA163" s="64"/>
      <c r="CB163" s="64"/>
      <c r="CC163" s="64"/>
      <c r="CD163" s="64"/>
      <c r="CE163" s="64"/>
      <c r="CF163" s="64"/>
      <c r="CG163" s="64"/>
      <c r="CH163" s="64"/>
      <c r="CI163" s="64"/>
      <c r="CJ163" s="64"/>
      <c r="CK163" s="64"/>
      <c r="CL163" s="64"/>
      <c r="CM163" s="64"/>
      <c r="CN163" s="64"/>
      <c r="CO163" s="64"/>
      <c r="CP163" s="64"/>
      <c r="CQ163" s="64"/>
      <c r="CR163" s="64"/>
      <c r="CS163" s="64"/>
      <c r="CT163" s="64"/>
      <c r="CU163" s="64"/>
      <c r="CV163" s="64"/>
      <c r="CW163" s="64"/>
      <c r="CX163" s="64"/>
      <c r="CY163" s="64"/>
      <c r="CZ163" s="64"/>
      <c r="DA163" s="64"/>
      <c r="DB163" s="64"/>
      <c r="DC163" s="64"/>
      <c r="DD163" s="64"/>
      <c r="DE163" s="64"/>
      <c r="DF163" s="64"/>
      <c r="DG163" s="64"/>
      <c r="DH163" s="64"/>
      <c r="DI163" s="64"/>
      <c r="DJ163" s="64"/>
      <c r="DK163" s="64"/>
      <c r="DL163" s="64"/>
      <c r="DM163" s="64"/>
      <c r="DN163" s="64"/>
      <c r="DO163" s="64"/>
      <c r="DP163" s="64"/>
      <c r="DQ163" s="64"/>
      <c r="DR163" s="64"/>
      <c r="DS163" s="64"/>
      <c r="DT163" s="64"/>
      <c r="DU163" s="64"/>
      <c r="DV163" s="64"/>
      <c r="DW163" s="64"/>
      <c r="DX163" s="64"/>
      <c r="DY163" s="64"/>
      <c r="DZ163" s="64"/>
      <c r="EA163" s="64"/>
      <c r="EB163" s="64"/>
      <c r="EC163" s="64"/>
      <c r="ED163" s="64"/>
    </row>
    <row r="164" spans="1:134" ht="15.75" customHeight="1">
      <c r="A164" s="65" t="s">
        <v>637</v>
      </c>
      <c r="B164" s="65" t="s">
        <v>408</v>
      </c>
      <c r="C164" s="65" t="s">
        <v>638</v>
      </c>
      <c r="D164" s="65" t="str">
        <f t="shared" si="0"/>
        <v>K</v>
      </c>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64"/>
      <c r="BX164" s="64"/>
      <c r="BY164" s="64"/>
      <c r="BZ164" s="64"/>
      <c r="CA164" s="64"/>
      <c r="CB164" s="64"/>
      <c r="CC164" s="64"/>
      <c r="CD164" s="64"/>
      <c r="CE164" s="64"/>
      <c r="CF164" s="64"/>
      <c r="CG164" s="64"/>
      <c r="CH164" s="64"/>
      <c r="CI164" s="64"/>
      <c r="CJ164" s="64"/>
      <c r="CK164" s="64"/>
      <c r="CL164" s="64"/>
      <c r="CM164" s="64"/>
      <c r="CN164" s="64"/>
      <c r="CO164" s="64"/>
      <c r="CP164" s="64"/>
      <c r="CQ164" s="64"/>
      <c r="CR164" s="64"/>
      <c r="CS164" s="64"/>
      <c r="CT164" s="64"/>
      <c r="CU164" s="64"/>
      <c r="CV164" s="64"/>
      <c r="CW164" s="64"/>
      <c r="CX164" s="64"/>
      <c r="CY164" s="64"/>
      <c r="CZ164" s="64"/>
      <c r="DA164" s="64"/>
      <c r="DB164" s="64"/>
      <c r="DC164" s="64"/>
      <c r="DD164" s="64"/>
      <c r="DE164" s="64"/>
      <c r="DF164" s="64"/>
      <c r="DG164" s="64"/>
      <c r="DH164" s="64"/>
      <c r="DI164" s="64"/>
      <c r="DJ164" s="64"/>
      <c r="DK164" s="64"/>
      <c r="DL164" s="64"/>
      <c r="DM164" s="64"/>
      <c r="DN164" s="64"/>
      <c r="DO164" s="64"/>
      <c r="DP164" s="64"/>
      <c r="DQ164" s="64"/>
      <c r="DR164" s="64"/>
      <c r="DS164" s="64"/>
      <c r="DT164" s="64"/>
      <c r="DU164" s="64"/>
      <c r="DV164" s="64"/>
      <c r="DW164" s="64"/>
      <c r="DX164" s="64"/>
      <c r="DY164" s="64"/>
      <c r="DZ164" s="64"/>
      <c r="EA164" s="64"/>
      <c r="EB164" s="64"/>
      <c r="EC164" s="64"/>
      <c r="ED164" s="64"/>
    </row>
    <row r="165" spans="1:134" ht="15.75" customHeight="1">
      <c r="A165" s="65" t="s">
        <v>639</v>
      </c>
      <c r="B165" s="65" t="s">
        <v>410</v>
      </c>
      <c r="C165" s="65" t="s">
        <v>640</v>
      </c>
      <c r="D165" s="65" t="str">
        <f t="shared" si="0"/>
        <v>TE</v>
      </c>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64"/>
      <c r="BX165" s="64"/>
      <c r="BY165" s="64"/>
      <c r="BZ165" s="64"/>
      <c r="CA165" s="64"/>
      <c r="CB165" s="64"/>
      <c r="CC165" s="64"/>
      <c r="CD165" s="64"/>
      <c r="CE165" s="64"/>
      <c r="CF165" s="64"/>
      <c r="CG165" s="64"/>
      <c r="CH165" s="64"/>
      <c r="CI165" s="64"/>
      <c r="CJ165" s="64"/>
      <c r="CK165" s="64"/>
      <c r="CL165" s="64"/>
      <c r="CM165" s="64"/>
      <c r="CN165" s="64"/>
      <c r="CO165" s="64"/>
      <c r="CP165" s="64"/>
      <c r="CQ165" s="64"/>
      <c r="CR165" s="64"/>
      <c r="CS165" s="64"/>
      <c r="CT165" s="64"/>
      <c r="CU165" s="64"/>
      <c r="CV165" s="64"/>
      <c r="CW165" s="64"/>
      <c r="CX165" s="64"/>
      <c r="CY165" s="64"/>
      <c r="CZ165" s="64"/>
      <c r="DA165" s="64"/>
      <c r="DB165" s="64"/>
      <c r="DC165" s="64"/>
      <c r="DD165" s="64"/>
      <c r="DE165" s="64"/>
      <c r="DF165" s="64"/>
      <c r="DG165" s="64"/>
      <c r="DH165" s="64"/>
      <c r="DI165" s="64"/>
      <c r="DJ165" s="64"/>
      <c r="DK165" s="64"/>
      <c r="DL165" s="64"/>
      <c r="DM165" s="64"/>
      <c r="DN165" s="64"/>
      <c r="DO165" s="64"/>
      <c r="DP165" s="64"/>
      <c r="DQ165" s="64"/>
      <c r="DR165" s="64"/>
      <c r="DS165" s="64"/>
      <c r="DT165" s="64"/>
      <c r="DU165" s="64"/>
      <c r="DV165" s="64"/>
      <c r="DW165" s="64"/>
      <c r="DX165" s="64"/>
      <c r="DY165" s="64"/>
      <c r="DZ165" s="64"/>
      <c r="EA165" s="64"/>
      <c r="EB165" s="64"/>
      <c r="EC165" s="64"/>
      <c r="ED165" s="64"/>
    </row>
    <row r="166" spans="1:134" ht="15.75" customHeight="1">
      <c r="A166" s="65" t="s">
        <v>268</v>
      </c>
      <c r="B166" s="65" t="s">
        <v>396</v>
      </c>
      <c r="C166" s="65" t="s">
        <v>641</v>
      </c>
      <c r="D166" s="65" t="str">
        <f t="shared" si="0"/>
        <v>DEF</v>
      </c>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64"/>
      <c r="BX166" s="64"/>
      <c r="BY166" s="64"/>
      <c r="BZ166" s="64"/>
      <c r="CA166" s="64"/>
      <c r="CB166" s="64"/>
      <c r="CC166" s="64"/>
      <c r="CD166" s="64"/>
      <c r="CE166" s="64"/>
      <c r="CF166" s="64"/>
      <c r="CG166" s="64"/>
      <c r="CH166" s="64"/>
      <c r="CI166" s="64"/>
      <c r="CJ166" s="64"/>
      <c r="CK166" s="64"/>
      <c r="CL166" s="64"/>
      <c r="CM166" s="64"/>
      <c r="CN166" s="64"/>
      <c r="CO166" s="64"/>
      <c r="CP166" s="64"/>
      <c r="CQ166" s="64"/>
      <c r="CR166" s="64"/>
      <c r="CS166" s="64"/>
      <c r="CT166" s="64"/>
      <c r="CU166" s="64"/>
      <c r="CV166" s="64"/>
      <c r="CW166" s="64"/>
      <c r="CX166" s="64"/>
      <c r="CY166" s="64"/>
      <c r="CZ166" s="64"/>
      <c r="DA166" s="64"/>
      <c r="DB166" s="64"/>
      <c r="DC166" s="64"/>
      <c r="DD166" s="64"/>
      <c r="DE166" s="64"/>
      <c r="DF166" s="64"/>
      <c r="DG166" s="64"/>
      <c r="DH166" s="64"/>
      <c r="DI166" s="64"/>
      <c r="DJ166" s="64"/>
      <c r="DK166" s="64"/>
      <c r="DL166" s="64"/>
      <c r="DM166" s="64"/>
      <c r="DN166" s="64"/>
      <c r="DO166" s="64"/>
      <c r="DP166" s="64"/>
      <c r="DQ166" s="64"/>
      <c r="DR166" s="64"/>
      <c r="DS166" s="64"/>
      <c r="DT166" s="64"/>
      <c r="DU166" s="64"/>
      <c r="DV166" s="64"/>
      <c r="DW166" s="64"/>
      <c r="DX166" s="64"/>
      <c r="DY166" s="64"/>
      <c r="DZ166" s="64"/>
      <c r="EA166" s="64"/>
      <c r="EB166" s="64"/>
      <c r="EC166" s="64"/>
      <c r="ED166" s="64"/>
    </row>
    <row r="167" spans="1:134" ht="15.75" customHeight="1">
      <c r="A167" s="65" t="s">
        <v>642</v>
      </c>
      <c r="B167" s="65" t="s">
        <v>385</v>
      </c>
      <c r="C167" s="65" t="s">
        <v>643</v>
      </c>
      <c r="D167" s="65" t="str">
        <f t="shared" si="0"/>
        <v>WR</v>
      </c>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64"/>
      <c r="BX167" s="64"/>
      <c r="BY167" s="64"/>
      <c r="BZ167" s="64"/>
      <c r="CA167" s="64"/>
      <c r="CB167" s="64"/>
      <c r="CC167" s="64"/>
      <c r="CD167" s="64"/>
      <c r="CE167" s="64"/>
      <c r="CF167" s="64"/>
      <c r="CG167" s="64"/>
      <c r="CH167" s="64"/>
      <c r="CI167" s="64"/>
      <c r="CJ167" s="64"/>
      <c r="CK167" s="64"/>
      <c r="CL167" s="64"/>
      <c r="CM167" s="64"/>
      <c r="CN167" s="64"/>
      <c r="CO167" s="64"/>
      <c r="CP167" s="64"/>
      <c r="CQ167" s="64"/>
      <c r="CR167" s="64"/>
      <c r="CS167" s="64"/>
      <c r="CT167" s="64"/>
      <c r="CU167" s="64"/>
      <c r="CV167" s="64"/>
      <c r="CW167" s="64"/>
      <c r="CX167" s="64"/>
      <c r="CY167" s="64"/>
      <c r="CZ167" s="64"/>
      <c r="DA167" s="64"/>
      <c r="DB167" s="64"/>
      <c r="DC167" s="64"/>
      <c r="DD167" s="64"/>
      <c r="DE167" s="64"/>
      <c r="DF167" s="64"/>
      <c r="DG167" s="64"/>
      <c r="DH167" s="64"/>
      <c r="DI167" s="64"/>
      <c r="DJ167" s="64"/>
      <c r="DK167" s="64"/>
      <c r="DL167" s="64"/>
      <c r="DM167" s="64"/>
      <c r="DN167" s="64"/>
      <c r="DO167" s="64"/>
      <c r="DP167" s="64"/>
      <c r="DQ167" s="64"/>
      <c r="DR167" s="64"/>
      <c r="DS167" s="64"/>
      <c r="DT167" s="64"/>
      <c r="DU167" s="64"/>
      <c r="DV167" s="64"/>
      <c r="DW167" s="64"/>
      <c r="DX167" s="64"/>
      <c r="DY167" s="64"/>
      <c r="DZ167" s="64"/>
      <c r="EA167" s="64"/>
      <c r="EB167" s="64"/>
      <c r="EC167" s="64"/>
      <c r="ED167" s="64"/>
    </row>
    <row r="168" spans="1:134" ht="15.75" customHeight="1">
      <c r="A168" s="65" t="s">
        <v>644</v>
      </c>
      <c r="B168" s="65" t="s">
        <v>408</v>
      </c>
      <c r="C168" s="65" t="s">
        <v>645</v>
      </c>
      <c r="D168" s="65" t="str">
        <f t="shared" si="0"/>
        <v>TE</v>
      </c>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64"/>
      <c r="BX168" s="64"/>
      <c r="BY168" s="64"/>
      <c r="BZ168" s="64"/>
      <c r="CA168" s="64"/>
      <c r="CB168" s="64"/>
      <c r="CC168" s="64"/>
      <c r="CD168" s="64"/>
      <c r="CE168" s="64"/>
      <c r="CF168" s="64"/>
      <c r="CG168" s="64"/>
      <c r="CH168" s="64"/>
      <c r="CI168" s="64"/>
      <c r="CJ168" s="64"/>
      <c r="CK168" s="64"/>
      <c r="CL168" s="64"/>
      <c r="CM168" s="64"/>
      <c r="CN168" s="64"/>
      <c r="CO168" s="64"/>
      <c r="CP168" s="64"/>
      <c r="CQ168" s="64"/>
      <c r="CR168" s="64"/>
      <c r="CS168" s="64"/>
      <c r="CT168" s="64"/>
      <c r="CU168" s="64"/>
      <c r="CV168" s="64"/>
      <c r="CW168" s="64"/>
      <c r="CX168" s="64"/>
      <c r="CY168" s="64"/>
      <c r="CZ168" s="64"/>
      <c r="DA168" s="64"/>
      <c r="DB168" s="64"/>
      <c r="DC168" s="64"/>
      <c r="DD168" s="64"/>
      <c r="DE168" s="64"/>
      <c r="DF168" s="64"/>
      <c r="DG168" s="64"/>
      <c r="DH168" s="64"/>
      <c r="DI168" s="64"/>
      <c r="DJ168" s="64"/>
      <c r="DK168" s="64"/>
      <c r="DL168" s="64"/>
      <c r="DM168" s="64"/>
      <c r="DN168" s="64"/>
      <c r="DO168" s="64"/>
      <c r="DP168" s="64"/>
      <c r="DQ168" s="64"/>
      <c r="DR168" s="64"/>
      <c r="DS168" s="64"/>
      <c r="DT168" s="64"/>
      <c r="DU168" s="64"/>
      <c r="DV168" s="64"/>
      <c r="DW168" s="64"/>
      <c r="DX168" s="64"/>
      <c r="DY168" s="64"/>
      <c r="DZ168" s="64"/>
      <c r="EA168" s="64"/>
      <c r="EB168" s="64"/>
      <c r="EC168" s="64"/>
      <c r="ED168" s="64"/>
    </row>
    <row r="169" spans="1:134" ht="15.75" customHeight="1">
      <c r="A169" s="65" t="s">
        <v>646</v>
      </c>
      <c r="B169" s="65" t="s">
        <v>415</v>
      </c>
      <c r="C169" s="65" t="s">
        <v>647</v>
      </c>
      <c r="D169" s="65" t="str">
        <f t="shared" si="0"/>
        <v>TE</v>
      </c>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64"/>
      <c r="BX169" s="64"/>
      <c r="BY169" s="64"/>
      <c r="BZ169" s="64"/>
      <c r="CA169" s="64"/>
      <c r="CB169" s="64"/>
      <c r="CC169" s="64"/>
      <c r="CD169" s="64"/>
      <c r="CE169" s="64"/>
      <c r="CF169" s="64"/>
      <c r="CG169" s="64"/>
      <c r="CH169" s="64"/>
      <c r="CI169" s="64"/>
      <c r="CJ169" s="64"/>
      <c r="CK169" s="64"/>
      <c r="CL169" s="64"/>
      <c r="CM169" s="64"/>
      <c r="CN169" s="64"/>
      <c r="CO169" s="64"/>
      <c r="CP169" s="64"/>
      <c r="CQ169" s="64"/>
      <c r="CR169" s="64"/>
      <c r="CS169" s="64"/>
      <c r="CT169" s="64"/>
      <c r="CU169" s="64"/>
      <c r="CV169" s="64"/>
      <c r="CW169" s="64"/>
      <c r="CX169" s="64"/>
      <c r="CY169" s="64"/>
      <c r="CZ169" s="64"/>
      <c r="DA169" s="64"/>
      <c r="DB169" s="64"/>
      <c r="DC169" s="64"/>
      <c r="DD169" s="64"/>
      <c r="DE169" s="64"/>
      <c r="DF169" s="64"/>
      <c r="DG169" s="64"/>
      <c r="DH169" s="64"/>
      <c r="DI169" s="64"/>
      <c r="DJ169" s="64"/>
      <c r="DK169" s="64"/>
      <c r="DL169" s="64"/>
      <c r="DM169" s="64"/>
      <c r="DN169" s="64"/>
      <c r="DO169" s="64"/>
      <c r="DP169" s="64"/>
      <c r="DQ169" s="64"/>
      <c r="DR169" s="64"/>
      <c r="DS169" s="64"/>
      <c r="DT169" s="64"/>
      <c r="DU169" s="64"/>
      <c r="DV169" s="64"/>
      <c r="DW169" s="64"/>
      <c r="DX169" s="64"/>
      <c r="DY169" s="64"/>
      <c r="DZ169" s="64"/>
      <c r="EA169" s="64"/>
      <c r="EB169" s="64"/>
      <c r="EC169" s="64"/>
      <c r="ED169" s="64"/>
    </row>
    <row r="170" spans="1:134" ht="15.75" customHeight="1">
      <c r="A170" s="65" t="s">
        <v>648</v>
      </c>
      <c r="B170" s="65" t="s">
        <v>417</v>
      </c>
      <c r="C170" s="65" t="s">
        <v>649</v>
      </c>
      <c r="D170" s="65" t="str">
        <f t="shared" si="0"/>
        <v>RB</v>
      </c>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64"/>
      <c r="BX170" s="64"/>
      <c r="BY170" s="64"/>
      <c r="BZ170" s="64"/>
      <c r="CA170" s="64"/>
      <c r="CB170" s="64"/>
      <c r="CC170" s="64"/>
      <c r="CD170" s="64"/>
      <c r="CE170" s="64"/>
      <c r="CF170" s="64"/>
      <c r="CG170" s="64"/>
      <c r="CH170" s="64"/>
      <c r="CI170" s="64"/>
      <c r="CJ170" s="64"/>
      <c r="CK170" s="64"/>
      <c r="CL170" s="64"/>
      <c r="CM170" s="64"/>
      <c r="CN170" s="64"/>
      <c r="CO170" s="64"/>
      <c r="CP170" s="64"/>
      <c r="CQ170" s="64"/>
      <c r="CR170" s="64"/>
      <c r="CS170" s="64"/>
      <c r="CT170" s="64"/>
      <c r="CU170" s="64"/>
      <c r="CV170" s="64"/>
      <c r="CW170" s="64"/>
      <c r="CX170" s="64"/>
      <c r="CY170" s="64"/>
      <c r="CZ170" s="64"/>
      <c r="DA170" s="64"/>
      <c r="DB170" s="64"/>
      <c r="DC170" s="64"/>
      <c r="DD170" s="64"/>
      <c r="DE170" s="64"/>
      <c r="DF170" s="64"/>
      <c r="DG170" s="64"/>
      <c r="DH170" s="64"/>
      <c r="DI170" s="64"/>
      <c r="DJ170" s="64"/>
      <c r="DK170" s="64"/>
      <c r="DL170" s="64"/>
      <c r="DM170" s="64"/>
      <c r="DN170" s="64"/>
      <c r="DO170" s="64"/>
      <c r="DP170" s="64"/>
      <c r="DQ170" s="64"/>
      <c r="DR170" s="64"/>
      <c r="DS170" s="64"/>
      <c r="DT170" s="64"/>
      <c r="DU170" s="64"/>
      <c r="DV170" s="64"/>
      <c r="DW170" s="64"/>
      <c r="DX170" s="64"/>
      <c r="DY170" s="64"/>
      <c r="DZ170" s="64"/>
      <c r="EA170" s="64"/>
      <c r="EB170" s="64"/>
      <c r="EC170" s="64"/>
      <c r="ED170" s="64"/>
    </row>
    <row r="171" spans="1:134" ht="15.75" customHeight="1">
      <c r="A171" s="65" t="s">
        <v>195</v>
      </c>
      <c r="B171" s="65" t="s">
        <v>392</v>
      </c>
      <c r="C171" s="65" t="s">
        <v>650</v>
      </c>
      <c r="D171" s="65" t="str">
        <f t="shared" si="0"/>
        <v>TE</v>
      </c>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64"/>
      <c r="BX171" s="64"/>
      <c r="BY171" s="64"/>
      <c r="BZ171" s="64"/>
      <c r="CA171" s="64"/>
      <c r="CB171" s="64"/>
      <c r="CC171" s="64"/>
      <c r="CD171" s="64"/>
      <c r="CE171" s="64"/>
      <c r="CF171" s="64"/>
      <c r="CG171" s="64"/>
      <c r="CH171" s="64"/>
      <c r="CI171" s="64"/>
      <c r="CJ171" s="64"/>
      <c r="CK171" s="64"/>
      <c r="CL171" s="64"/>
      <c r="CM171" s="64"/>
      <c r="CN171" s="64"/>
      <c r="CO171" s="64"/>
      <c r="CP171" s="64"/>
      <c r="CQ171" s="64"/>
      <c r="CR171" s="64"/>
      <c r="CS171" s="64"/>
      <c r="CT171" s="64"/>
      <c r="CU171" s="64"/>
      <c r="CV171" s="64"/>
      <c r="CW171" s="64"/>
      <c r="CX171" s="64"/>
      <c r="CY171" s="64"/>
      <c r="CZ171" s="64"/>
      <c r="DA171" s="64"/>
      <c r="DB171" s="64"/>
      <c r="DC171" s="64"/>
      <c r="DD171" s="64"/>
      <c r="DE171" s="64"/>
      <c r="DF171" s="64"/>
      <c r="DG171" s="64"/>
      <c r="DH171" s="64"/>
      <c r="DI171" s="64"/>
      <c r="DJ171" s="64"/>
      <c r="DK171" s="64"/>
      <c r="DL171" s="64"/>
      <c r="DM171" s="64"/>
      <c r="DN171" s="64"/>
      <c r="DO171" s="64"/>
      <c r="DP171" s="64"/>
      <c r="DQ171" s="64"/>
      <c r="DR171" s="64"/>
      <c r="DS171" s="64"/>
      <c r="DT171" s="64"/>
      <c r="DU171" s="64"/>
      <c r="DV171" s="64"/>
      <c r="DW171" s="64"/>
      <c r="DX171" s="64"/>
      <c r="DY171" s="64"/>
      <c r="DZ171" s="64"/>
      <c r="EA171" s="64"/>
      <c r="EB171" s="64"/>
      <c r="EC171" s="64"/>
      <c r="ED171" s="64"/>
    </row>
    <row r="172" spans="1:134" ht="15.75" customHeight="1">
      <c r="A172" s="65" t="s">
        <v>651</v>
      </c>
      <c r="B172" s="65" t="s">
        <v>410</v>
      </c>
      <c r="C172" s="65" t="s">
        <v>652</v>
      </c>
      <c r="D172" s="65" t="str">
        <f t="shared" si="0"/>
        <v>TE</v>
      </c>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64"/>
      <c r="BX172" s="64"/>
      <c r="BY172" s="64"/>
      <c r="BZ172" s="64"/>
      <c r="CA172" s="64"/>
      <c r="CB172" s="64"/>
      <c r="CC172" s="64"/>
      <c r="CD172" s="64"/>
      <c r="CE172" s="64"/>
      <c r="CF172" s="64"/>
      <c r="CG172" s="64"/>
      <c r="CH172" s="64"/>
      <c r="CI172" s="64"/>
      <c r="CJ172" s="64"/>
      <c r="CK172" s="64"/>
      <c r="CL172" s="64"/>
      <c r="CM172" s="64"/>
      <c r="CN172" s="64"/>
      <c r="CO172" s="64"/>
      <c r="CP172" s="64"/>
      <c r="CQ172" s="64"/>
      <c r="CR172" s="64"/>
      <c r="CS172" s="64"/>
      <c r="CT172" s="64"/>
      <c r="CU172" s="64"/>
      <c r="CV172" s="64"/>
      <c r="CW172" s="64"/>
      <c r="CX172" s="64"/>
      <c r="CY172" s="64"/>
      <c r="CZ172" s="64"/>
      <c r="DA172" s="64"/>
      <c r="DB172" s="64"/>
      <c r="DC172" s="64"/>
      <c r="DD172" s="64"/>
      <c r="DE172" s="64"/>
      <c r="DF172" s="64"/>
      <c r="DG172" s="64"/>
      <c r="DH172" s="64"/>
      <c r="DI172" s="64"/>
      <c r="DJ172" s="64"/>
      <c r="DK172" s="64"/>
      <c r="DL172" s="64"/>
      <c r="DM172" s="64"/>
      <c r="DN172" s="64"/>
      <c r="DO172" s="64"/>
      <c r="DP172" s="64"/>
      <c r="DQ172" s="64"/>
      <c r="DR172" s="64"/>
      <c r="DS172" s="64"/>
      <c r="DT172" s="64"/>
      <c r="DU172" s="64"/>
      <c r="DV172" s="64"/>
      <c r="DW172" s="64"/>
      <c r="DX172" s="64"/>
      <c r="DY172" s="64"/>
      <c r="DZ172" s="64"/>
      <c r="EA172" s="64"/>
      <c r="EB172" s="64"/>
      <c r="EC172" s="64"/>
      <c r="ED172" s="64"/>
    </row>
    <row r="173" spans="1:134" ht="15.75" customHeight="1">
      <c r="A173" s="65" t="s">
        <v>314</v>
      </c>
      <c r="B173" s="65" t="s">
        <v>400</v>
      </c>
      <c r="C173" s="65" t="s">
        <v>653</v>
      </c>
      <c r="D173" s="65" t="str">
        <f t="shared" si="0"/>
        <v>K</v>
      </c>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64"/>
      <c r="BX173" s="64"/>
      <c r="BY173" s="64"/>
      <c r="BZ173" s="64"/>
      <c r="CA173" s="64"/>
      <c r="CB173" s="64"/>
      <c r="CC173" s="64"/>
      <c r="CD173" s="64"/>
      <c r="CE173" s="64"/>
      <c r="CF173" s="64"/>
      <c r="CG173" s="64"/>
      <c r="CH173" s="64"/>
      <c r="CI173" s="64"/>
      <c r="CJ173" s="64"/>
      <c r="CK173" s="64"/>
      <c r="CL173" s="64"/>
      <c r="CM173" s="64"/>
      <c r="CN173" s="64"/>
      <c r="CO173" s="64"/>
      <c r="CP173" s="64"/>
      <c r="CQ173" s="64"/>
      <c r="CR173" s="64"/>
      <c r="CS173" s="64"/>
      <c r="CT173" s="64"/>
      <c r="CU173" s="64"/>
      <c r="CV173" s="64"/>
      <c r="CW173" s="64"/>
      <c r="CX173" s="64"/>
      <c r="CY173" s="64"/>
      <c r="CZ173" s="64"/>
      <c r="DA173" s="64"/>
      <c r="DB173" s="64"/>
      <c r="DC173" s="64"/>
      <c r="DD173" s="64"/>
      <c r="DE173" s="64"/>
      <c r="DF173" s="64"/>
      <c r="DG173" s="64"/>
      <c r="DH173" s="64"/>
      <c r="DI173" s="64"/>
      <c r="DJ173" s="64"/>
      <c r="DK173" s="64"/>
      <c r="DL173" s="64"/>
      <c r="DM173" s="64"/>
      <c r="DN173" s="64"/>
      <c r="DO173" s="64"/>
      <c r="DP173" s="64"/>
      <c r="DQ173" s="64"/>
      <c r="DR173" s="64"/>
      <c r="DS173" s="64"/>
      <c r="DT173" s="64"/>
      <c r="DU173" s="64"/>
      <c r="DV173" s="64"/>
      <c r="DW173" s="64"/>
      <c r="DX173" s="64"/>
      <c r="DY173" s="64"/>
      <c r="DZ173" s="64"/>
      <c r="EA173" s="64"/>
      <c r="EB173" s="64"/>
      <c r="EC173" s="64"/>
      <c r="ED173" s="64"/>
    </row>
    <row r="174" spans="1:134" ht="15.75" customHeight="1">
      <c r="A174" s="65" t="s">
        <v>177</v>
      </c>
      <c r="B174" s="65" t="s">
        <v>397</v>
      </c>
      <c r="C174" s="65" t="s">
        <v>654</v>
      </c>
      <c r="D174" s="65" t="str">
        <f t="shared" si="0"/>
        <v>DEF</v>
      </c>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64"/>
      <c r="BX174" s="64"/>
      <c r="BY174" s="64"/>
      <c r="BZ174" s="64"/>
      <c r="CA174" s="64"/>
      <c r="CB174" s="64"/>
      <c r="CC174" s="64"/>
      <c r="CD174" s="64"/>
      <c r="CE174" s="64"/>
      <c r="CF174" s="64"/>
      <c r="CG174" s="64"/>
      <c r="CH174" s="64"/>
      <c r="CI174" s="64"/>
      <c r="CJ174" s="64"/>
      <c r="CK174" s="64"/>
      <c r="CL174" s="64"/>
      <c r="CM174" s="64"/>
      <c r="CN174" s="64"/>
      <c r="CO174" s="64"/>
      <c r="CP174" s="64"/>
      <c r="CQ174" s="64"/>
      <c r="CR174" s="64"/>
      <c r="CS174" s="64"/>
      <c r="CT174" s="64"/>
      <c r="CU174" s="64"/>
      <c r="CV174" s="64"/>
      <c r="CW174" s="64"/>
      <c r="CX174" s="64"/>
      <c r="CY174" s="64"/>
      <c r="CZ174" s="64"/>
      <c r="DA174" s="64"/>
      <c r="DB174" s="64"/>
      <c r="DC174" s="64"/>
      <c r="DD174" s="64"/>
      <c r="DE174" s="64"/>
      <c r="DF174" s="64"/>
      <c r="DG174" s="64"/>
      <c r="DH174" s="64"/>
      <c r="DI174" s="64"/>
      <c r="DJ174" s="64"/>
      <c r="DK174" s="64"/>
      <c r="DL174" s="64"/>
      <c r="DM174" s="64"/>
      <c r="DN174" s="64"/>
      <c r="DO174" s="64"/>
      <c r="DP174" s="64"/>
      <c r="DQ174" s="64"/>
      <c r="DR174" s="64"/>
      <c r="DS174" s="64"/>
      <c r="DT174" s="64"/>
      <c r="DU174" s="64"/>
      <c r="DV174" s="64"/>
      <c r="DW174" s="64"/>
      <c r="DX174" s="64"/>
      <c r="DY174" s="64"/>
      <c r="DZ174" s="64"/>
      <c r="EA174" s="64"/>
      <c r="EB174" s="64"/>
      <c r="EC174" s="64"/>
      <c r="ED174" s="64"/>
    </row>
    <row r="175" spans="1:134" ht="15.75" customHeight="1">
      <c r="A175" s="65" t="s">
        <v>133</v>
      </c>
      <c r="B175" s="65" t="s">
        <v>406</v>
      </c>
      <c r="C175" s="65" t="s">
        <v>655</v>
      </c>
      <c r="D175" s="65" t="str">
        <f t="shared" si="0"/>
        <v>TE</v>
      </c>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64"/>
      <c r="BX175" s="64"/>
      <c r="BY175" s="64"/>
      <c r="BZ175" s="64"/>
      <c r="CA175" s="64"/>
      <c r="CB175" s="64"/>
      <c r="CC175" s="64"/>
      <c r="CD175" s="64"/>
      <c r="CE175" s="64"/>
      <c r="CF175" s="64"/>
      <c r="CG175" s="64"/>
      <c r="CH175" s="64"/>
      <c r="CI175" s="64"/>
      <c r="CJ175" s="64"/>
      <c r="CK175" s="64"/>
      <c r="CL175" s="64"/>
      <c r="CM175" s="64"/>
      <c r="CN175" s="64"/>
      <c r="CO175" s="64"/>
      <c r="CP175" s="64"/>
      <c r="CQ175" s="64"/>
      <c r="CR175" s="64"/>
      <c r="CS175" s="64"/>
      <c r="CT175" s="64"/>
      <c r="CU175" s="64"/>
      <c r="CV175" s="64"/>
      <c r="CW175" s="64"/>
      <c r="CX175" s="64"/>
      <c r="CY175" s="64"/>
      <c r="CZ175" s="64"/>
      <c r="DA175" s="64"/>
      <c r="DB175" s="64"/>
      <c r="DC175" s="64"/>
      <c r="DD175" s="64"/>
      <c r="DE175" s="64"/>
      <c r="DF175" s="64"/>
      <c r="DG175" s="64"/>
      <c r="DH175" s="64"/>
      <c r="DI175" s="64"/>
      <c r="DJ175" s="64"/>
      <c r="DK175" s="64"/>
      <c r="DL175" s="64"/>
      <c r="DM175" s="64"/>
      <c r="DN175" s="64"/>
      <c r="DO175" s="64"/>
      <c r="DP175" s="64"/>
      <c r="DQ175" s="64"/>
      <c r="DR175" s="64"/>
      <c r="DS175" s="64"/>
      <c r="DT175" s="64"/>
      <c r="DU175" s="64"/>
      <c r="DV175" s="64"/>
      <c r="DW175" s="64"/>
      <c r="DX175" s="64"/>
      <c r="DY175" s="64"/>
      <c r="DZ175" s="64"/>
      <c r="EA175" s="64"/>
      <c r="EB175" s="64"/>
      <c r="EC175" s="64"/>
      <c r="ED175" s="64"/>
    </row>
    <row r="176" spans="1:134" ht="15.75" customHeight="1">
      <c r="A176" s="65" t="s">
        <v>656</v>
      </c>
      <c r="B176" s="65" t="s">
        <v>399</v>
      </c>
      <c r="C176" s="65" t="s">
        <v>657</v>
      </c>
      <c r="D176" s="65" t="str">
        <f t="shared" si="0"/>
        <v>TE</v>
      </c>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64"/>
      <c r="BX176" s="64"/>
      <c r="BY176" s="64"/>
      <c r="BZ176" s="64"/>
      <c r="CA176" s="64"/>
      <c r="CB176" s="64"/>
      <c r="CC176" s="64"/>
      <c r="CD176" s="64"/>
      <c r="CE176" s="64"/>
      <c r="CF176" s="64"/>
      <c r="CG176" s="64"/>
      <c r="CH176" s="64"/>
      <c r="CI176" s="64"/>
      <c r="CJ176" s="64"/>
      <c r="CK176" s="64"/>
      <c r="CL176" s="64"/>
      <c r="CM176" s="64"/>
      <c r="CN176" s="64"/>
      <c r="CO176" s="64"/>
      <c r="CP176" s="64"/>
      <c r="CQ176" s="64"/>
      <c r="CR176" s="64"/>
      <c r="CS176" s="64"/>
      <c r="CT176" s="64"/>
      <c r="CU176" s="64"/>
      <c r="CV176" s="64"/>
      <c r="CW176" s="64"/>
      <c r="CX176" s="64"/>
      <c r="CY176" s="64"/>
      <c r="CZ176" s="64"/>
      <c r="DA176" s="64"/>
      <c r="DB176" s="64"/>
      <c r="DC176" s="64"/>
      <c r="DD176" s="64"/>
      <c r="DE176" s="64"/>
      <c r="DF176" s="64"/>
      <c r="DG176" s="64"/>
      <c r="DH176" s="64"/>
      <c r="DI176" s="64"/>
      <c r="DJ176" s="64"/>
      <c r="DK176" s="64"/>
      <c r="DL176" s="64"/>
      <c r="DM176" s="64"/>
      <c r="DN176" s="64"/>
      <c r="DO176" s="64"/>
      <c r="DP176" s="64"/>
      <c r="DQ176" s="64"/>
      <c r="DR176" s="64"/>
      <c r="DS176" s="64"/>
      <c r="DT176" s="64"/>
      <c r="DU176" s="64"/>
      <c r="DV176" s="64"/>
      <c r="DW176" s="64"/>
      <c r="DX176" s="64"/>
      <c r="DY176" s="64"/>
      <c r="DZ176" s="64"/>
      <c r="EA176" s="64"/>
      <c r="EB176" s="64"/>
      <c r="EC176" s="64"/>
      <c r="ED176" s="64"/>
    </row>
    <row r="177" spans="1:134" ht="15.75" customHeight="1">
      <c r="A177" s="65" t="s">
        <v>658</v>
      </c>
      <c r="B177" s="65" t="s">
        <v>393</v>
      </c>
      <c r="C177" s="65" t="s">
        <v>659</v>
      </c>
      <c r="D177" s="65" t="str">
        <f t="shared" si="0"/>
        <v>RB</v>
      </c>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64"/>
      <c r="BX177" s="64"/>
      <c r="BY177" s="64"/>
      <c r="BZ177" s="64"/>
      <c r="CA177" s="64"/>
      <c r="CB177" s="64"/>
      <c r="CC177" s="64"/>
      <c r="CD177" s="64"/>
      <c r="CE177" s="64"/>
      <c r="CF177" s="64"/>
      <c r="CG177" s="64"/>
      <c r="CH177" s="64"/>
      <c r="CI177" s="64"/>
      <c r="CJ177" s="64"/>
      <c r="CK177" s="64"/>
      <c r="CL177" s="64"/>
      <c r="CM177" s="64"/>
      <c r="CN177" s="64"/>
      <c r="CO177" s="64"/>
      <c r="CP177" s="64"/>
      <c r="CQ177" s="64"/>
      <c r="CR177" s="64"/>
      <c r="CS177" s="64"/>
      <c r="CT177" s="64"/>
      <c r="CU177" s="64"/>
      <c r="CV177" s="64"/>
      <c r="CW177" s="64"/>
      <c r="CX177" s="64"/>
      <c r="CY177" s="64"/>
      <c r="CZ177" s="64"/>
      <c r="DA177" s="64"/>
      <c r="DB177" s="64"/>
      <c r="DC177" s="64"/>
      <c r="DD177" s="64"/>
      <c r="DE177" s="64"/>
      <c r="DF177" s="64"/>
      <c r="DG177" s="64"/>
      <c r="DH177" s="64"/>
      <c r="DI177" s="64"/>
      <c r="DJ177" s="64"/>
      <c r="DK177" s="64"/>
      <c r="DL177" s="64"/>
      <c r="DM177" s="64"/>
      <c r="DN177" s="64"/>
      <c r="DO177" s="64"/>
      <c r="DP177" s="64"/>
      <c r="DQ177" s="64"/>
      <c r="DR177" s="64"/>
      <c r="DS177" s="64"/>
      <c r="DT177" s="64"/>
      <c r="DU177" s="64"/>
      <c r="DV177" s="64"/>
      <c r="DW177" s="64"/>
      <c r="DX177" s="64"/>
      <c r="DY177" s="64"/>
      <c r="DZ177" s="64"/>
      <c r="EA177" s="64"/>
      <c r="EB177" s="64"/>
      <c r="EC177" s="64"/>
      <c r="ED177" s="64"/>
    </row>
    <row r="178" spans="1:134" ht="15.75" customHeight="1">
      <c r="A178" s="65" t="s">
        <v>660</v>
      </c>
      <c r="B178" s="65" t="s">
        <v>389</v>
      </c>
      <c r="C178" s="65" t="s">
        <v>661</v>
      </c>
      <c r="D178" s="65" t="str">
        <f t="shared" si="0"/>
        <v>WR</v>
      </c>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64"/>
      <c r="BX178" s="64"/>
      <c r="BY178" s="64"/>
      <c r="BZ178" s="64"/>
      <c r="CA178" s="64"/>
      <c r="CB178" s="64"/>
      <c r="CC178" s="64"/>
      <c r="CD178" s="64"/>
      <c r="CE178" s="64"/>
      <c r="CF178" s="64"/>
      <c r="CG178" s="64"/>
      <c r="CH178" s="64"/>
      <c r="CI178" s="64"/>
      <c r="CJ178" s="64"/>
      <c r="CK178" s="64"/>
      <c r="CL178" s="64"/>
      <c r="CM178" s="64"/>
      <c r="CN178" s="64"/>
      <c r="CO178" s="64"/>
      <c r="CP178" s="64"/>
      <c r="CQ178" s="64"/>
      <c r="CR178" s="64"/>
      <c r="CS178" s="64"/>
      <c r="CT178" s="64"/>
      <c r="CU178" s="64"/>
      <c r="CV178" s="64"/>
      <c r="CW178" s="64"/>
      <c r="CX178" s="64"/>
      <c r="CY178" s="64"/>
      <c r="CZ178" s="64"/>
      <c r="DA178" s="64"/>
      <c r="DB178" s="64"/>
      <c r="DC178" s="64"/>
      <c r="DD178" s="64"/>
      <c r="DE178" s="64"/>
      <c r="DF178" s="64"/>
      <c r="DG178" s="64"/>
      <c r="DH178" s="64"/>
      <c r="DI178" s="64"/>
      <c r="DJ178" s="64"/>
      <c r="DK178" s="64"/>
      <c r="DL178" s="64"/>
      <c r="DM178" s="64"/>
      <c r="DN178" s="64"/>
      <c r="DO178" s="64"/>
      <c r="DP178" s="64"/>
      <c r="DQ178" s="64"/>
      <c r="DR178" s="64"/>
      <c r="DS178" s="64"/>
      <c r="DT178" s="64"/>
      <c r="DU178" s="64"/>
      <c r="DV178" s="64"/>
      <c r="DW178" s="64"/>
      <c r="DX178" s="64"/>
      <c r="DY178" s="64"/>
      <c r="DZ178" s="64"/>
      <c r="EA178" s="64"/>
      <c r="EB178" s="64"/>
      <c r="EC178" s="64"/>
      <c r="ED178" s="64"/>
    </row>
    <row r="179" spans="1:134" ht="15.75" customHeight="1">
      <c r="A179" s="65" t="s">
        <v>330</v>
      </c>
      <c r="B179" s="65" t="s">
        <v>398</v>
      </c>
      <c r="C179" s="65" t="s">
        <v>662</v>
      </c>
      <c r="D179" s="65" t="str">
        <f t="shared" si="0"/>
        <v>DEF</v>
      </c>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64"/>
      <c r="BX179" s="64"/>
      <c r="BY179" s="64"/>
      <c r="BZ179" s="64"/>
      <c r="CA179" s="64"/>
      <c r="CB179" s="64"/>
      <c r="CC179" s="64"/>
      <c r="CD179" s="64"/>
      <c r="CE179" s="64"/>
      <c r="CF179" s="64"/>
      <c r="CG179" s="64"/>
      <c r="CH179" s="64"/>
      <c r="CI179" s="64"/>
      <c r="CJ179" s="64"/>
      <c r="CK179" s="64"/>
      <c r="CL179" s="64"/>
      <c r="CM179" s="64"/>
      <c r="CN179" s="64"/>
      <c r="CO179" s="64"/>
      <c r="CP179" s="64"/>
      <c r="CQ179" s="64"/>
      <c r="CR179" s="64"/>
      <c r="CS179" s="64"/>
      <c r="CT179" s="64"/>
      <c r="CU179" s="64"/>
      <c r="CV179" s="64"/>
      <c r="CW179" s="64"/>
      <c r="CX179" s="64"/>
      <c r="CY179" s="64"/>
      <c r="CZ179" s="64"/>
      <c r="DA179" s="64"/>
      <c r="DB179" s="64"/>
      <c r="DC179" s="64"/>
      <c r="DD179" s="64"/>
      <c r="DE179" s="64"/>
      <c r="DF179" s="64"/>
      <c r="DG179" s="64"/>
      <c r="DH179" s="64"/>
      <c r="DI179" s="64"/>
      <c r="DJ179" s="64"/>
      <c r="DK179" s="64"/>
      <c r="DL179" s="64"/>
      <c r="DM179" s="64"/>
      <c r="DN179" s="64"/>
      <c r="DO179" s="64"/>
      <c r="DP179" s="64"/>
      <c r="DQ179" s="64"/>
      <c r="DR179" s="64"/>
      <c r="DS179" s="64"/>
      <c r="DT179" s="64"/>
      <c r="DU179" s="64"/>
      <c r="DV179" s="64"/>
      <c r="DW179" s="64"/>
      <c r="DX179" s="64"/>
      <c r="DY179" s="64"/>
      <c r="DZ179" s="64"/>
      <c r="EA179" s="64"/>
      <c r="EB179" s="64"/>
      <c r="EC179" s="64"/>
      <c r="ED179" s="64"/>
    </row>
    <row r="180" spans="1:134" ht="15.75" customHeight="1">
      <c r="A180" s="65" t="s">
        <v>182</v>
      </c>
      <c r="B180" s="65" t="s">
        <v>413</v>
      </c>
      <c r="C180" s="65" t="s">
        <v>663</v>
      </c>
      <c r="D180" s="65" t="str">
        <f t="shared" si="0"/>
        <v>RB</v>
      </c>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64"/>
      <c r="BX180" s="64"/>
      <c r="BY180" s="64"/>
      <c r="BZ180" s="64"/>
      <c r="CA180" s="64"/>
      <c r="CB180" s="64"/>
      <c r="CC180" s="64"/>
      <c r="CD180" s="64"/>
      <c r="CE180" s="64"/>
      <c r="CF180" s="64"/>
      <c r="CG180" s="64"/>
      <c r="CH180" s="64"/>
      <c r="CI180" s="64"/>
      <c r="CJ180" s="64"/>
      <c r="CK180" s="64"/>
      <c r="CL180" s="64"/>
      <c r="CM180" s="64"/>
      <c r="CN180" s="64"/>
      <c r="CO180" s="64"/>
      <c r="CP180" s="64"/>
      <c r="CQ180" s="64"/>
      <c r="CR180" s="64"/>
      <c r="CS180" s="64"/>
      <c r="CT180" s="64"/>
      <c r="CU180" s="64"/>
      <c r="CV180" s="64"/>
      <c r="CW180" s="64"/>
      <c r="CX180" s="64"/>
      <c r="CY180" s="64"/>
      <c r="CZ180" s="64"/>
      <c r="DA180" s="64"/>
      <c r="DB180" s="64"/>
      <c r="DC180" s="64"/>
      <c r="DD180" s="64"/>
      <c r="DE180" s="64"/>
      <c r="DF180" s="64"/>
      <c r="DG180" s="64"/>
      <c r="DH180" s="64"/>
      <c r="DI180" s="64"/>
      <c r="DJ180" s="64"/>
      <c r="DK180" s="64"/>
      <c r="DL180" s="64"/>
      <c r="DM180" s="64"/>
      <c r="DN180" s="64"/>
      <c r="DO180" s="64"/>
      <c r="DP180" s="64"/>
      <c r="DQ180" s="64"/>
      <c r="DR180" s="64"/>
      <c r="DS180" s="64"/>
      <c r="DT180" s="64"/>
      <c r="DU180" s="64"/>
      <c r="DV180" s="64"/>
      <c r="DW180" s="64"/>
      <c r="DX180" s="64"/>
      <c r="DY180" s="64"/>
      <c r="DZ180" s="64"/>
      <c r="EA180" s="64"/>
      <c r="EB180" s="64"/>
      <c r="EC180" s="64"/>
      <c r="ED180" s="64"/>
    </row>
    <row r="181" spans="1:134" ht="15.75" customHeight="1">
      <c r="A181" s="65" t="s">
        <v>664</v>
      </c>
      <c r="B181" s="65" t="s">
        <v>395</v>
      </c>
      <c r="C181" s="65" t="s">
        <v>665</v>
      </c>
      <c r="D181" s="65" t="str">
        <f t="shared" si="0"/>
        <v>WR</v>
      </c>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64"/>
      <c r="BX181" s="64"/>
      <c r="BY181" s="64"/>
      <c r="BZ181" s="64"/>
      <c r="CA181" s="64"/>
      <c r="CB181" s="64"/>
      <c r="CC181" s="64"/>
      <c r="CD181" s="64"/>
      <c r="CE181" s="64"/>
      <c r="CF181" s="64"/>
      <c r="CG181" s="64"/>
      <c r="CH181" s="64"/>
      <c r="CI181" s="64"/>
      <c r="CJ181" s="64"/>
      <c r="CK181" s="64"/>
      <c r="CL181" s="64"/>
      <c r="CM181" s="64"/>
      <c r="CN181" s="64"/>
      <c r="CO181" s="64"/>
      <c r="CP181" s="64"/>
      <c r="CQ181" s="64"/>
      <c r="CR181" s="64"/>
      <c r="CS181" s="64"/>
      <c r="CT181" s="64"/>
      <c r="CU181" s="64"/>
      <c r="CV181" s="64"/>
      <c r="CW181" s="64"/>
      <c r="CX181" s="64"/>
      <c r="CY181" s="64"/>
      <c r="CZ181" s="64"/>
      <c r="DA181" s="64"/>
      <c r="DB181" s="64"/>
      <c r="DC181" s="64"/>
      <c r="DD181" s="64"/>
      <c r="DE181" s="64"/>
      <c r="DF181" s="64"/>
      <c r="DG181" s="64"/>
      <c r="DH181" s="64"/>
      <c r="DI181" s="64"/>
      <c r="DJ181" s="64"/>
      <c r="DK181" s="64"/>
      <c r="DL181" s="64"/>
      <c r="DM181" s="64"/>
      <c r="DN181" s="64"/>
      <c r="DO181" s="64"/>
      <c r="DP181" s="64"/>
      <c r="DQ181" s="64"/>
      <c r="DR181" s="64"/>
      <c r="DS181" s="64"/>
      <c r="DT181" s="64"/>
      <c r="DU181" s="64"/>
      <c r="DV181" s="64"/>
      <c r="DW181" s="64"/>
      <c r="DX181" s="64"/>
      <c r="DY181" s="64"/>
      <c r="DZ181" s="64"/>
      <c r="EA181" s="64"/>
      <c r="EB181" s="64"/>
      <c r="EC181" s="64"/>
      <c r="ED181" s="64"/>
    </row>
    <row r="182" spans="1:134" ht="15.75" customHeight="1">
      <c r="A182" s="65" t="s">
        <v>666</v>
      </c>
      <c r="B182" s="65" t="s">
        <v>392</v>
      </c>
      <c r="C182" s="65" t="s">
        <v>667</v>
      </c>
      <c r="D182" s="65" t="str">
        <f t="shared" si="0"/>
        <v>WR</v>
      </c>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64"/>
      <c r="BX182" s="64"/>
      <c r="BY182" s="64"/>
      <c r="BZ182" s="64"/>
      <c r="CA182" s="64"/>
      <c r="CB182" s="64"/>
      <c r="CC182" s="64"/>
      <c r="CD182" s="64"/>
      <c r="CE182" s="64"/>
      <c r="CF182" s="64"/>
      <c r="CG182" s="64"/>
      <c r="CH182" s="64"/>
      <c r="CI182" s="64"/>
      <c r="CJ182" s="64"/>
      <c r="CK182" s="64"/>
      <c r="CL182" s="64"/>
      <c r="CM182" s="64"/>
      <c r="CN182" s="64"/>
      <c r="CO182" s="64"/>
      <c r="CP182" s="64"/>
      <c r="CQ182" s="64"/>
      <c r="CR182" s="64"/>
      <c r="CS182" s="64"/>
      <c r="CT182" s="64"/>
      <c r="CU182" s="64"/>
      <c r="CV182" s="64"/>
      <c r="CW182" s="64"/>
      <c r="CX182" s="64"/>
      <c r="CY182" s="64"/>
      <c r="CZ182" s="64"/>
      <c r="DA182" s="64"/>
      <c r="DB182" s="64"/>
      <c r="DC182" s="64"/>
      <c r="DD182" s="64"/>
      <c r="DE182" s="64"/>
      <c r="DF182" s="64"/>
      <c r="DG182" s="64"/>
      <c r="DH182" s="64"/>
      <c r="DI182" s="64"/>
      <c r="DJ182" s="64"/>
      <c r="DK182" s="64"/>
      <c r="DL182" s="64"/>
      <c r="DM182" s="64"/>
      <c r="DN182" s="64"/>
      <c r="DO182" s="64"/>
      <c r="DP182" s="64"/>
      <c r="DQ182" s="64"/>
      <c r="DR182" s="64"/>
      <c r="DS182" s="64"/>
      <c r="DT182" s="64"/>
      <c r="DU182" s="64"/>
      <c r="DV182" s="64"/>
      <c r="DW182" s="64"/>
      <c r="DX182" s="64"/>
      <c r="DY182" s="64"/>
      <c r="DZ182" s="64"/>
      <c r="EA182" s="64"/>
      <c r="EB182" s="64"/>
      <c r="EC182" s="64"/>
      <c r="ED182" s="64"/>
    </row>
    <row r="183" spans="1:134" ht="15.75" customHeight="1">
      <c r="A183" s="65" t="s">
        <v>668</v>
      </c>
      <c r="B183" s="65" t="s">
        <v>409</v>
      </c>
      <c r="C183" s="65" t="s">
        <v>669</v>
      </c>
      <c r="D183" s="65" t="str">
        <f t="shared" si="0"/>
        <v>RB</v>
      </c>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64"/>
      <c r="BX183" s="64"/>
      <c r="BY183" s="64"/>
      <c r="BZ183" s="64"/>
      <c r="CA183" s="64"/>
      <c r="CB183" s="64"/>
      <c r="CC183" s="64"/>
      <c r="CD183" s="64"/>
      <c r="CE183" s="64"/>
      <c r="CF183" s="64"/>
      <c r="CG183" s="64"/>
      <c r="CH183" s="64"/>
      <c r="CI183" s="64"/>
      <c r="CJ183" s="64"/>
      <c r="CK183" s="64"/>
      <c r="CL183" s="64"/>
      <c r="CM183" s="64"/>
      <c r="CN183" s="64"/>
      <c r="CO183" s="64"/>
      <c r="CP183" s="64"/>
      <c r="CQ183" s="64"/>
      <c r="CR183" s="64"/>
      <c r="CS183" s="64"/>
      <c r="CT183" s="64"/>
      <c r="CU183" s="64"/>
      <c r="CV183" s="64"/>
      <c r="CW183" s="64"/>
      <c r="CX183" s="64"/>
      <c r="CY183" s="64"/>
      <c r="CZ183" s="64"/>
      <c r="DA183" s="64"/>
      <c r="DB183" s="64"/>
      <c r="DC183" s="64"/>
      <c r="DD183" s="64"/>
      <c r="DE183" s="64"/>
      <c r="DF183" s="64"/>
      <c r="DG183" s="64"/>
      <c r="DH183" s="64"/>
      <c r="DI183" s="64"/>
      <c r="DJ183" s="64"/>
      <c r="DK183" s="64"/>
      <c r="DL183" s="64"/>
      <c r="DM183" s="64"/>
      <c r="DN183" s="64"/>
      <c r="DO183" s="64"/>
      <c r="DP183" s="64"/>
      <c r="DQ183" s="64"/>
      <c r="DR183" s="64"/>
      <c r="DS183" s="64"/>
      <c r="DT183" s="64"/>
      <c r="DU183" s="64"/>
      <c r="DV183" s="64"/>
      <c r="DW183" s="64"/>
      <c r="DX183" s="64"/>
      <c r="DY183" s="64"/>
      <c r="DZ183" s="64"/>
      <c r="EA183" s="64"/>
      <c r="EB183" s="64"/>
      <c r="EC183" s="64"/>
      <c r="ED183" s="64"/>
    </row>
    <row r="184" spans="1:134" ht="15.75" customHeight="1">
      <c r="A184" s="65" t="s">
        <v>242</v>
      </c>
      <c r="B184" s="65" t="s">
        <v>387</v>
      </c>
      <c r="C184" s="65" t="s">
        <v>670</v>
      </c>
      <c r="D184" s="65" t="str">
        <f t="shared" si="0"/>
        <v>TE</v>
      </c>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64"/>
      <c r="BX184" s="64"/>
      <c r="BY184" s="64"/>
      <c r="BZ184" s="64"/>
      <c r="CA184" s="64"/>
      <c r="CB184" s="64"/>
      <c r="CC184" s="64"/>
      <c r="CD184" s="64"/>
      <c r="CE184" s="64"/>
      <c r="CF184" s="64"/>
      <c r="CG184" s="64"/>
      <c r="CH184" s="64"/>
      <c r="CI184" s="64"/>
      <c r="CJ184" s="64"/>
      <c r="CK184" s="64"/>
      <c r="CL184" s="64"/>
      <c r="CM184" s="64"/>
      <c r="CN184" s="64"/>
      <c r="CO184" s="64"/>
      <c r="CP184" s="64"/>
      <c r="CQ184" s="64"/>
      <c r="CR184" s="64"/>
      <c r="CS184" s="64"/>
      <c r="CT184" s="64"/>
      <c r="CU184" s="64"/>
      <c r="CV184" s="64"/>
      <c r="CW184" s="64"/>
      <c r="CX184" s="64"/>
      <c r="CY184" s="64"/>
      <c r="CZ184" s="64"/>
      <c r="DA184" s="64"/>
      <c r="DB184" s="64"/>
      <c r="DC184" s="64"/>
      <c r="DD184" s="64"/>
      <c r="DE184" s="64"/>
      <c r="DF184" s="64"/>
      <c r="DG184" s="64"/>
      <c r="DH184" s="64"/>
      <c r="DI184" s="64"/>
      <c r="DJ184" s="64"/>
      <c r="DK184" s="64"/>
      <c r="DL184" s="64"/>
      <c r="DM184" s="64"/>
      <c r="DN184" s="64"/>
      <c r="DO184" s="64"/>
      <c r="DP184" s="64"/>
      <c r="DQ184" s="64"/>
      <c r="DR184" s="64"/>
      <c r="DS184" s="64"/>
      <c r="DT184" s="64"/>
      <c r="DU184" s="64"/>
      <c r="DV184" s="64"/>
      <c r="DW184" s="64"/>
      <c r="DX184" s="64"/>
      <c r="DY184" s="64"/>
      <c r="DZ184" s="64"/>
      <c r="EA184" s="64"/>
      <c r="EB184" s="64"/>
      <c r="EC184" s="64"/>
      <c r="ED184" s="64"/>
    </row>
    <row r="185" spans="1:134" ht="15.75" customHeight="1">
      <c r="A185" s="65" t="s">
        <v>83</v>
      </c>
      <c r="B185" s="65" t="s">
        <v>400</v>
      </c>
      <c r="C185" s="65" t="s">
        <v>671</v>
      </c>
      <c r="D185" s="65" t="str">
        <f t="shared" si="0"/>
        <v>RB</v>
      </c>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64"/>
      <c r="BX185" s="64"/>
      <c r="BY185" s="64"/>
      <c r="BZ185" s="64"/>
      <c r="CA185" s="64"/>
      <c r="CB185" s="64"/>
      <c r="CC185" s="64"/>
      <c r="CD185" s="64"/>
      <c r="CE185" s="64"/>
      <c r="CF185" s="64"/>
      <c r="CG185" s="64"/>
      <c r="CH185" s="64"/>
      <c r="CI185" s="64"/>
      <c r="CJ185" s="64"/>
      <c r="CK185" s="64"/>
      <c r="CL185" s="64"/>
      <c r="CM185" s="64"/>
      <c r="CN185" s="64"/>
      <c r="CO185" s="64"/>
      <c r="CP185" s="64"/>
      <c r="CQ185" s="64"/>
      <c r="CR185" s="64"/>
      <c r="CS185" s="64"/>
      <c r="CT185" s="64"/>
      <c r="CU185" s="64"/>
      <c r="CV185" s="64"/>
      <c r="CW185" s="64"/>
      <c r="CX185" s="64"/>
      <c r="CY185" s="64"/>
      <c r="CZ185" s="64"/>
      <c r="DA185" s="64"/>
      <c r="DB185" s="64"/>
      <c r="DC185" s="64"/>
      <c r="DD185" s="64"/>
      <c r="DE185" s="64"/>
      <c r="DF185" s="64"/>
      <c r="DG185" s="64"/>
      <c r="DH185" s="64"/>
      <c r="DI185" s="64"/>
      <c r="DJ185" s="64"/>
      <c r="DK185" s="64"/>
      <c r="DL185" s="64"/>
      <c r="DM185" s="64"/>
      <c r="DN185" s="64"/>
      <c r="DO185" s="64"/>
      <c r="DP185" s="64"/>
      <c r="DQ185" s="64"/>
      <c r="DR185" s="64"/>
      <c r="DS185" s="64"/>
      <c r="DT185" s="64"/>
      <c r="DU185" s="64"/>
      <c r="DV185" s="64"/>
      <c r="DW185" s="64"/>
      <c r="DX185" s="64"/>
      <c r="DY185" s="64"/>
      <c r="DZ185" s="64"/>
      <c r="EA185" s="64"/>
      <c r="EB185" s="64"/>
      <c r="EC185" s="64"/>
      <c r="ED185" s="64"/>
    </row>
    <row r="186" spans="1:134" ht="15.75" customHeight="1">
      <c r="A186" s="65" t="s">
        <v>196</v>
      </c>
      <c r="B186" s="65" t="s">
        <v>405</v>
      </c>
      <c r="C186" s="65" t="s">
        <v>672</v>
      </c>
      <c r="D186" s="65" t="str">
        <f t="shared" si="0"/>
        <v>QB</v>
      </c>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64"/>
      <c r="BX186" s="64"/>
      <c r="BY186" s="64"/>
      <c r="BZ186" s="64"/>
      <c r="CA186" s="64"/>
      <c r="CB186" s="64"/>
      <c r="CC186" s="64"/>
      <c r="CD186" s="64"/>
      <c r="CE186" s="64"/>
      <c r="CF186" s="64"/>
      <c r="CG186" s="64"/>
      <c r="CH186" s="64"/>
      <c r="CI186" s="64"/>
      <c r="CJ186" s="64"/>
      <c r="CK186" s="64"/>
      <c r="CL186" s="64"/>
      <c r="CM186" s="64"/>
      <c r="CN186" s="64"/>
      <c r="CO186" s="64"/>
      <c r="CP186" s="64"/>
      <c r="CQ186" s="64"/>
      <c r="CR186" s="64"/>
      <c r="CS186" s="64"/>
      <c r="CT186" s="64"/>
      <c r="CU186" s="64"/>
      <c r="CV186" s="64"/>
      <c r="CW186" s="64"/>
      <c r="CX186" s="64"/>
      <c r="CY186" s="64"/>
      <c r="CZ186" s="64"/>
      <c r="DA186" s="64"/>
      <c r="DB186" s="64"/>
      <c r="DC186" s="64"/>
      <c r="DD186" s="64"/>
      <c r="DE186" s="64"/>
      <c r="DF186" s="64"/>
      <c r="DG186" s="64"/>
      <c r="DH186" s="64"/>
      <c r="DI186" s="64"/>
      <c r="DJ186" s="64"/>
      <c r="DK186" s="64"/>
      <c r="DL186" s="64"/>
      <c r="DM186" s="64"/>
      <c r="DN186" s="64"/>
      <c r="DO186" s="64"/>
      <c r="DP186" s="64"/>
      <c r="DQ186" s="64"/>
      <c r="DR186" s="64"/>
      <c r="DS186" s="64"/>
      <c r="DT186" s="64"/>
      <c r="DU186" s="64"/>
      <c r="DV186" s="64"/>
      <c r="DW186" s="64"/>
      <c r="DX186" s="64"/>
      <c r="DY186" s="64"/>
      <c r="DZ186" s="64"/>
      <c r="EA186" s="64"/>
      <c r="EB186" s="64"/>
      <c r="EC186" s="64"/>
      <c r="ED186" s="64"/>
    </row>
    <row r="187" spans="1:134" ht="15.75" customHeight="1">
      <c r="A187" s="65" t="s">
        <v>111</v>
      </c>
      <c r="B187" s="65" t="s">
        <v>394</v>
      </c>
      <c r="C187" s="65" t="s">
        <v>673</v>
      </c>
      <c r="D187" s="65" t="str">
        <f t="shared" si="0"/>
        <v>RB</v>
      </c>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64"/>
      <c r="BX187" s="64"/>
      <c r="BY187" s="64"/>
      <c r="BZ187" s="64"/>
      <c r="CA187" s="64"/>
      <c r="CB187" s="64"/>
      <c r="CC187" s="64"/>
      <c r="CD187" s="64"/>
      <c r="CE187" s="64"/>
      <c r="CF187" s="64"/>
      <c r="CG187" s="64"/>
      <c r="CH187" s="64"/>
      <c r="CI187" s="64"/>
      <c r="CJ187" s="64"/>
      <c r="CK187" s="64"/>
      <c r="CL187" s="64"/>
      <c r="CM187" s="64"/>
      <c r="CN187" s="64"/>
      <c r="CO187" s="64"/>
      <c r="CP187" s="64"/>
      <c r="CQ187" s="64"/>
      <c r="CR187" s="64"/>
      <c r="CS187" s="64"/>
      <c r="CT187" s="64"/>
      <c r="CU187" s="64"/>
      <c r="CV187" s="64"/>
      <c r="CW187" s="64"/>
      <c r="CX187" s="64"/>
      <c r="CY187" s="64"/>
      <c r="CZ187" s="64"/>
      <c r="DA187" s="64"/>
      <c r="DB187" s="64"/>
      <c r="DC187" s="64"/>
      <c r="DD187" s="64"/>
      <c r="DE187" s="64"/>
      <c r="DF187" s="64"/>
      <c r="DG187" s="64"/>
      <c r="DH187" s="64"/>
      <c r="DI187" s="64"/>
      <c r="DJ187" s="64"/>
      <c r="DK187" s="64"/>
      <c r="DL187" s="64"/>
      <c r="DM187" s="64"/>
      <c r="DN187" s="64"/>
      <c r="DO187" s="64"/>
      <c r="DP187" s="64"/>
      <c r="DQ187" s="64"/>
      <c r="DR187" s="64"/>
      <c r="DS187" s="64"/>
      <c r="DT187" s="64"/>
      <c r="DU187" s="64"/>
      <c r="DV187" s="64"/>
      <c r="DW187" s="64"/>
      <c r="DX187" s="64"/>
      <c r="DY187" s="64"/>
      <c r="DZ187" s="64"/>
      <c r="EA187" s="64"/>
      <c r="EB187" s="64"/>
      <c r="EC187" s="64"/>
      <c r="ED187" s="64"/>
    </row>
    <row r="188" spans="1:134" ht="15.75" customHeight="1">
      <c r="A188" s="65" t="s">
        <v>674</v>
      </c>
      <c r="B188" s="65" t="s">
        <v>406</v>
      </c>
      <c r="C188" s="65" t="s">
        <v>675</v>
      </c>
      <c r="D188" s="65" t="str">
        <f t="shared" si="0"/>
        <v>WR</v>
      </c>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64"/>
      <c r="BX188" s="64"/>
      <c r="BY188" s="64"/>
      <c r="BZ188" s="64"/>
      <c r="CA188" s="64"/>
      <c r="CB188" s="64"/>
      <c r="CC188" s="64"/>
      <c r="CD188" s="64"/>
      <c r="CE188" s="64"/>
      <c r="CF188" s="64"/>
      <c r="CG188" s="64"/>
      <c r="CH188" s="64"/>
      <c r="CI188" s="64"/>
      <c r="CJ188" s="64"/>
      <c r="CK188" s="64"/>
      <c r="CL188" s="64"/>
      <c r="CM188" s="64"/>
      <c r="CN188" s="64"/>
      <c r="CO188" s="64"/>
      <c r="CP188" s="64"/>
      <c r="CQ188" s="64"/>
      <c r="CR188" s="64"/>
      <c r="CS188" s="64"/>
      <c r="CT188" s="64"/>
      <c r="CU188" s="64"/>
      <c r="CV188" s="64"/>
      <c r="CW188" s="64"/>
      <c r="CX188" s="64"/>
      <c r="CY188" s="64"/>
      <c r="CZ188" s="64"/>
      <c r="DA188" s="64"/>
      <c r="DB188" s="64"/>
      <c r="DC188" s="64"/>
      <c r="DD188" s="64"/>
      <c r="DE188" s="64"/>
      <c r="DF188" s="64"/>
      <c r="DG188" s="64"/>
      <c r="DH188" s="64"/>
      <c r="DI188" s="64"/>
      <c r="DJ188" s="64"/>
      <c r="DK188" s="64"/>
      <c r="DL188" s="64"/>
      <c r="DM188" s="64"/>
      <c r="DN188" s="64"/>
      <c r="DO188" s="64"/>
      <c r="DP188" s="64"/>
      <c r="DQ188" s="64"/>
      <c r="DR188" s="64"/>
      <c r="DS188" s="64"/>
      <c r="DT188" s="64"/>
      <c r="DU188" s="64"/>
      <c r="DV188" s="64"/>
      <c r="DW188" s="64"/>
      <c r="DX188" s="64"/>
      <c r="DY188" s="64"/>
      <c r="DZ188" s="64"/>
      <c r="EA188" s="64"/>
      <c r="EB188" s="64"/>
      <c r="EC188" s="64"/>
      <c r="ED188" s="64"/>
    </row>
    <row r="189" spans="1:134" ht="15.75" customHeight="1">
      <c r="A189" s="68" t="s">
        <v>22</v>
      </c>
      <c r="B189" s="65" t="s">
        <v>391</v>
      </c>
      <c r="C189" s="65" t="s">
        <v>676</v>
      </c>
      <c r="D189" s="65" t="str">
        <f t="shared" si="0"/>
        <v>WR</v>
      </c>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64"/>
      <c r="BX189" s="64"/>
      <c r="BY189" s="64"/>
      <c r="BZ189" s="64"/>
      <c r="CA189" s="64"/>
      <c r="CB189" s="64"/>
      <c r="CC189" s="64"/>
      <c r="CD189" s="64"/>
      <c r="CE189" s="64"/>
      <c r="CF189" s="64"/>
      <c r="CG189" s="64"/>
      <c r="CH189" s="64"/>
      <c r="CI189" s="64"/>
      <c r="CJ189" s="64"/>
      <c r="CK189" s="64"/>
      <c r="CL189" s="64"/>
      <c r="CM189" s="64"/>
      <c r="CN189" s="64"/>
      <c r="CO189" s="64"/>
      <c r="CP189" s="64"/>
      <c r="CQ189" s="64"/>
      <c r="CR189" s="64"/>
      <c r="CS189" s="64"/>
      <c r="CT189" s="64"/>
      <c r="CU189" s="64"/>
      <c r="CV189" s="64"/>
      <c r="CW189" s="64"/>
      <c r="CX189" s="64"/>
      <c r="CY189" s="64"/>
      <c r="CZ189" s="64"/>
      <c r="DA189" s="64"/>
      <c r="DB189" s="64"/>
      <c r="DC189" s="64"/>
      <c r="DD189" s="64"/>
      <c r="DE189" s="64"/>
      <c r="DF189" s="64"/>
      <c r="DG189" s="64"/>
      <c r="DH189" s="64"/>
      <c r="DI189" s="64"/>
      <c r="DJ189" s="64"/>
      <c r="DK189" s="64"/>
      <c r="DL189" s="64"/>
      <c r="DM189" s="64"/>
      <c r="DN189" s="64"/>
      <c r="DO189" s="64"/>
      <c r="DP189" s="64"/>
      <c r="DQ189" s="64"/>
      <c r="DR189" s="64"/>
      <c r="DS189" s="64"/>
      <c r="DT189" s="64"/>
      <c r="DU189" s="64"/>
      <c r="DV189" s="64"/>
      <c r="DW189" s="64"/>
      <c r="DX189" s="64"/>
      <c r="DY189" s="64"/>
      <c r="DZ189" s="64"/>
      <c r="EA189" s="64"/>
      <c r="EB189" s="64"/>
      <c r="EC189" s="64"/>
      <c r="ED189" s="64"/>
    </row>
    <row r="190" spans="1:134" ht="15.75" customHeight="1">
      <c r="A190" s="65" t="s">
        <v>677</v>
      </c>
      <c r="B190" s="65" t="s">
        <v>399</v>
      </c>
      <c r="C190" s="65" t="s">
        <v>678</v>
      </c>
      <c r="D190" s="65" t="str">
        <f t="shared" si="0"/>
        <v>RB</v>
      </c>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64"/>
      <c r="BX190" s="64"/>
      <c r="BY190" s="64"/>
      <c r="BZ190" s="64"/>
      <c r="CA190" s="64"/>
      <c r="CB190" s="64"/>
      <c r="CC190" s="64"/>
      <c r="CD190" s="64"/>
      <c r="CE190" s="64"/>
      <c r="CF190" s="64"/>
      <c r="CG190" s="64"/>
      <c r="CH190" s="64"/>
      <c r="CI190" s="64"/>
      <c r="CJ190" s="64"/>
      <c r="CK190" s="64"/>
      <c r="CL190" s="64"/>
      <c r="CM190" s="64"/>
      <c r="CN190" s="64"/>
      <c r="CO190" s="64"/>
      <c r="CP190" s="64"/>
      <c r="CQ190" s="64"/>
      <c r="CR190" s="64"/>
      <c r="CS190" s="64"/>
      <c r="CT190" s="64"/>
      <c r="CU190" s="64"/>
      <c r="CV190" s="64"/>
      <c r="CW190" s="64"/>
      <c r="CX190" s="64"/>
      <c r="CY190" s="64"/>
      <c r="CZ190" s="64"/>
      <c r="DA190" s="64"/>
      <c r="DB190" s="64"/>
      <c r="DC190" s="64"/>
      <c r="DD190" s="64"/>
      <c r="DE190" s="64"/>
      <c r="DF190" s="64"/>
      <c r="DG190" s="64"/>
      <c r="DH190" s="64"/>
      <c r="DI190" s="64"/>
      <c r="DJ190" s="64"/>
      <c r="DK190" s="64"/>
      <c r="DL190" s="64"/>
      <c r="DM190" s="64"/>
      <c r="DN190" s="64"/>
      <c r="DO190" s="64"/>
      <c r="DP190" s="64"/>
      <c r="DQ190" s="64"/>
      <c r="DR190" s="64"/>
      <c r="DS190" s="64"/>
      <c r="DT190" s="64"/>
      <c r="DU190" s="64"/>
      <c r="DV190" s="64"/>
      <c r="DW190" s="64"/>
      <c r="DX190" s="64"/>
      <c r="DY190" s="64"/>
      <c r="DZ190" s="64"/>
      <c r="EA190" s="64"/>
      <c r="EB190" s="64"/>
      <c r="EC190" s="64"/>
      <c r="ED190" s="64"/>
    </row>
    <row r="191" spans="1:134" ht="15.75" customHeight="1">
      <c r="A191" s="65" t="s">
        <v>265</v>
      </c>
      <c r="B191" s="65" t="s">
        <v>389</v>
      </c>
      <c r="C191" s="65" t="s">
        <v>679</v>
      </c>
      <c r="D191" s="65" t="str">
        <f t="shared" si="0"/>
        <v>TE</v>
      </c>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64"/>
      <c r="BX191" s="64"/>
      <c r="BY191" s="64"/>
      <c r="BZ191" s="64"/>
      <c r="CA191" s="64"/>
      <c r="CB191" s="64"/>
      <c r="CC191" s="64"/>
      <c r="CD191" s="64"/>
      <c r="CE191" s="64"/>
      <c r="CF191" s="64"/>
      <c r="CG191" s="64"/>
      <c r="CH191" s="64"/>
      <c r="CI191" s="64"/>
      <c r="CJ191" s="64"/>
      <c r="CK191" s="64"/>
      <c r="CL191" s="64"/>
      <c r="CM191" s="64"/>
      <c r="CN191" s="64"/>
      <c r="CO191" s="64"/>
      <c r="CP191" s="64"/>
      <c r="CQ191" s="64"/>
      <c r="CR191" s="64"/>
      <c r="CS191" s="64"/>
      <c r="CT191" s="64"/>
      <c r="CU191" s="64"/>
      <c r="CV191" s="64"/>
      <c r="CW191" s="64"/>
      <c r="CX191" s="64"/>
      <c r="CY191" s="64"/>
      <c r="CZ191" s="64"/>
      <c r="DA191" s="64"/>
      <c r="DB191" s="64"/>
      <c r="DC191" s="64"/>
      <c r="DD191" s="64"/>
      <c r="DE191" s="64"/>
      <c r="DF191" s="64"/>
      <c r="DG191" s="64"/>
      <c r="DH191" s="64"/>
      <c r="DI191" s="64"/>
      <c r="DJ191" s="64"/>
      <c r="DK191" s="64"/>
      <c r="DL191" s="64"/>
      <c r="DM191" s="64"/>
      <c r="DN191" s="64"/>
      <c r="DO191" s="64"/>
      <c r="DP191" s="64"/>
      <c r="DQ191" s="64"/>
      <c r="DR191" s="64"/>
      <c r="DS191" s="64"/>
      <c r="DT191" s="64"/>
      <c r="DU191" s="64"/>
      <c r="DV191" s="64"/>
      <c r="DW191" s="64"/>
      <c r="DX191" s="64"/>
      <c r="DY191" s="64"/>
      <c r="DZ191" s="64"/>
      <c r="EA191" s="64"/>
      <c r="EB191" s="64"/>
      <c r="EC191" s="64"/>
      <c r="ED191" s="64"/>
    </row>
    <row r="192" spans="1:134" ht="15.75" customHeight="1">
      <c r="A192" s="65" t="s">
        <v>241</v>
      </c>
      <c r="B192" s="65" t="s">
        <v>403</v>
      </c>
      <c r="C192" s="65" t="s">
        <v>680</v>
      </c>
      <c r="D192" s="65" t="str">
        <f t="shared" si="0"/>
        <v>WR</v>
      </c>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64"/>
      <c r="BX192" s="64"/>
      <c r="BY192" s="64"/>
      <c r="BZ192" s="64"/>
      <c r="CA192" s="64"/>
      <c r="CB192" s="64"/>
      <c r="CC192" s="64"/>
      <c r="CD192" s="64"/>
      <c r="CE192" s="64"/>
      <c r="CF192" s="64"/>
      <c r="CG192" s="64"/>
      <c r="CH192" s="64"/>
      <c r="CI192" s="64"/>
      <c r="CJ192" s="64"/>
      <c r="CK192" s="64"/>
      <c r="CL192" s="64"/>
      <c r="CM192" s="64"/>
      <c r="CN192" s="64"/>
      <c r="CO192" s="64"/>
      <c r="CP192" s="64"/>
      <c r="CQ192" s="64"/>
      <c r="CR192" s="64"/>
      <c r="CS192" s="64"/>
      <c r="CT192" s="64"/>
      <c r="CU192" s="64"/>
      <c r="CV192" s="64"/>
      <c r="CW192" s="64"/>
      <c r="CX192" s="64"/>
      <c r="CY192" s="64"/>
      <c r="CZ192" s="64"/>
      <c r="DA192" s="64"/>
      <c r="DB192" s="64"/>
      <c r="DC192" s="64"/>
      <c r="DD192" s="64"/>
      <c r="DE192" s="64"/>
      <c r="DF192" s="64"/>
      <c r="DG192" s="64"/>
      <c r="DH192" s="64"/>
      <c r="DI192" s="64"/>
      <c r="DJ192" s="64"/>
      <c r="DK192" s="64"/>
      <c r="DL192" s="64"/>
      <c r="DM192" s="64"/>
      <c r="DN192" s="64"/>
      <c r="DO192" s="64"/>
      <c r="DP192" s="64"/>
      <c r="DQ192" s="64"/>
      <c r="DR192" s="64"/>
      <c r="DS192" s="64"/>
      <c r="DT192" s="64"/>
      <c r="DU192" s="64"/>
      <c r="DV192" s="64"/>
      <c r="DW192" s="64"/>
      <c r="DX192" s="64"/>
      <c r="DY192" s="64"/>
      <c r="DZ192" s="64"/>
      <c r="EA192" s="64"/>
      <c r="EB192" s="64"/>
      <c r="EC192" s="64"/>
      <c r="ED192" s="64"/>
    </row>
    <row r="193" spans="1:134" ht="15.75" customHeight="1">
      <c r="A193" s="65" t="s">
        <v>681</v>
      </c>
      <c r="B193" s="65" t="s">
        <v>399</v>
      </c>
      <c r="C193" s="65" t="s">
        <v>682</v>
      </c>
      <c r="D193" s="65" t="str">
        <f t="shared" si="0"/>
        <v>DEF</v>
      </c>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64"/>
      <c r="BX193" s="64"/>
      <c r="BY193" s="64"/>
      <c r="BZ193" s="64"/>
      <c r="CA193" s="64"/>
      <c r="CB193" s="64"/>
      <c r="CC193" s="64"/>
      <c r="CD193" s="64"/>
      <c r="CE193" s="64"/>
      <c r="CF193" s="64"/>
      <c r="CG193" s="64"/>
      <c r="CH193" s="64"/>
      <c r="CI193" s="64"/>
      <c r="CJ193" s="64"/>
      <c r="CK193" s="64"/>
      <c r="CL193" s="64"/>
      <c r="CM193" s="64"/>
      <c r="CN193" s="64"/>
      <c r="CO193" s="64"/>
      <c r="CP193" s="64"/>
      <c r="CQ193" s="64"/>
      <c r="CR193" s="64"/>
      <c r="CS193" s="64"/>
      <c r="CT193" s="64"/>
      <c r="CU193" s="64"/>
      <c r="CV193" s="64"/>
      <c r="CW193" s="64"/>
      <c r="CX193" s="64"/>
      <c r="CY193" s="64"/>
      <c r="CZ193" s="64"/>
      <c r="DA193" s="64"/>
      <c r="DB193" s="64"/>
      <c r="DC193" s="64"/>
      <c r="DD193" s="64"/>
      <c r="DE193" s="64"/>
      <c r="DF193" s="64"/>
      <c r="DG193" s="64"/>
      <c r="DH193" s="64"/>
      <c r="DI193" s="64"/>
      <c r="DJ193" s="64"/>
      <c r="DK193" s="64"/>
      <c r="DL193" s="64"/>
      <c r="DM193" s="64"/>
      <c r="DN193" s="64"/>
      <c r="DO193" s="64"/>
      <c r="DP193" s="64"/>
      <c r="DQ193" s="64"/>
      <c r="DR193" s="64"/>
      <c r="DS193" s="64"/>
      <c r="DT193" s="64"/>
      <c r="DU193" s="64"/>
      <c r="DV193" s="64"/>
      <c r="DW193" s="64"/>
      <c r="DX193" s="64"/>
      <c r="DY193" s="64"/>
      <c r="DZ193" s="64"/>
      <c r="EA193" s="64"/>
      <c r="EB193" s="64"/>
      <c r="EC193" s="64"/>
      <c r="ED193" s="64"/>
    </row>
    <row r="194" spans="1:134" ht="15.75" customHeight="1">
      <c r="A194" s="65" t="s">
        <v>683</v>
      </c>
      <c r="B194" s="65" t="s">
        <v>413</v>
      </c>
      <c r="C194" s="65" t="s">
        <v>684</v>
      </c>
      <c r="D194" s="65" t="str">
        <f t="shared" si="0"/>
        <v>WR</v>
      </c>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64"/>
      <c r="BX194" s="64"/>
      <c r="BY194" s="64"/>
      <c r="BZ194" s="64"/>
      <c r="CA194" s="64"/>
      <c r="CB194" s="64"/>
      <c r="CC194" s="64"/>
      <c r="CD194" s="64"/>
      <c r="CE194" s="64"/>
      <c r="CF194" s="64"/>
      <c r="CG194" s="64"/>
      <c r="CH194" s="64"/>
      <c r="CI194" s="64"/>
      <c r="CJ194" s="64"/>
      <c r="CK194" s="64"/>
      <c r="CL194" s="64"/>
      <c r="CM194" s="64"/>
      <c r="CN194" s="64"/>
      <c r="CO194" s="64"/>
      <c r="CP194" s="64"/>
      <c r="CQ194" s="64"/>
      <c r="CR194" s="64"/>
      <c r="CS194" s="64"/>
      <c r="CT194" s="64"/>
      <c r="CU194" s="64"/>
      <c r="CV194" s="64"/>
      <c r="CW194" s="64"/>
      <c r="CX194" s="64"/>
      <c r="CY194" s="64"/>
      <c r="CZ194" s="64"/>
      <c r="DA194" s="64"/>
      <c r="DB194" s="64"/>
      <c r="DC194" s="64"/>
      <c r="DD194" s="64"/>
      <c r="DE194" s="64"/>
      <c r="DF194" s="64"/>
      <c r="DG194" s="64"/>
      <c r="DH194" s="64"/>
      <c r="DI194" s="64"/>
      <c r="DJ194" s="64"/>
      <c r="DK194" s="64"/>
      <c r="DL194" s="64"/>
      <c r="DM194" s="64"/>
      <c r="DN194" s="64"/>
      <c r="DO194" s="64"/>
      <c r="DP194" s="64"/>
      <c r="DQ194" s="64"/>
      <c r="DR194" s="64"/>
      <c r="DS194" s="64"/>
      <c r="DT194" s="64"/>
      <c r="DU194" s="64"/>
      <c r="DV194" s="64"/>
      <c r="DW194" s="64"/>
      <c r="DX194" s="64"/>
      <c r="DY194" s="64"/>
      <c r="DZ194" s="64"/>
      <c r="EA194" s="64"/>
      <c r="EB194" s="64"/>
      <c r="EC194" s="64"/>
      <c r="ED194" s="64"/>
    </row>
    <row r="195" spans="1:134" ht="15.75" customHeight="1">
      <c r="A195" s="65" t="s">
        <v>685</v>
      </c>
      <c r="B195" s="65" t="s">
        <v>385</v>
      </c>
      <c r="C195" s="65" t="s">
        <v>686</v>
      </c>
      <c r="D195" s="65" t="str">
        <f t="shared" si="0"/>
        <v>QB</v>
      </c>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64"/>
      <c r="BX195" s="64"/>
      <c r="BY195" s="64"/>
      <c r="BZ195" s="64"/>
      <c r="CA195" s="64"/>
      <c r="CB195" s="64"/>
      <c r="CC195" s="64"/>
      <c r="CD195" s="64"/>
      <c r="CE195" s="64"/>
      <c r="CF195" s="64"/>
      <c r="CG195" s="64"/>
      <c r="CH195" s="64"/>
      <c r="CI195" s="64"/>
      <c r="CJ195" s="64"/>
      <c r="CK195" s="64"/>
      <c r="CL195" s="64"/>
      <c r="CM195" s="64"/>
      <c r="CN195" s="64"/>
      <c r="CO195" s="64"/>
      <c r="CP195" s="64"/>
      <c r="CQ195" s="64"/>
      <c r="CR195" s="64"/>
      <c r="CS195" s="64"/>
      <c r="CT195" s="64"/>
      <c r="CU195" s="64"/>
      <c r="CV195" s="64"/>
      <c r="CW195" s="64"/>
      <c r="CX195" s="64"/>
      <c r="CY195" s="64"/>
      <c r="CZ195" s="64"/>
      <c r="DA195" s="64"/>
      <c r="DB195" s="64"/>
      <c r="DC195" s="64"/>
      <c r="DD195" s="64"/>
      <c r="DE195" s="64"/>
      <c r="DF195" s="64"/>
      <c r="DG195" s="64"/>
      <c r="DH195" s="64"/>
      <c r="DI195" s="64"/>
      <c r="DJ195" s="64"/>
      <c r="DK195" s="64"/>
      <c r="DL195" s="64"/>
      <c r="DM195" s="64"/>
      <c r="DN195" s="64"/>
      <c r="DO195" s="64"/>
      <c r="DP195" s="64"/>
      <c r="DQ195" s="64"/>
      <c r="DR195" s="64"/>
      <c r="DS195" s="64"/>
      <c r="DT195" s="64"/>
      <c r="DU195" s="64"/>
      <c r="DV195" s="64"/>
      <c r="DW195" s="64"/>
      <c r="DX195" s="64"/>
      <c r="DY195" s="64"/>
      <c r="DZ195" s="64"/>
      <c r="EA195" s="64"/>
      <c r="EB195" s="64"/>
      <c r="EC195" s="64"/>
      <c r="ED195" s="64"/>
    </row>
    <row r="196" spans="1:134" ht="15.75" customHeight="1">
      <c r="A196" s="65" t="s">
        <v>137</v>
      </c>
      <c r="B196" s="65" t="s">
        <v>416</v>
      </c>
      <c r="C196" s="65" t="s">
        <v>687</v>
      </c>
      <c r="D196" s="65" t="str">
        <f t="shared" si="0"/>
        <v>RB</v>
      </c>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64"/>
      <c r="BX196" s="64"/>
      <c r="BY196" s="64"/>
      <c r="BZ196" s="64"/>
      <c r="CA196" s="64"/>
      <c r="CB196" s="64"/>
      <c r="CC196" s="64"/>
      <c r="CD196" s="64"/>
      <c r="CE196" s="64"/>
      <c r="CF196" s="64"/>
      <c r="CG196" s="64"/>
      <c r="CH196" s="64"/>
      <c r="CI196" s="64"/>
      <c r="CJ196" s="64"/>
      <c r="CK196" s="64"/>
      <c r="CL196" s="64"/>
      <c r="CM196" s="64"/>
      <c r="CN196" s="64"/>
      <c r="CO196" s="64"/>
      <c r="CP196" s="64"/>
      <c r="CQ196" s="64"/>
      <c r="CR196" s="64"/>
      <c r="CS196" s="64"/>
      <c r="CT196" s="64"/>
      <c r="CU196" s="64"/>
      <c r="CV196" s="64"/>
      <c r="CW196" s="64"/>
      <c r="CX196" s="64"/>
      <c r="CY196" s="64"/>
      <c r="CZ196" s="64"/>
      <c r="DA196" s="64"/>
      <c r="DB196" s="64"/>
      <c r="DC196" s="64"/>
      <c r="DD196" s="64"/>
      <c r="DE196" s="64"/>
      <c r="DF196" s="64"/>
      <c r="DG196" s="64"/>
      <c r="DH196" s="64"/>
      <c r="DI196" s="64"/>
      <c r="DJ196" s="64"/>
      <c r="DK196" s="64"/>
      <c r="DL196" s="64"/>
      <c r="DM196" s="64"/>
      <c r="DN196" s="64"/>
      <c r="DO196" s="64"/>
      <c r="DP196" s="64"/>
      <c r="DQ196" s="64"/>
      <c r="DR196" s="64"/>
      <c r="DS196" s="64"/>
      <c r="DT196" s="64"/>
      <c r="DU196" s="64"/>
      <c r="DV196" s="64"/>
      <c r="DW196" s="64"/>
      <c r="DX196" s="64"/>
      <c r="DY196" s="64"/>
      <c r="DZ196" s="64"/>
      <c r="EA196" s="64"/>
      <c r="EB196" s="64"/>
      <c r="EC196" s="64"/>
      <c r="ED196" s="64"/>
    </row>
    <row r="197" spans="1:134" ht="15.75" customHeight="1">
      <c r="A197" s="65" t="s">
        <v>688</v>
      </c>
      <c r="B197" s="65" t="s">
        <v>410</v>
      </c>
      <c r="C197" s="65" t="s">
        <v>689</v>
      </c>
      <c r="D197" s="65" t="str">
        <f t="shared" si="0"/>
        <v>WR</v>
      </c>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64"/>
      <c r="BX197" s="64"/>
      <c r="BY197" s="64"/>
      <c r="BZ197" s="64"/>
      <c r="CA197" s="64"/>
      <c r="CB197" s="64"/>
      <c r="CC197" s="64"/>
      <c r="CD197" s="64"/>
      <c r="CE197" s="64"/>
      <c r="CF197" s="64"/>
      <c r="CG197" s="64"/>
      <c r="CH197" s="64"/>
      <c r="CI197" s="64"/>
      <c r="CJ197" s="64"/>
      <c r="CK197" s="64"/>
      <c r="CL197" s="64"/>
      <c r="CM197" s="64"/>
      <c r="CN197" s="64"/>
      <c r="CO197" s="64"/>
      <c r="CP197" s="64"/>
      <c r="CQ197" s="64"/>
      <c r="CR197" s="64"/>
      <c r="CS197" s="64"/>
      <c r="CT197" s="64"/>
      <c r="CU197" s="64"/>
      <c r="CV197" s="64"/>
      <c r="CW197" s="64"/>
      <c r="CX197" s="64"/>
      <c r="CY197" s="64"/>
      <c r="CZ197" s="64"/>
      <c r="DA197" s="64"/>
      <c r="DB197" s="64"/>
      <c r="DC197" s="64"/>
      <c r="DD197" s="64"/>
      <c r="DE197" s="64"/>
      <c r="DF197" s="64"/>
      <c r="DG197" s="64"/>
      <c r="DH197" s="64"/>
      <c r="DI197" s="64"/>
      <c r="DJ197" s="64"/>
      <c r="DK197" s="64"/>
      <c r="DL197" s="64"/>
      <c r="DM197" s="64"/>
      <c r="DN197" s="64"/>
      <c r="DO197" s="64"/>
      <c r="DP197" s="64"/>
      <c r="DQ197" s="64"/>
      <c r="DR197" s="64"/>
      <c r="DS197" s="64"/>
      <c r="DT197" s="64"/>
      <c r="DU197" s="64"/>
      <c r="DV197" s="64"/>
      <c r="DW197" s="64"/>
      <c r="DX197" s="64"/>
      <c r="DY197" s="64"/>
      <c r="DZ197" s="64"/>
      <c r="EA197" s="64"/>
      <c r="EB197" s="64"/>
      <c r="EC197" s="64"/>
      <c r="ED197" s="64"/>
    </row>
    <row r="198" spans="1:134" ht="15.75" customHeight="1">
      <c r="A198" s="65" t="s">
        <v>24</v>
      </c>
      <c r="B198" s="65" t="s">
        <v>395</v>
      </c>
      <c r="C198" s="65" t="s">
        <v>690</v>
      </c>
      <c r="D198" s="65" t="str">
        <f t="shared" si="0"/>
        <v>RB</v>
      </c>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64"/>
      <c r="BX198" s="64"/>
      <c r="BY198" s="64"/>
      <c r="BZ198" s="64"/>
      <c r="CA198" s="64"/>
      <c r="CB198" s="64"/>
      <c r="CC198" s="64"/>
      <c r="CD198" s="64"/>
      <c r="CE198" s="64"/>
      <c r="CF198" s="64"/>
      <c r="CG198" s="64"/>
      <c r="CH198" s="64"/>
      <c r="CI198" s="64"/>
      <c r="CJ198" s="64"/>
      <c r="CK198" s="64"/>
      <c r="CL198" s="64"/>
      <c r="CM198" s="64"/>
      <c r="CN198" s="64"/>
      <c r="CO198" s="64"/>
      <c r="CP198" s="64"/>
      <c r="CQ198" s="64"/>
      <c r="CR198" s="64"/>
      <c r="CS198" s="64"/>
      <c r="CT198" s="64"/>
      <c r="CU198" s="64"/>
      <c r="CV198" s="64"/>
      <c r="CW198" s="64"/>
      <c r="CX198" s="64"/>
      <c r="CY198" s="64"/>
      <c r="CZ198" s="64"/>
      <c r="DA198" s="64"/>
      <c r="DB198" s="64"/>
      <c r="DC198" s="64"/>
      <c r="DD198" s="64"/>
      <c r="DE198" s="64"/>
      <c r="DF198" s="64"/>
      <c r="DG198" s="64"/>
      <c r="DH198" s="64"/>
      <c r="DI198" s="64"/>
      <c r="DJ198" s="64"/>
      <c r="DK198" s="64"/>
      <c r="DL198" s="64"/>
      <c r="DM198" s="64"/>
      <c r="DN198" s="64"/>
      <c r="DO198" s="64"/>
      <c r="DP198" s="64"/>
      <c r="DQ198" s="64"/>
      <c r="DR198" s="64"/>
      <c r="DS198" s="64"/>
      <c r="DT198" s="64"/>
      <c r="DU198" s="64"/>
      <c r="DV198" s="64"/>
      <c r="DW198" s="64"/>
      <c r="DX198" s="64"/>
      <c r="DY198" s="64"/>
      <c r="DZ198" s="64"/>
      <c r="EA198" s="64"/>
      <c r="EB198" s="64"/>
      <c r="EC198" s="64"/>
      <c r="ED198" s="64"/>
    </row>
    <row r="199" spans="1:134" ht="15.75" customHeight="1">
      <c r="A199" s="65" t="s">
        <v>245</v>
      </c>
      <c r="B199" s="65" t="s">
        <v>395</v>
      </c>
      <c r="C199" s="65" t="s">
        <v>691</v>
      </c>
      <c r="D199" s="65" t="str">
        <f t="shared" si="0"/>
        <v>K</v>
      </c>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64"/>
      <c r="BX199" s="64"/>
      <c r="BY199" s="64"/>
      <c r="BZ199" s="64"/>
      <c r="CA199" s="64"/>
      <c r="CB199" s="64"/>
      <c r="CC199" s="64"/>
      <c r="CD199" s="64"/>
      <c r="CE199" s="64"/>
      <c r="CF199" s="64"/>
      <c r="CG199" s="64"/>
      <c r="CH199" s="64"/>
      <c r="CI199" s="64"/>
      <c r="CJ199" s="64"/>
      <c r="CK199" s="64"/>
      <c r="CL199" s="64"/>
      <c r="CM199" s="64"/>
      <c r="CN199" s="64"/>
      <c r="CO199" s="64"/>
      <c r="CP199" s="64"/>
      <c r="CQ199" s="64"/>
      <c r="CR199" s="64"/>
      <c r="CS199" s="64"/>
      <c r="CT199" s="64"/>
      <c r="CU199" s="64"/>
      <c r="CV199" s="64"/>
      <c r="CW199" s="64"/>
      <c r="CX199" s="64"/>
      <c r="CY199" s="64"/>
      <c r="CZ199" s="64"/>
      <c r="DA199" s="64"/>
      <c r="DB199" s="64"/>
      <c r="DC199" s="64"/>
      <c r="DD199" s="64"/>
      <c r="DE199" s="64"/>
      <c r="DF199" s="64"/>
      <c r="DG199" s="64"/>
      <c r="DH199" s="64"/>
      <c r="DI199" s="64"/>
      <c r="DJ199" s="64"/>
      <c r="DK199" s="64"/>
      <c r="DL199" s="64"/>
      <c r="DM199" s="64"/>
      <c r="DN199" s="64"/>
      <c r="DO199" s="64"/>
      <c r="DP199" s="64"/>
      <c r="DQ199" s="64"/>
      <c r="DR199" s="64"/>
      <c r="DS199" s="64"/>
      <c r="DT199" s="64"/>
      <c r="DU199" s="64"/>
      <c r="DV199" s="64"/>
      <c r="DW199" s="64"/>
      <c r="DX199" s="64"/>
      <c r="DY199" s="64"/>
      <c r="DZ199" s="64"/>
      <c r="EA199" s="64"/>
      <c r="EB199" s="64"/>
      <c r="EC199" s="64"/>
      <c r="ED199" s="64"/>
    </row>
    <row r="200" spans="1:134" ht="15.75" customHeight="1">
      <c r="A200" s="65" t="s">
        <v>692</v>
      </c>
      <c r="B200" s="65" t="s">
        <v>412</v>
      </c>
      <c r="C200" s="65" t="s">
        <v>693</v>
      </c>
      <c r="D200" s="65" t="str">
        <f t="shared" si="0"/>
        <v>WR</v>
      </c>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64"/>
      <c r="BX200" s="64"/>
      <c r="BY200" s="64"/>
      <c r="BZ200" s="64"/>
      <c r="CA200" s="64"/>
      <c r="CB200" s="64"/>
      <c r="CC200" s="64"/>
      <c r="CD200" s="64"/>
      <c r="CE200" s="64"/>
      <c r="CF200" s="64"/>
      <c r="CG200" s="64"/>
      <c r="CH200" s="64"/>
      <c r="CI200" s="64"/>
      <c r="CJ200" s="64"/>
      <c r="CK200" s="64"/>
      <c r="CL200" s="64"/>
      <c r="CM200" s="64"/>
      <c r="CN200" s="64"/>
      <c r="CO200" s="64"/>
      <c r="CP200" s="64"/>
      <c r="CQ200" s="64"/>
      <c r="CR200" s="64"/>
      <c r="CS200" s="64"/>
      <c r="CT200" s="64"/>
      <c r="CU200" s="64"/>
      <c r="CV200" s="64"/>
      <c r="CW200" s="64"/>
      <c r="CX200" s="64"/>
      <c r="CY200" s="64"/>
      <c r="CZ200" s="64"/>
      <c r="DA200" s="64"/>
      <c r="DB200" s="64"/>
      <c r="DC200" s="64"/>
      <c r="DD200" s="64"/>
      <c r="DE200" s="64"/>
      <c r="DF200" s="64"/>
      <c r="DG200" s="64"/>
      <c r="DH200" s="64"/>
      <c r="DI200" s="64"/>
      <c r="DJ200" s="64"/>
      <c r="DK200" s="64"/>
      <c r="DL200" s="64"/>
      <c r="DM200" s="64"/>
      <c r="DN200" s="64"/>
      <c r="DO200" s="64"/>
      <c r="DP200" s="64"/>
      <c r="DQ200" s="64"/>
      <c r="DR200" s="64"/>
      <c r="DS200" s="64"/>
      <c r="DT200" s="64"/>
      <c r="DU200" s="64"/>
      <c r="DV200" s="64"/>
      <c r="DW200" s="64"/>
      <c r="DX200" s="64"/>
      <c r="DY200" s="64"/>
      <c r="DZ200" s="64"/>
      <c r="EA200" s="64"/>
      <c r="EB200" s="64"/>
      <c r="EC200" s="64"/>
      <c r="ED200" s="64"/>
    </row>
    <row r="201" spans="1:134" ht="15.75" customHeight="1">
      <c r="A201" s="65" t="s">
        <v>694</v>
      </c>
      <c r="B201" s="65" t="s">
        <v>391</v>
      </c>
      <c r="C201" s="65" t="s">
        <v>695</v>
      </c>
      <c r="D201" s="65" t="str">
        <f t="shared" si="0"/>
        <v>QB</v>
      </c>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64"/>
      <c r="BX201" s="64"/>
      <c r="BY201" s="64"/>
      <c r="BZ201" s="64"/>
      <c r="CA201" s="64"/>
      <c r="CB201" s="64"/>
      <c r="CC201" s="64"/>
      <c r="CD201" s="64"/>
      <c r="CE201" s="64"/>
      <c r="CF201" s="64"/>
      <c r="CG201" s="64"/>
      <c r="CH201" s="64"/>
      <c r="CI201" s="64"/>
      <c r="CJ201" s="64"/>
      <c r="CK201" s="64"/>
      <c r="CL201" s="64"/>
      <c r="CM201" s="64"/>
      <c r="CN201" s="64"/>
      <c r="CO201" s="64"/>
      <c r="CP201" s="64"/>
      <c r="CQ201" s="64"/>
      <c r="CR201" s="64"/>
      <c r="CS201" s="64"/>
      <c r="CT201" s="64"/>
      <c r="CU201" s="64"/>
      <c r="CV201" s="64"/>
      <c r="CW201" s="64"/>
      <c r="CX201" s="64"/>
      <c r="CY201" s="64"/>
      <c r="CZ201" s="64"/>
      <c r="DA201" s="64"/>
      <c r="DB201" s="64"/>
      <c r="DC201" s="64"/>
      <c r="DD201" s="64"/>
      <c r="DE201" s="64"/>
      <c r="DF201" s="64"/>
      <c r="DG201" s="64"/>
      <c r="DH201" s="64"/>
      <c r="DI201" s="64"/>
      <c r="DJ201" s="64"/>
      <c r="DK201" s="64"/>
      <c r="DL201" s="64"/>
      <c r="DM201" s="64"/>
      <c r="DN201" s="64"/>
      <c r="DO201" s="64"/>
      <c r="DP201" s="64"/>
      <c r="DQ201" s="64"/>
      <c r="DR201" s="64"/>
      <c r="DS201" s="64"/>
      <c r="DT201" s="64"/>
      <c r="DU201" s="64"/>
      <c r="DV201" s="64"/>
      <c r="DW201" s="64"/>
      <c r="DX201" s="64"/>
      <c r="DY201" s="64"/>
      <c r="DZ201" s="64"/>
      <c r="EA201" s="64"/>
      <c r="EB201" s="64"/>
      <c r="EC201" s="64"/>
      <c r="ED201" s="64"/>
    </row>
    <row r="202" spans="1:134" ht="15.75" customHeight="1">
      <c r="A202" s="65" t="s">
        <v>297</v>
      </c>
      <c r="B202" s="65" t="s">
        <v>410</v>
      </c>
      <c r="C202" s="65" t="s">
        <v>696</v>
      </c>
      <c r="D202" s="65" t="str">
        <f t="shared" si="0"/>
        <v>K</v>
      </c>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64"/>
      <c r="BX202" s="64"/>
      <c r="BY202" s="64"/>
      <c r="BZ202" s="64"/>
      <c r="CA202" s="64"/>
      <c r="CB202" s="64"/>
      <c r="CC202" s="64"/>
      <c r="CD202" s="64"/>
      <c r="CE202" s="64"/>
      <c r="CF202" s="64"/>
      <c r="CG202" s="64"/>
      <c r="CH202" s="64"/>
      <c r="CI202" s="64"/>
      <c r="CJ202" s="64"/>
      <c r="CK202" s="64"/>
      <c r="CL202" s="64"/>
      <c r="CM202" s="64"/>
      <c r="CN202" s="64"/>
      <c r="CO202" s="64"/>
      <c r="CP202" s="64"/>
      <c r="CQ202" s="64"/>
      <c r="CR202" s="64"/>
      <c r="CS202" s="64"/>
      <c r="CT202" s="64"/>
      <c r="CU202" s="64"/>
      <c r="CV202" s="64"/>
      <c r="CW202" s="64"/>
      <c r="CX202" s="64"/>
      <c r="CY202" s="64"/>
      <c r="CZ202" s="64"/>
      <c r="DA202" s="64"/>
      <c r="DB202" s="64"/>
      <c r="DC202" s="64"/>
      <c r="DD202" s="64"/>
      <c r="DE202" s="64"/>
      <c r="DF202" s="64"/>
      <c r="DG202" s="64"/>
      <c r="DH202" s="64"/>
      <c r="DI202" s="64"/>
      <c r="DJ202" s="64"/>
      <c r="DK202" s="64"/>
      <c r="DL202" s="64"/>
      <c r="DM202" s="64"/>
      <c r="DN202" s="64"/>
      <c r="DO202" s="64"/>
      <c r="DP202" s="64"/>
      <c r="DQ202" s="64"/>
      <c r="DR202" s="64"/>
      <c r="DS202" s="64"/>
      <c r="DT202" s="64"/>
      <c r="DU202" s="64"/>
      <c r="DV202" s="64"/>
      <c r="DW202" s="64"/>
      <c r="DX202" s="64"/>
      <c r="DY202" s="64"/>
      <c r="DZ202" s="64"/>
      <c r="EA202" s="64"/>
      <c r="EB202" s="64"/>
      <c r="EC202" s="64"/>
      <c r="ED202" s="64"/>
    </row>
    <row r="203" spans="1:134" ht="15.75" customHeight="1">
      <c r="A203" s="65" t="s">
        <v>140</v>
      </c>
      <c r="B203" s="65" t="s">
        <v>393</v>
      </c>
      <c r="C203" s="65" t="s">
        <v>697</v>
      </c>
      <c r="D203" s="65" t="str">
        <f t="shared" si="0"/>
        <v>TE</v>
      </c>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64"/>
      <c r="BX203" s="64"/>
      <c r="BY203" s="64"/>
      <c r="BZ203" s="64"/>
      <c r="CA203" s="64"/>
      <c r="CB203" s="64"/>
      <c r="CC203" s="64"/>
      <c r="CD203" s="64"/>
      <c r="CE203" s="64"/>
      <c r="CF203" s="64"/>
      <c r="CG203" s="64"/>
      <c r="CH203" s="64"/>
      <c r="CI203" s="64"/>
      <c r="CJ203" s="64"/>
      <c r="CK203" s="64"/>
      <c r="CL203" s="64"/>
      <c r="CM203" s="64"/>
      <c r="CN203" s="64"/>
      <c r="CO203" s="64"/>
      <c r="CP203" s="64"/>
      <c r="CQ203" s="64"/>
      <c r="CR203" s="64"/>
      <c r="CS203" s="64"/>
      <c r="CT203" s="64"/>
      <c r="CU203" s="64"/>
      <c r="CV203" s="64"/>
      <c r="CW203" s="64"/>
      <c r="CX203" s="64"/>
      <c r="CY203" s="64"/>
      <c r="CZ203" s="64"/>
      <c r="DA203" s="64"/>
      <c r="DB203" s="64"/>
      <c r="DC203" s="64"/>
      <c r="DD203" s="64"/>
      <c r="DE203" s="64"/>
      <c r="DF203" s="64"/>
      <c r="DG203" s="64"/>
      <c r="DH203" s="64"/>
      <c r="DI203" s="64"/>
      <c r="DJ203" s="64"/>
      <c r="DK203" s="64"/>
      <c r="DL203" s="64"/>
      <c r="DM203" s="64"/>
      <c r="DN203" s="64"/>
      <c r="DO203" s="64"/>
      <c r="DP203" s="64"/>
      <c r="DQ203" s="64"/>
      <c r="DR203" s="64"/>
      <c r="DS203" s="64"/>
      <c r="DT203" s="64"/>
      <c r="DU203" s="64"/>
      <c r="DV203" s="64"/>
      <c r="DW203" s="64"/>
      <c r="DX203" s="64"/>
      <c r="DY203" s="64"/>
      <c r="DZ203" s="64"/>
      <c r="EA203" s="64"/>
      <c r="EB203" s="64"/>
      <c r="EC203" s="64"/>
      <c r="ED203" s="64"/>
    </row>
    <row r="204" spans="1:134" ht="15.75" customHeight="1">
      <c r="A204" s="65" t="s">
        <v>698</v>
      </c>
      <c r="B204" s="65" t="s">
        <v>407</v>
      </c>
      <c r="C204" s="65" t="s">
        <v>699</v>
      </c>
      <c r="D204" s="65" t="str">
        <f t="shared" si="0"/>
        <v>QB</v>
      </c>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64"/>
      <c r="BX204" s="64"/>
      <c r="BY204" s="64"/>
      <c r="BZ204" s="64"/>
      <c r="CA204" s="64"/>
      <c r="CB204" s="64"/>
      <c r="CC204" s="64"/>
      <c r="CD204" s="64"/>
      <c r="CE204" s="64"/>
      <c r="CF204" s="64"/>
      <c r="CG204" s="64"/>
      <c r="CH204" s="64"/>
      <c r="CI204" s="64"/>
      <c r="CJ204" s="64"/>
      <c r="CK204" s="64"/>
      <c r="CL204" s="64"/>
      <c r="CM204" s="64"/>
      <c r="CN204" s="64"/>
      <c r="CO204" s="64"/>
      <c r="CP204" s="64"/>
      <c r="CQ204" s="64"/>
      <c r="CR204" s="64"/>
      <c r="CS204" s="64"/>
      <c r="CT204" s="64"/>
      <c r="CU204" s="64"/>
      <c r="CV204" s="64"/>
      <c r="CW204" s="64"/>
      <c r="CX204" s="64"/>
      <c r="CY204" s="64"/>
      <c r="CZ204" s="64"/>
      <c r="DA204" s="64"/>
      <c r="DB204" s="64"/>
      <c r="DC204" s="64"/>
      <c r="DD204" s="64"/>
      <c r="DE204" s="64"/>
      <c r="DF204" s="64"/>
      <c r="DG204" s="64"/>
      <c r="DH204" s="64"/>
      <c r="DI204" s="64"/>
      <c r="DJ204" s="64"/>
      <c r="DK204" s="64"/>
      <c r="DL204" s="64"/>
      <c r="DM204" s="64"/>
      <c r="DN204" s="64"/>
      <c r="DO204" s="64"/>
      <c r="DP204" s="64"/>
      <c r="DQ204" s="64"/>
      <c r="DR204" s="64"/>
      <c r="DS204" s="64"/>
      <c r="DT204" s="64"/>
      <c r="DU204" s="64"/>
      <c r="DV204" s="64"/>
      <c r="DW204" s="64"/>
      <c r="DX204" s="64"/>
      <c r="DY204" s="64"/>
      <c r="DZ204" s="64"/>
      <c r="EA204" s="64"/>
      <c r="EB204" s="64"/>
      <c r="EC204" s="64"/>
      <c r="ED204" s="64"/>
    </row>
    <row r="205" spans="1:134" ht="15.75" customHeight="1">
      <c r="A205" s="65" t="s">
        <v>700</v>
      </c>
      <c r="B205" s="65" t="s">
        <v>413</v>
      </c>
      <c r="C205" s="65" t="s">
        <v>701</v>
      </c>
      <c r="D205" s="65" t="str">
        <f t="shared" si="0"/>
        <v>K</v>
      </c>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64"/>
      <c r="BX205" s="64"/>
      <c r="BY205" s="64"/>
      <c r="BZ205" s="64"/>
      <c r="CA205" s="64"/>
      <c r="CB205" s="64"/>
      <c r="CC205" s="64"/>
      <c r="CD205" s="64"/>
      <c r="CE205" s="64"/>
      <c r="CF205" s="64"/>
      <c r="CG205" s="64"/>
      <c r="CH205" s="64"/>
      <c r="CI205" s="64"/>
      <c r="CJ205" s="64"/>
      <c r="CK205" s="64"/>
      <c r="CL205" s="64"/>
      <c r="CM205" s="64"/>
      <c r="CN205" s="64"/>
      <c r="CO205" s="64"/>
      <c r="CP205" s="64"/>
      <c r="CQ205" s="64"/>
      <c r="CR205" s="64"/>
      <c r="CS205" s="64"/>
      <c r="CT205" s="64"/>
      <c r="CU205" s="64"/>
      <c r="CV205" s="64"/>
      <c r="CW205" s="64"/>
      <c r="CX205" s="64"/>
      <c r="CY205" s="64"/>
      <c r="CZ205" s="64"/>
      <c r="DA205" s="64"/>
      <c r="DB205" s="64"/>
      <c r="DC205" s="64"/>
      <c r="DD205" s="64"/>
      <c r="DE205" s="64"/>
      <c r="DF205" s="64"/>
      <c r="DG205" s="64"/>
      <c r="DH205" s="64"/>
      <c r="DI205" s="64"/>
      <c r="DJ205" s="64"/>
      <c r="DK205" s="64"/>
      <c r="DL205" s="64"/>
      <c r="DM205" s="64"/>
      <c r="DN205" s="64"/>
      <c r="DO205" s="64"/>
      <c r="DP205" s="64"/>
      <c r="DQ205" s="64"/>
      <c r="DR205" s="64"/>
      <c r="DS205" s="64"/>
      <c r="DT205" s="64"/>
      <c r="DU205" s="64"/>
      <c r="DV205" s="64"/>
      <c r="DW205" s="64"/>
      <c r="DX205" s="64"/>
      <c r="DY205" s="64"/>
      <c r="DZ205" s="64"/>
      <c r="EA205" s="64"/>
      <c r="EB205" s="64"/>
      <c r="EC205" s="64"/>
      <c r="ED205" s="64"/>
    </row>
    <row r="206" spans="1:134" ht="15.75" customHeight="1">
      <c r="A206" s="65" t="s">
        <v>88</v>
      </c>
      <c r="B206" s="65" t="s">
        <v>403</v>
      </c>
      <c r="C206" s="65" t="s">
        <v>702</v>
      </c>
      <c r="D206" s="65" t="str">
        <f t="shared" si="0"/>
        <v>WR</v>
      </c>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64"/>
      <c r="BX206" s="64"/>
      <c r="BY206" s="64"/>
      <c r="BZ206" s="64"/>
      <c r="CA206" s="64"/>
      <c r="CB206" s="64"/>
      <c r="CC206" s="64"/>
      <c r="CD206" s="64"/>
      <c r="CE206" s="64"/>
      <c r="CF206" s="64"/>
      <c r="CG206" s="64"/>
      <c r="CH206" s="64"/>
      <c r="CI206" s="64"/>
      <c r="CJ206" s="64"/>
      <c r="CK206" s="64"/>
      <c r="CL206" s="64"/>
      <c r="CM206" s="64"/>
      <c r="CN206" s="64"/>
      <c r="CO206" s="64"/>
      <c r="CP206" s="64"/>
      <c r="CQ206" s="64"/>
      <c r="CR206" s="64"/>
      <c r="CS206" s="64"/>
      <c r="CT206" s="64"/>
      <c r="CU206" s="64"/>
      <c r="CV206" s="64"/>
      <c r="CW206" s="64"/>
      <c r="CX206" s="64"/>
      <c r="CY206" s="64"/>
      <c r="CZ206" s="64"/>
      <c r="DA206" s="64"/>
      <c r="DB206" s="64"/>
      <c r="DC206" s="64"/>
      <c r="DD206" s="64"/>
      <c r="DE206" s="64"/>
      <c r="DF206" s="64"/>
      <c r="DG206" s="64"/>
      <c r="DH206" s="64"/>
      <c r="DI206" s="64"/>
      <c r="DJ206" s="64"/>
      <c r="DK206" s="64"/>
      <c r="DL206" s="64"/>
      <c r="DM206" s="64"/>
      <c r="DN206" s="64"/>
      <c r="DO206" s="64"/>
      <c r="DP206" s="64"/>
      <c r="DQ206" s="64"/>
      <c r="DR206" s="64"/>
      <c r="DS206" s="64"/>
      <c r="DT206" s="64"/>
      <c r="DU206" s="64"/>
      <c r="DV206" s="64"/>
      <c r="DW206" s="64"/>
      <c r="DX206" s="64"/>
      <c r="DY206" s="64"/>
      <c r="DZ206" s="64"/>
      <c r="EA206" s="64"/>
      <c r="EB206" s="64"/>
      <c r="EC206" s="64"/>
      <c r="ED206" s="64"/>
    </row>
    <row r="207" spans="1:134" ht="15.75" customHeight="1">
      <c r="A207" s="65" t="s">
        <v>282</v>
      </c>
      <c r="B207" s="65" t="s">
        <v>394</v>
      </c>
      <c r="C207" s="65" t="s">
        <v>703</v>
      </c>
      <c r="D207" s="65" t="str">
        <f t="shared" si="0"/>
        <v>RB</v>
      </c>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64"/>
      <c r="BX207" s="64"/>
      <c r="BY207" s="64"/>
      <c r="BZ207" s="64"/>
      <c r="CA207" s="64"/>
      <c r="CB207" s="64"/>
      <c r="CC207" s="64"/>
      <c r="CD207" s="64"/>
      <c r="CE207" s="64"/>
      <c r="CF207" s="64"/>
      <c r="CG207" s="64"/>
      <c r="CH207" s="64"/>
      <c r="CI207" s="64"/>
      <c r="CJ207" s="64"/>
      <c r="CK207" s="64"/>
      <c r="CL207" s="64"/>
      <c r="CM207" s="64"/>
      <c r="CN207" s="64"/>
      <c r="CO207" s="64"/>
      <c r="CP207" s="64"/>
      <c r="CQ207" s="64"/>
      <c r="CR207" s="64"/>
      <c r="CS207" s="64"/>
      <c r="CT207" s="64"/>
      <c r="CU207" s="64"/>
      <c r="CV207" s="64"/>
      <c r="CW207" s="64"/>
      <c r="CX207" s="64"/>
      <c r="CY207" s="64"/>
      <c r="CZ207" s="64"/>
      <c r="DA207" s="64"/>
      <c r="DB207" s="64"/>
      <c r="DC207" s="64"/>
      <c r="DD207" s="64"/>
      <c r="DE207" s="64"/>
      <c r="DF207" s="64"/>
      <c r="DG207" s="64"/>
      <c r="DH207" s="64"/>
      <c r="DI207" s="64"/>
      <c r="DJ207" s="64"/>
      <c r="DK207" s="64"/>
      <c r="DL207" s="64"/>
      <c r="DM207" s="64"/>
      <c r="DN207" s="64"/>
      <c r="DO207" s="64"/>
      <c r="DP207" s="64"/>
      <c r="DQ207" s="64"/>
      <c r="DR207" s="64"/>
      <c r="DS207" s="64"/>
      <c r="DT207" s="64"/>
      <c r="DU207" s="64"/>
      <c r="DV207" s="64"/>
      <c r="DW207" s="64"/>
      <c r="DX207" s="64"/>
      <c r="DY207" s="64"/>
      <c r="DZ207" s="64"/>
      <c r="EA207" s="64"/>
      <c r="EB207" s="64"/>
      <c r="EC207" s="64"/>
      <c r="ED207" s="64"/>
    </row>
    <row r="208" spans="1:134" ht="15.75" customHeight="1">
      <c r="A208" s="65" t="s">
        <v>258</v>
      </c>
      <c r="B208" s="65" t="s">
        <v>389</v>
      </c>
      <c r="C208" s="65" t="s">
        <v>704</v>
      </c>
      <c r="D208" s="65" t="str">
        <f t="shared" si="0"/>
        <v>WR</v>
      </c>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64"/>
      <c r="BX208" s="64"/>
      <c r="BY208" s="64"/>
      <c r="BZ208" s="64"/>
      <c r="CA208" s="64"/>
      <c r="CB208" s="64"/>
      <c r="CC208" s="64"/>
      <c r="CD208" s="64"/>
      <c r="CE208" s="64"/>
      <c r="CF208" s="64"/>
      <c r="CG208" s="64"/>
      <c r="CH208" s="64"/>
      <c r="CI208" s="64"/>
      <c r="CJ208" s="64"/>
      <c r="CK208" s="64"/>
      <c r="CL208" s="64"/>
      <c r="CM208" s="64"/>
      <c r="CN208" s="64"/>
      <c r="CO208" s="64"/>
      <c r="CP208" s="64"/>
      <c r="CQ208" s="64"/>
      <c r="CR208" s="64"/>
      <c r="CS208" s="64"/>
      <c r="CT208" s="64"/>
      <c r="CU208" s="64"/>
      <c r="CV208" s="64"/>
      <c r="CW208" s="64"/>
      <c r="CX208" s="64"/>
      <c r="CY208" s="64"/>
      <c r="CZ208" s="64"/>
      <c r="DA208" s="64"/>
      <c r="DB208" s="64"/>
      <c r="DC208" s="64"/>
      <c r="DD208" s="64"/>
      <c r="DE208" s="64"/>
      <c r="DF208" s="64"/>
      <c r="DG208" s="64"/>
      <c r="DH208" s="64"/>
      <c r="DI208" s="64"/>
      <c r="DJ208" s="64"/>
      <c r="DK208" s="64"/>
      <c r="DL208" s="64"/>
      <c r="DM208" s="64"/>
      <c r="DN208" s="64"/>
      <c r="DO208" s="64"/>
      <c r="DP208" s="64"/>
      <c r="DQ208" s="64"/>
      <c r="DR208" s="64"/>
      <c r="DS208" s="64"/>
      <c r="DT208" s="64"/>
      <c r="DU208" s="64"/>
      <c r="DV208" s="64"/>
      <c r="DW208" s="64"/>
      <c r="DX208" s="64"/>
      <c r="DY208" s="64"/>
      <c r="DZ208" s="64"/>
      <c r="EA208" s="64"/>
      <c r="EB208" s="64"/>
      <c r="EC208" s="64"/>
      <c r="ED208" s="64"/>
    </row>
    <row r="209" spans="1:134" ht="15.75" customHeight="1">
      <c r="A209" s="65" t="s">
        <v>72</v>
      </c>
      <c r="B209" s="65" t="s">
        <v>410</v>
      </c>
      <c r="C209" s="65" t="s">
        <v>705</v>
      </c>
      <c r="D209" s="65" t="str">
        <f t="shared" si="0"/>
        <v>QB</v>
      </c>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64"/>
      <c r="BX209" s="64"/>
      <c r="BY209" s="64"/>
      <c r="BZ209" s="64"/>
      <c r="CA209" s="64"/>
      <c r="CB209" s="64"/>
      <c r="CC209" s="64"/>
      <c r="CD209" s="64"/>
      <c r="CE209" s="64"/>
      <c r="CF209" s="64"/>
      <c r="CG209" s="64"/>
      <c r="CH209" s="64"/>
      <c r="CI209" s="64"/>
      <c r="CJ209" s="64"/>
      <c r="CK209" s="64"/>
      <c r="CL209" s="64"/>
      <c r="CM209" s="64"/>
      <c r="CN209" s="64"/>
      <c r="CO209" s="64"/>
      <c r="CP209" s="64"/>
      <c r="CQ209" s="64"/>
      <c r="CR209" s="64"/>
      <c r="CS209" s="64"/>
      <c r="CT209" s="64"/>
      <c r="CU209" s="64"/>
      <c r="CV209" s="64"/>
      <c r="CW209" s="64"/>
      <c r="CX209" s="64"/>
      <c r="CY209" s="64"/>
      <c r="CZ209" s="64"/>
      <c r="DA209" s="64"/>
      <c r="DB209" s="64"/>
      <c r="DC209" s="64"/>
      <c r="DD209" s="64"/>
      <c r="DE209" s="64"/>
      <c r="DF209" s="64"/>
      <c r="DG209" s="64"/>
      <c r="DH209" s="64"/>
      <c r="DI209" s="64"/>
      <c r="DJ209" s="64"/>
      <c r="DK209" s="64"/>
      <c r="DL209" s="64"/>
      <c r="DM209" s="64"/>
      <c r="DN209" s="64"/>
      <c r="DO209" s="64"/>
      <c r="DP209" s="64"/>
      <c r="DQ209" s="64"/>
      <c r="DR209" s="64"/>
      <c r="DS209" s="64"/>
      <c r="DT209" s="64"/>
      <c r="DU209" s="64"/>
      <c r="DV209" s="64"/>
      <c r="DW209" s="64"/>
      <c r="DX209" s="64"/>
      <c r="DY209" s="64"/>
      <c r="DZ209" s="64"/>
      <c r="EA209" s="64"/>
      <c r="EB209" s="64"/>
      <c r="EC209" s="64"/>
      <c r="ED209" s="64"/>
    </row>
    <row r="210" spans="1:134" ht="15.75" customHeight="1">
      <c r="A210" s="65" t="s">
        <v>238</v>
      </c>
      <c r="B210" s="65" t="s">
        <v>414</v>
      </c>
      <c r="C210" s="65" t="s">
        <v>706</v>
      </c>
      <c r="D210" s="65" t="str">
        <f t="shared" si="0"/>
        <v>WR</v>
      </c>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64"/>
      <c r="BX210" s="64"/>
      <c r="BY210" s="64"/>
      <c r="BZ210" s="64"/>
      <c r="CA210" s="64"/>
      <c r="CB210" s="64"/>
      <c r="CC210" s="64"/>
      <c r="CD210" s="64"/>
      <c r="CE210" s="64"/>
      <c r="CF210" s="64"/>
      <c r="CG210" s="64"/>
      <c r="CH210" s="64"/>
      <c r="CI210" s="64"/>
      <c r="CJ210" s="64"/>
      <c r="CK210" s="64"/>
      <c r="CL210" s="64"/>
      <c r="CM210" s="64"/>
      <c r="CN210" s="64"/>
      <c r="CO210" s="64"/>
      <c r="CP210" s="64"/>
      <c r="CQ210" s="64"/>
      <c r="CR210" s="64"/>
      <c r="CS210" s="64"/>
      <c r="CT210" s="64"/>
      <c r="CU210" s="64"/>
      <c r="CV210" s="64"/>
      <c r="CW210" s="64"/>
      <c r="CX210" s="64"/>
      <c r="CY210" s="64"/>
      <c r="CZ210" s="64"/>
      <c r="DA210" s="64"/>
      <c r="DB210" s="64"/>
      <c r="DC210" s="64"/>
      <c r="DD210" s="64"/>
      <c r="DE210" s="64"/>
      <c r="DF210" s="64"/>
      <c r="DG210" s="64"/>
      <c r="DH210" s="64"/>
      <c r="DI210" s="64"/>
      <c r="DJ210" s="64"/>
      <c r="DK210" s="64"/>
      <c r="DL210" s="64"/>
      <c r="DM210" s="64"/>
      <c r="DN210" s="64"/>
      <c r="DO210" s="64"/>
      <c r="DP210" s="64"/>
      <c r="DQ210" s="64"/>
      <c r="DR210" s="64"/>
      <c r="DS210" s="64"/>
      <c r="DT210" s="64"/>
      <c r="DU210" s="64"/>
      <c r="DV210" s="64"/>
      <c r="DW210" s="64"/>
      <c r="DX210" s="64"/>
      <c r="DY210" s="64"/>
      <c r="DZ210" s="64"/>
      <c r="EA210" s="64"/>
      <c r="EB210" s="64"/>
      <c r="EC210" s="64"/>
      <c r="ED210" s="64"/>
    </row>
    <row r="211" spans="1:134" ht="15.75" customHeight="1">
      <c r="A211" s="65" t="s">
        <v>266</v>
      </c>
      <c r="B211" s="65" t="s">
        <v>412</v>
      </c>
      <c r="C211" s="65" t="s">
        <v>707</v>
      </c>
      <c r="D211" s="65" t="str">
        <f t="shared" si="0"/>
        <v>QB</v>
      </c>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64"/>
      <c r="BX211" s="64"/>
      <c r="BY211" s="64"/>
      <c r="BZ211" s="64"/>
      <c r="CA211" s="64"/>
      <c r="CB211" s="64"/>
      <c r="CC211" s="64"/>
      <c r="CD211" s="64"/>
      <c r="CE211" s="64"/>
      <c r="CF211" s="64"/>
      <c r="CG211" s="64"/>
      <c r="CH211" s="64"/>
      <c r="CI211" s="64"/>
      <c r="CJ211" s="64"/>
      <c r="CK211" s="64"/>
      <c r="CL211" s="64"/>
      <c r="CM211" s="64"/>
      <c r="CN211" s="64"/>
      <c r="CO211" s="64"/>
      <c r="CP211" s="64"/>
      <c r="CQ211" s="64"/>
      <c r="CR211" s="64"/>
      <c r="CS211" s="64"/>
      <c r="CT211" s="64"/>
      <c r="CU211" s="64"/>
      <c r="CV211" s="64"/>
      <c r="CW211" s="64"/>
      <c r="CX211" s="64"/>
      <c r="CY211" s="64"/>
      <c r="CZ211" s="64"/>
      <c r="DA211" s="64"/>
      <c r="DB211" s="64"/>
      <c r="DC211" s="64"/>
      <c r="DD211" s="64"/>
      <c r="DE211" s="64"/>
      <c r="DF211" s="64"/>
      <c r="DG211" s="64"/>
      <c r="DH211" s="64"/>
      <c r="DI211" s="64"/>
      <c r="DJ211" s="64"/>
      <c r="DK211" s="64"/>
      <c r="DL211" s="64"/>
      <c r="DM211" s="64"/>
      <c r="DN211" s="64"/>
      <c r="DO211" s="64"/>
      <c r="DP211" s="64"/>
      <c r="DQ211" s="64"/>
      <c r="DR211" s="64"/>
      <c r="DS211" s="64"/>
      <c r="DT211" s="64"/>
      <c r="DU211" s="64"/>
      <c r="DV211" s="64"/>
      <c r="DW211" s="64"/>
      <c r="DX211" s="64"/>
      <c r="DY211" s="64"/>
      <c r="DZ211" s="64"/>
      <c r="EA211" s="64"/>
      <c r="EB211" s="64"/>
      <c r="EC211" s="64"/>
      <c r="ED211" s="64"/>
    </row>
    <row r="212" spans="1:134" ht="15.75" customHeight="1">
      <c r="A212" s="65" t="s">
        <v>318</v>
      </c>
      <c r="B212" s="65" t="s">
        <v>405</v>
      </c>
      <c r="C212" s="65" t="s">
        <v>708</v>
      </c>
      <c r="D212" s="65" t="str">
        <f t="shared" si="0"/>
        <v>WR</v>
      </c>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64"/>
      <c r="BX212" s="64"/>
      <c r="BY212" s="64"/>
      <c r="BZ212" s="64"/>
      <c r="CA212" s="64"/>
      <c r="CB212" s="64"/>
      <c r="CC212" s="64"/>
      <c r="CD212" s="64"/>
      <c r="CE212" s="64"/>
      <c r="CF212" s="64"/>
      <c r="CG212" s="64"/>
      <c r="CH212" s="64"/>
      <c r="CI212" s="64"/>
      <c r="CJ212" s="64"/>
      <c r="CK212" s="64"/>
      <c r="CL212" s="64"/>
      <c r="CM212" s="64"/>
      <c r="CN212" s="64"/>
      <c r="CO212" s="64"/>
      <c r="CP212" s="64"/>
      <c r="CQ212" s="64"/>
      <c r="CR212" s="64"/>
      <c r="CS212" s="64"/>
      <c r="CT212" s="64"/>
      <c r="CU212" s="64"/>
      <c r="CV212" s="64"/>
      <c r="CW212" s="64"/>
      <c r="CX212" s="64"/>
      <c r="CY212" s="64"/>
      <c r="CZ212" s="64"/>
      <c r="DA212" s="64"/>
      <c r="DB212" s="64"/>
      <c r="DC212" s="64"/>
      <c r="DD212" s="64"/>
      <c r="DE212" s="64"/>
      <c r="DF212" s="64"/>
      <c r="DG212" s="64"/>
      <c r="DH212" s="64"/>
      <c r="DI212" s="64"/>
      <c r="DJ212" s="64"/>
      <c r="DK212" s="64"/>
      <c r="DL212" s="64"/>
      <c r="DM212" s="64"/>
      <c r="DN212" s="64"/>
      <c r="DO212" s="64"/>
      <c r="DP212" s="64"/>
      <c r="DQ212" s="64"/>
      <c r="DR212" s="64"/>
      <c r="DS212" s="64"/>
      <c r="DT212" s="64"/>
      <c r="DU212" s="64"/>
      <c r="DV212" s="64"/>
      <c r="DW212" s="64"/>
      <c r="DX212" s="64"/>
      <c r="DY212" s="64"/>
      <c r="DZ212" s="64"/>
      <c r="EA212" s="64"/>
      <c r="EB212" s="64"/>
      <c r="EC212" s="64"/>
      <c r="ED212" s="64"/>
    </row>
    <row r="213" spans="1:134" ht="15.75" customHeight="1">
      <c r="A213" s="65" t="s">
        <v>305</v>
      </c>
      <c r="B213" s="65" t="s">
        <v>400</v>
      </c>
      <c r="C213" s="65" t="s">
        <v>709</v>
      </c>
      <c r="D213" s="65" t="str">
        <f t="shared" si="0"/>
        <v>WR</v>
      </c>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64"/>
      <c r="BX213" s="64"/>
      <c r="BY213" s="64"/>
      <c r="BZ213" s="64"/>
      <c r="CA213" s="64"/>
      <c r="CB213" s="64"/>
      <c r="CC213" s="64"/>
      <c r="CD213" s="64"/>
      <c r="CE213" s="64"/>
      <c r="CF213" s="64"/>
      <c r="CG213" s="64"/>
      <c r="CH213" s="64"/>
      <c r="CI213" s="64"/>
      <c r="CJ213" s="64"/>
      <c r="CK213" s="64"/>
      <c r="CL213" s="64"/>
      <c r="CM213" s="64"/>
      <c r="CN213" s="64"/>
      <c r="CO213" s="64"/>
      <c r="CP213" s="64"/>
      <c r="CQ213" s="64"/>
      <c r="CR213" s="64"/>
      <c r="CS213" s="64"/>
      <c r="CT213" s="64"/>
      <c r="CU213" s="64"/>
      <c r="CV213" s="64"/>
      <c r="CW213" s="64"/>
      <c r="CX213" s="64"/>
      <c r="CY213" s="64"/>
      <c r="CZ213" s="64"/>
      <c r="DA213" s="64"/>
      <c r="DB213" s="64"/>
      <c r="DC213" s="64"/>
      <c r="DD213" s="64"/>
      <c r="DE213" s="64"/>
      <c r="DF213" s="64"/>
      <c r="DG213" s="64"/>
      <c r="DH213" s="64"/>
      <c r="DI213" s="64"/>
      <c r="DJ213" s="64"/>
      <c r="DK213" s="64"/>
      <c r="DL213" s="64"/>
      <c r="DM213" s="64"/>
      <c r="DN213" s="64"/>
      <c r="DO213" s="64"/>
      <c r="DP213" s="64"/>
      <c r="DQ213" s="64"/>
      <c r="DR213" s="64"/>
      <c r="DS213" s="64"/>
      <c r="DT213" s="64"/>
      <c r="DU213" s="64"/>
      <c r="DV213" s="64"/>
      <c r="DW213" s="64"/>
      <c r="DX213" s="64"/>
      <c r="DY213" s="64"/>
      <c r="DZ213" s="64"/>
      <c r="EA213" s="64"/>
      <c r="EB213" s="64"/>
      <c r="EC213" s="64"/>
      <c r="ED213" s="64"/>
    </row>
    <row r="214" spans="1:134" ht="15.75" customHeight="1">
      <c r="A214" s="65" t="s">
        <v>336</v>
      </c>
      <c r="B214" s="65" t="s">
        <v>393</v>
      </c>
      <c r="C214" s="65" t="s">
        <v>710</v>
      </c>
      <c r="D214" s="65" t="str">
        <f t="shared" si="0"/>
        <v>WR</v>
      </c>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64"/>
      <c r="BX214" s="64"/>
      <c r="BY214" s="64"/>
      <c r="BZ214" s="64"/>
      <c r="CA214" s="64"/>
      <c r="CB214" s="64"/>
      <c r="CC214" s="64"/>
      <c r="CD214" s="64"/>
      <c r="CE214" s="64"/>
      <c r="CF214" s="64"/>
      <c r="CG214" s="64"/>
      <c r="CH214" s="64"/>
      <c r="CI214" s="64"/>
      <c r="CJ214" s="64"/>
      <c r="CK214" s="64"/>
      <c r="CL214" s="64"/>
      <c r="CM214" s="64"/>
      <c r="CN214" s="64"/>
      <c r="CO214" s="64"/>
      <c r="CP214" s="64"/>
      <c r="CQ214" s="64"/>
      <c r="CR214" s="64"/>
      <c r="CS214" s="64"/>
      <c r="CT214" s="64"/>
      <c r="CU214" s="64"/>
      <c r="CV214" s="64"/>
      <c r="CW214" s="64"/>
      <c r="CX214" s="64"/>
      <c r="CY214" s="64"/>
      <c r="CZ214" s="64"/>
      <c r="DA214" s="64"/>
      <c r="DB214" s="64"/>
      <c r="DC214" s="64"/>
      <c r="DD214" s="64"/>
      <c r="DE214" s="64"/>
      <c r="DF214" s="64"/>
      <c r="DG214" s="64"/>
      <c r="DH214" s="64"/>
      <c r="DI214" s="64"/>
      <c r="DJ214" s="64"/>
      <c r="DK214" s="64"/>
      <c r="DL214" s="64"/>
      <c r="DM214" s="64"/>
      <c r="DN214" s="64"/>
      <c r="DO214" s="64"/>
      <c r="DP214" s="64"/>
      <c r="DQ214" s="64"/>
      <c r="DR214" s="64"/>
      <c r="DS214" s="64"/>
      <c r="DT214" s="64"/>
      <c r="DU214" s="64"/>
      <c r="DV214" s="64"/>
      <c r="DW214" s="64"/>
      <c r="DX214" s="64"/>
      <c r="DY214" s="64"/>
      <c r="DZ214" s="64"/>
      <c r="EA214" s="64"/>
      <c r="EB214" s="64"/>
      <c r="EC214" s="64"/>
      <c r="ED214" s="64"/>
    </row>
    <row r="215" spans="1:134" ht="15.75" customHeight="1">
      <c r="A215" s="65" t="s">
        <v>711</v>
      </c>
      <c r="B215" s="65" t="s">
        <v>408</v>
      </c>
      <c r="C215" s="65" t="s">
        <v>712</v>
      </c>
      <c r="D215" s="65" t="str">
        <f t="shared" si="0"/>
        <v>WR</v>
      </c>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64"/>
      <c r="BX215" s="64"/>
      <c r="BY215" s="64"/>
      <c r="BZ215" s="64"/>
      <c r="CA215" s="64"/>
      <c r="CB215" s="64"/>
      <c r="CC215" s="64"/>
      <c r="CD215" s="64"/>
      <c r="CE215" s="64"/>
      <c r="CF215" s="64"/>
      <c r="CG215" s="64"/>
      <c r="CH215" s="64"/>
      <c r="CI215" s="64"/>
      <c r="CJ215" s="64"/>
      <c r="CK215" s="64"/>
      <c r="CL215" s="64"/>
      <c r="CM215" s="64"/>
      <c r="CN215" s="64"/>
      <c r="CO215" s="64"/>
      <c r="CP215" s="64"/>
      <c r="CQ215" s="64"/>
      <c r="CR215" s="64"/>
      <c r="CS215" s="64"/>
      <c r="CT215" s="64"/>
      <c r="CU215" s="64"/>
      <c r="CV215" s="64"/>
      <c r="CW215" s="64"/>
      <c r="CX215" s="64"/>
      <c r="CY215" s="64"/>
      <c r="CZ215" s="64"/>
      <c r="DA215" s="64"/>
      <c r="DB215" s="64"/>
      <c r="DC215" s="64"/>
      <c r="DD215" s="64"/>
      <c r="DE215" s="64"/>
      <c r="DF215" s="64"/>
      <c r="DG215" s="64"/>
      <c r="DH215" s="64"/>
      <c r="DI215" s="64"/>
      <c r="DJ215" s="64"/>
      <c r="DK215" s="64"/>
      <c r="DL215" s="64"/>
      <c r="DM215" s="64"/>
      <c r="DN215" s="64"/>
      <c r="DO215" s="64"/>
      <c r="DP215" s="64"/>
      <c r="DQ215" s="64"/>
      <c r="DR215" s="64"/>
      <c r="DS215" s="64"/>
      <c r="DT215" s="64"/>
      <c r="DU215" s="64"/>
      <c r="DV215" s="64"/>
      <c r="DW215" s="64"/>
      <c r="DX215" s="64"/>
      <c r="DY215" s="64"/>
      <c r="DZ215" s="64"/>
      <c r="EA215" s="64"/>
      <c r="EB215" s="64"/>
      <c r="EC215" s="64"/>
      <c r="ED215" s="64"/>
    </row>
    <row r="216" spans="1:134" ht="15.75" customHeight="1">
      <c r="A216" s="65" t="s">
        <v>713</v>
      </c>
      <c r="B216" s="65" t="s">
        <v>392</v>
      </c>
      <c r="C216" s="65" t="s">
        <v>714</v>
      </c>
      <c r="D216" s="65" t="str">
        <f t="shared" si="0"/>
        <v>WR</v>
      </c>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64"/>
      <c r="BX216" s="64"/>
      <c r="BY216" s="64"/>
      <c r="BZ216" s="64"/>
      <c r="CA216" s="64"/>
      <c r="CB216" s="64"/>
      <c r="CC216" s="64"/>
      <c r="CD216" s="64"/>
      <c r="CE216" s="64"/>
      <c r="CF216" s="64"/>
      <c r="CG216" s="64"/>
      <c r="CH216" s="64"/>
      <c r="CI216" s="64"/>
      <c r="CJ216" s="64"/>
      <c r="CK216" s="64"/>
      <c r="CL216" s="64"/>
      <c r="CM216" s="64"/>
      <c r="CN216" s="64"/>
      <c r="CO216" s="64"/>
      <c r="CP216" s="64"/>
      <c r="CQ216" s="64"/>
      <c r="CR216" s="64"/>
      <c r="CS216" s="64"/>
      <c r="CT216" s="64"/>
      <c r="CU216" s="64"/>
      <c r="CV216" s="64"/>
      <c r="CW216" s="64"/>
      <c r="CX216" s="64"/>
      <c r="CY216" s="64"/>
      <c r="CZ216" s="64"/>
      <c r="DA216" s="64"/>
      <c r="DB216" s="64"/>
      <c r="DC216" s="64"/>
      <c r="DD216" s="64"/>
      <c r="DE216" s="64"/>
      <c r="DF216" s="64"/>
      <c r="DG216" s="64"/>
      <c r="DH216" s="64"/>
      <c r="DI216" s="64"/>
      <c r="DJ216" s="64"/>
      <c r="DK216" s="64"/>
      <c r="DL216" s="64"/>
      <c r="DM216" s="64"/>
      <c r="DN216" s="64"/>
      <c r="DO216" s="64"/>
      <c r="DP216" s="64"/>
      <c r="DQ216" s="64"/>
      <c r="DR216" s="64"/>
      <c r="DS216" s="64"/>
      <c r="DT216" s="64"/>
      <c r="DU216" s="64"/>
      <c r="DV216" s="64"/>
      <c r="DW216" s="64"/>
      <c r="DX216" s="64"/>
      <c r="DY216" s="64"/>
      <c r="DZ216" s="64"/>
      <c r="EA216" s="64"/>
      <c r="EB216" s="64"/>
      <c r="EC216" s="64"/>
      <c r="ED216" s="64"/>
    </row>
    <row r="217" spans="1:134" ht="15.75" customHeight="1">
      <c r="A217" s="65" t="s">
        <v>285</v>
      </c>
      <c r="B217" s="65" t="s">
        <v>408</v>
      </c>
      <c r="C217" s="65" t="s">
        <v>715</v>
      </c>
      <c r="D217" s="65" t="str">
        <f t="shared" si="0"/>
        <v>QB</v>
      </c>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64"/>
      <c r="BX217" s="64"/>
      <c r="BY217" s="64"/>
      <c r="BZ217" s="64"/>
      <c r="CA217" s="64"/>
      <c r="CB217" s="64"/>
      <c r="CC217" s="64"/>
      <c r="CD217" s="64"/>
      <c r="CE217" s="64"/>
      <c r="CF217" s="64"/>
      <c r="CG217" s="64"/>
      <c r="CH217" s="64"/>
      <c r="CI217" s="64"/>
      <c r="CJ217" s="64"/>
      <c r="CK217" s="64"/>
      <c r="CL217" s="64"/>
      <c r="CM217" s="64"/>
      <c r="CN217" s="64"/>
      <c r="CO217" s="64"/>
      <c r="CP217" s="64"/>
      <c r="CQ217" s="64"/>
      <c r="CR217" s="64"/>
      <c r="CS217" s="64"/>
      <c r="CT217" s="64"/>
      <c r="CU217" s="64"/>
      <c r="CV217" s="64"/>
      <c r="CW217" s="64"/>
      <c r="CX217" s="64"/>
      <c r="CY217" s="64"/>
      <c r="CZ217" s="64"/>
      <c r="DA217" s="64"/>
      <c r="DB217" s="64"/>
      <c r="DC217" s="64"/>
      <c r="DD217" s="64"/>
      <c r="DE217" s="64"/>
      <c r="DF217" s="64"/>
      <c r="DG217" s="64"/>
      <c r="DH217" s="64"/>
      <c r="DI217" s="64"/>
      <c r="DJ217" s="64"/>
      <c r="DK217" s="64"/>
      <c r="DL217" s="64"/>
      <c r="DM217" s="64"/>
      <c r="DN217" s="64"/>
      <c r="DO217" s="64"/>
      <c r="DP217" s="64"/>
      <c r="DQ217" s="64"/>
      <c r="DR217" s="64"/>
      <c r="DS217" s="64"/>
      <c r="DT217" s="64"/>
      <c r="DU217" s="64"/>
      <c r="DV217" s="64"/>
      <c r="DW217" s="64"/>
      <c r="DX217" s="64"/>
      <c r="DY217" s="64"/>
      <c r="DZ217" s="64"/>
      <c r="EA217" s="64"/>
      <c r="EB217" s="64"/>
      <c r="EC217" s="64"/>
      <c r="ED217" s="64"/>
    </row>
    <row r="218" spans="1:134" ht="15.75" customHeight="1">
      <c r="A218" s="65" t="s">
        <v>46</v>
      </c>
      <c r="B218" s="65" t="s">
        <v>385</v>
      </c>
      <c r="C218" s="65" t="s">
        <v>716</v>
      </c>
      <c r="D218" s="65" t="str">
        <f t="shared" si="0"/>
        <v>RB</v>
      </c>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64"/>
      <c r="BX218" s="64"/>
      <c r="BY218" s="64"/>
      <c r="BZ218" s="64"/>
      <c r="CA218" s="64"/>
      <c r="CB218" s="64"/>
      <c r="CC218" s="64"/>
      <c r="CD218" s="64"/>
      <c r="CE218" s="64"/>
      <c r="CF218" s="64"/>
      <c r="CG218" s="64"/>
      <c r="CH218" s="64"/>
      <c r="CI218" s="64"/>
      <c r="CJ218" s="64"/>
      <c r="CK218" s="64"/>
      <c r="CL218" s="64"/>
      <c r="CM218" s="64"/>
      <c r="CN218" s="64"/>
      <c r="CO218" s="64"/>
      <c r="CP218" s="64"/>
      <c r="CQ218" s="64"/>
      <c r="CR218" s="64"/>
      <c r="CS218" s="64"/>
      <c r="CT218" s="64"/>
      <c r="CU218" s="64"/>
      <c r="CV218" s="64"/>
      <c r="CW218" s="64"/>
      <c r="CX218" s="64"/>
      <c r="CY218" s="64"/>
      <c r="CZ218" s="64"/>
      <c r="DA218" s="64"/>
      <c r="DB218" s="64"/>
      <c r="DC218" s="64"/>
      <c r="DD218" s="64"/>
      <c r="DE218" s="64"/>
      <c r="DF218" s="64"/>
      <c r="DG218" s="64"/>
      <c r="DH218" s="64"/>
      <c r="DI218" s="64"/>
      <c r="DJ218" s="64"/>
      <c r="DK218" s="64"/>
      <c r="DL218" s="64"/>
      <c r="DM218" s="64"/>
      <c r="DN218" s="64"/>
      <c r="DO218" s="64"/>
      <c r="DP218" s="64"/>
      <c r="DQ218" s="64"/>
      <c r="DR218" s="64"/>
      <c r="DS218" s="64"/>
      <c r="DT218" s="64"/>
      <c r="DU218" s="64"/>
      <c r="DV218" s="64"/>
      <c r="DW218" s="64"/>
      <c r="DX218" s="64"/>
      <c r="DY218" s="64"/>
      <c r="DZ218" s="64"/>
      <c r="EA218" s="64"/>
      <c r="EB218" s="64"/>
      <c r="EC218" s="64"/>
      <c r="ED218" s="64"/>
    </row>
    <row r="219" spans="1:134" ht="15.75" customHeight="1">
      <c r="A219" s="65" t="s">
        <v>51</v>
      </c>
      <c r="B219" s="65" t="s">
        <v>388</v>
      </c>
      <c r="C219" s="65" t="s">
        <v>717</v>
      </c>
      <c r="D219" s="65" t="str">
        <f t="shared" si="0"/>
        <v>RB</v>
      </c>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64"/>
      <c r="BX219" s="64"/>
      <c r="BY219" s="64"/>
      <c r="BZ219" s="64"/>
      <c r="CA219" s="64"/>
      <c r="CB219" s="64"/>
      <c r="CC219" s="64"/>
      <c r="CD219" s="64"/>
      <c r="CE219" s="64"/>
      <c r="CF219" s="64"/>
      <c r="CG219" s="64"/>
      <c r="CH219" s="64"/>
      <c r="CI219" s="64"/>
      <c r="CJ219" s="64"/>
      <c r="CK219" s="64"/>
      <c r="CL219" s="64"/>
      <c r="CM219" s="64"/>
      <c r="CN219" s="64"/>
      <c r="CO219" s="64"/>
      <c r="CP219" s="64"/>
      <c r="CQ219" s="64"/>
      <c r="CR219" s="64"/>
      <c r="CS219" s="64"/>
      <c r="CT219" s="64"/>
      <c r="CU219" s="64"/>
      <c r="CV219" s="64"/>
      <c r="CW219" s="64"/>
      <c r="CX219" s="64"/>
      <c r="CY219" s="64"/>
      <c r="CZ219" s="64"/>
      <c r="DA219" s="64"/>
      <c r="DB219" s="64"/>
      <c r="DC219" s="64"/>
      <c r="DD219" s="64"/>
      <c r="DE219" s="64"/>
      <c r="DF219" s="64"/>
      <c r="DG219" s="64"/>
      <c r="DH219" s="64"/>
      <c r="DI219" s="64"/>
      <c r="DJ219" s="64"/>
      <c r="DK219" s="64"/>
      <c r="DL219" s="64"/>
      <c r="DM219" s="64"/>
      <c r="DN219" s="64"/>
      <c r="DO219" s="64"/>
      <c r="DP219" s="64"/>
      <c r="DQ219" s="64"/>
      <c r="DR219" s="64"/>
      <c r="DS219" s="64"/>
      <c r="DT219" s="64"/>
      <c r="DU219" s="64"/>
      <c r="DV219" s="64"/>
      <c r="DW219" s="64"/>
      <c r="DX219" s="64"/>
      <c r="DY219" s="64"/>
      <c r="DZ219" s="64"/>
      <c r="EA219" s="64"/>
      <c r="EB219" s="64"/>
      <c r="EC219" s="64"/>
      <c r="ED219" s="64"/>
    </row>
    <row r="220" spans="1:134" ht="15.75" customHeight="1">
      <c r="A220" s="65" t="s">
        <v>114</v>
      </c>
      <c r="B220" s="65" t="s">
        <v>395</v>
      </c>
      <c r="C220" s="65" t="s">
        <v>718</v>
      </c>
      <c r="D220" s="65" t="str">
        <f t="shared" si="0"/>
        <v>WR</v>
      </c>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64"/>
      <c r="BX220" s="64"/>
      <c r="BY220" s="64"/>
      <c r="BZ220" s="64"/>
      <c r="CA220" s="64"/>
      <c r="CB220" s="64"/>
      <c r="CC220" s="64"/>
      <c r="CD220" s="64"/>
      <c r="CE220" s="64"/>
      <c r="CF220" s="64"/>
      <c r="CG220" s="64"/>
      <c r="CH220" s="64"/>
      <c r="CI220" s="64"/>
      <c r="CJ220" s="64"/>
      <c r="CK220" s="64"/>
      <c r="CL220" s="64"/>
      <c r="CM220" s="64"/>
      <c r="CN220" s="64"/>
      <c r="CO220" s="64"/>
      <c r="CP220" s="64"/>
      <c r="CQ220" s="64"/>
      <c r="CR220" s="64"/>
      <c r="CS220" s="64"/>
      <c r="CT220" s="64"/>
      <c r="CU220" s="64"/>
      <c r="CV220" s="64"/>
      <c r="CW220" s="64"/>
      <c r="CX220" s="64"/>
      <c r="CY220" s="64"/>
      <c r="CZ220" s="64"/>
      <c r="DA220" s="64"/>
      <c r="DB220" s="64"/>
      <c r="DC220" s="64"/>
      <c r="DD220" s="64"/>
      <c r="DE220" s="64"/>
      <c r="DF220" s="64"/>
      <c r="DG220" s="64"/>
      <c r="DH220" s="64"/>
      <c r="DI220" s="64"/>
      <c r="DJ220" s="64"/>
      <c r="DK220" s="64"/>
      <c r="DL220" s="64"/>
      <c r="DM220" s="64"/>
      <c r="DN220" s="64"/>
      <c r="DO220" s="64"/>
      <c r="DP220" s="64"/>
      <c r="DQ220" s="64"/>
      <c r="DR220" s="64"/>
      <c r="DS220" s="64"/>
      <c r="DT220" s="64"/>
      <c r="DU220" s="64"/>
      <c r="DV220" s="64"/>
      <c r="DW220" s="64"/>
      <c r="DX220" s="64"/>
      <c r="DY220" s="64"/>
      <c r="DZ220" s="64"/>
      <c r="EA220" s="64"/>
      <c r="EB220" s="64"/>
      <c r="EC220" s="64"/>
      <c r="ED220" s="64"/>
    </row>
    <row r="221" spans="1:134" ht="15.75" customHeight="1">
      <c r="A221" s="65" t="s">
        <v>142</v>
      </c>
      <c r="B221" s="65" t="s">
        <v>395</v>
      </c>
      <c r="C221" s="65" t="s">
        <v>719</v>
      </c>
      <c r="D221" s="65" t="str">
        <f t="shared" si="0"/>
        <v>QB</v>
      </c>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64"/>
      <c r="BX221" s="64"/>
      <c r="BY221" s="64"/>
      <c r="BZ221" s="64"/>
      <c r="CA221" s="64"/>
      <c r="CB221" s="64"/>
      <c r="CC221" s="64"/>
      <c r="CD221" s="64"/>
      <c r="CE221" s="64"/>
      <c r="CF221" s="64"/>
      <c r="CG221" s="64"/>
      <c r="CH221" s="64"/>
      <c r="CI221" s="64"/>
      <c r="CJ221" s="64"/>
      <c r="CK221" s="64"/>
      <c r="CL221" s="64"/>
      <c r="CM221" s="64"/>
      <c r="CN221" s="64"/>
      <c r="CO221" s="64"/>
      <c r="CP221" s="64"/>
      <c r="CQ221" s="64"/>
      <c r="CR221" s="64"/>
      <c r="CS221" s="64"/>
      <c r="CT221" s="64"/>
      <c r="CU221" s="64"/>
      <c r="CV221" s="64"/>
      <c r="CW221" s="64"/>
      <c r="CX221" s="64"/>
      <c r="CY221" s="64"/>
      <c r="CZ221" s="64"/>
      <c r="DA221" s="64"/>
      <c r="DB221" s="64"/>
      <c r="DC221" s="64"/>
      <c r="DD221" s="64"/>
      <c r="DE221" s="64"/>
      <c r="DF221" s="64"/>
      <c r="DG221" s="64"/>
      <c r="DH221" s="64"/>
      <c r="DI221" s="64"/>
      <c r="DJ221" s="64"/>
      <c r="DK221" s="64"/>
      <c r="DL221" s="64"/>
      <c r="DM221" s="64"/>
      <c r="DN221" s="64"/>
      <c r="DO221" s="64"/>
      <c r="DP221" s="64"/>
      <c r="DQ221" s="64"/>
      <c r="DR221" s="64"/>
      <c r="DS221" s="64"/>
      <c r="DT221" s="64"/>
      <c r="DU221" s="64"/>
      <c r="DV221" s="64"/>
      <c r="DW221" s="64"/>
      <c r="DX221" s="64"/>
      <c r="DY221" s="64"/>
      <c r="DZ221" s="64"/>
      <c r="EA221" s="64"/>
      <c r="EB221" s="64"/>
      <c r="EC221" s="64"/>
      <c r="ED221" s="64"/>
    </row>
    <row r="222" spans="1:134" ht="15.75" customHeight="1">
      <c r="A222" s="65" t="s">
        <v>289</v>
      </c>
      <c r="B222" s="65" t="s">
        <v>402</v>
      </c>
      <c r="C222" s="65" t="s">
        <v>720</v>
      </c>
      <c r="D222" s="65" t="str">
        <f t="shared" si="0"/>
        <v>RB</v>
      </c>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64"/>
      <c r="BX222" s="64"/>
      <c r="BY222" s="64"/>
      <c r="BZ222" s="64"/>
      <c r="CA222" s="64"/>
      <c r="CB222" s="64"/>
      <c r="CC222" s="64"/>
      <c r="CD222" s="64"/>
      <c r="CE222" s="64"/>
      <c r="CF222" s="64"/>
      <c r="CG222" s="64"/>
      <c r="CH222" s="64"/>
      <c r="CI222" s="64"/>
      <c r="CJ222" s="64"/>
      <c r="CK222" s="64"/>
      <c r="CL222" s="64"/>
      <c r="CM222" s="64"/>
      <c r="CN222" s="64"/>
      <c r="CO222" s="64"/>
      <c r="CP222" s="64"/>
      <c r="CQ222" s="64"/>
      <c r="CR222" s="64"/>
      <c r="CS222" s="64"/>
      <c r="CT222" s="64"/>
      <c r="CU222" s="64"/>
      <c r="CV222" s="64"/>
      <c r="CW222" s="64"/>
      <c r="CX222" s="64"/>
      <c r="CY222" s="64"/>
      <c r="CZ222" s="64"/>
      <c r="DA222" s="64"/>
      <c r="DB222" s="64"/>
      <c r="DC222" s="64"/>
      <c r="DD222" s="64"/>
      <c r="DE222" s="64"/>
      <c r="DF222" s="64"/>
      <c r="DG222" s="64"/>
      <c r="DH222" s="64"/>
      <c r="DI222" s="64"/>
      <c r="DJ222" s="64"/>
      <c r="DK222" s="64"/>
      <c r="DL222" s="64"/>
      <c r="DM222" s="64"/>
      <c r="DN222" s="64"/>
      <c r="DO222" s="64"/>
      <c r="DP222" s="64"/>
      <c r="DQ222" s="64"/>
      <c r="DR222" s="64"/>
      <c r="DS222" s="64"/>
      <c r="DT222" s="64"/>
      <c r="DU222" s="64"/>
      <c r="DV222" s="64"/>
      <c r="DW222" s="64"/>
      <c r="DX222" s="64"/>
      <c r="DY222" s="64"/>
      <c r="DZ222" s="64"/>
      <c r="EA222" s="64"/>
      <c r="EB222" s="64"/>
      <c r="EC222" s="64"/>
      <c r="ED222" s="64"/>
    </row>
    <row r="223" spans="1:134" ht="15.75" customHeight="1">
      <c r="A223" s="65" t="s">
        <v>721</v>
      </c>
      <c r="B223" s="65" t="s">
        <v>412</v>
      </c>
      <c r="C223" s="65" t="s">
        <v>722</v>
      </c>
      <c r="D223" s="65" t="str">
        <f t="shared" si="0"/>
        <v>K</v>
      </c>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64"/>
      <c r="BX223" s="64"/>
      <c r="BY223" s="64"/>
      <c r="BZ223" s="64"/>
      <c r="CA223" s="64"/>
      <c r="CB223" s="64"/>
      <c r="CC223" s="64"/>
      <c r="CD223" s="64"/>
      <c r="CE223" s="64"/>
      <c r="CF223" s="64"/>
      <c r="CG223" s="64"/>
      <c r="CH223" s="64"/>
      <c r="CI223" s="64"/>
      <c r="CJ223" s="64"/>
      <c r="CK223" s="64"/>
      <c r="CL223" s="64"/>
      <c r="CM223" s="64"/>
      <c r="CN223" s="64"/>
      <c r="CO223" s="64"/>
      <c r="CP223" s="64"/>
      <c r="CQ223" s="64"/>
      <c r="CR223" s="64"/>
      <c r="CS223" s="64"/>
      <c r="CT223" s="64"/>
      <c r="CU223" s="64"/>
      <c r="CV223" s="64"/>
      <c r="CW223" s="64"/>
      <c r="CX223" s="64"/>
      <c r="CY223" s="64"/>
      <c r="CZ223" s="64"/>
      <c r="DA223" s="64"/>
      <c r="DB223" s="64"/>
      <c r="DC223" s="64"/>
      <c r="DD223" s="64"/>
      <c r="DE223" s="64"/>
      <c r="DF223" s="64"/>
      <c r="DG223" s="64"/>
      <c r="DH223" s="64"/>
      <c r="DI223" s="64"/>
      <c r="DJ223" s="64"/>
      <c r="DK223" s="64"/>
      <c r="DL223" s="64"/>
      <c r="DM223" s="64"/>
      <c r="DN223" s="64"/>
      <c r="DO223" s="64"/>
      <c r="DP223" s="64"/>
      <c r="DQ223" s="64"/>
      <c r="DR223" s="64"/>
      <c r="DS223" s="64"/>
      <c r="DT223" s="64"/>
      <c r="DU223" s="64"/>
      <c r="DV223" s="64"/>
      <c r="DW223" s="64"/>
      <c r="DX223" s="64"/>
      <c r="DY223" s="64"/>
      <c r="DZ223" s="64"/>
      <c r="EA223" s="64"/>
      <c r="EB223" s="64"/>
      <c r="EC223" s="64"/>
      <c r="ED223" s="64"/>
    </row>
    <row r="224" spans="1:134" ht="15.75" customHeight="1">
      <c r="A224" s="65" t="s">
        <v>267</v>
      </c>
      <c r="B224" s="65" t="s">
        <v>404</v>
      </c>
      <c r="C224" s="65" t="s">
        <v>723</v>
      </c>
      <c r="D224" s="65" t="str">
        <f t="shared" si="0"/>
        <v>K</v>
      </c>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64"/>
      <c r="BX224" s="64"/>
      <c r="BY224" s="64"/>
      <c r="BZ224" s="64"/>
      <c r="CA224" s="64"/>
      <c r="CB224" s="64"/>
      <c r="CC224" s="64"/>
      <c r="CD224" s="64"/>
      <c r="CE224" s="64"/>
      <c r="CF224" s="64"/>
      <c r="CG224" s="64"/>
      <c r="CH224" s="64"/>
      <c r="CI224" s="64"/>
      <c r="CJ224" s="64"/>
      <c r="CK224" s="64"/>
      <c r="CL224" s="64"/>
      <c r="CM224" s="64"/>
      <c r="CN224" s="64"/>
      <c r="CO224" s="64"/>
      <c r="CP224" s="64"/>
      <c r="CQ224" s="64"/>
      <c r="CR224" s="64"/>
      <c r="CS224" s="64"/>
      <c r="CT224" s="64"/>
      <c r="CU224" s="64"/>
      <c r="CV224" s="64"/>
      <c r="CW224" s="64"/>
      <c r="CX224" s="64"/>
      <c r="CY224" s="64"/>
      <c r="CZ224" s="64"/>
      <c r="DA224" s="64"/>
      <c r="DB224" s="64"/>
      <c r="DC224" s="64"/>
      <c r="DD224" s="64"/>
      <c r="DE224" s="64"/>
      <c r="DF224" s="64"/>
      <c r="DG224" s="64"/>
      <c r="DH224" s="64"/>
      <c r="DI224" s="64"/>
      <c r="DJ224" s="64"/>
      <c r="DK224" s="64"/>
      <c r="DL224" s="64"/>
      <c r="DM224" s="64"/>
      <c r="DN224" s="64"/>
      <c r="DO224" s="64"/>
      <c r="DP224" s="64"/>
      <c r="DQ224" s="64"/>
      <c r="DR224" s="64"/>
      <c r="DS224" s="64"/>
      <c r="DT224" s="64"/>
      <c r="DU224" s="64"/>
      <c r="DV224" s="64"/>
      <c r="DW224" s="64"/>
      <c r="DX224" s="64"/>
      <c r="DY224" s="64"/>
      <c r="DZ224" s="64"/>
      <c r="EA224" s="64"/>
      <c r="EB224" s="64"/>
      <c r="EC224" s="64"/>
      <c r="ED224" s="64"/>
    </row>
    <row r="225" spans="1:134" ht="15.75" customHeight="1">
      <c r="A225" s="65" t="s">
        <v>131</v>
      </c>
      <c r="B225" s="65" t="s">
        <v>413</v>
      </c>
      <c r="C225" s="65" t="s">
        <v>724</v>
      </c>
      <c r="D225" s="65" t="str">
        <f t="shared" si="0"/>
        <v>WR</v>
      </c>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64"/>
      <c r="BX225" s="64"/>
      <c r="BY225" s="64"/>
      <c r="BZ225" s="64"/>
      <c r="CA225" s="64"/>
      <c r="CB225" s="64"/>
      <c r="CC225" s="64"/>
      <c r="CD225" s="64"/>
      <c r="CE225" s="64"/>
      <c r="CF225" s="64"/>
      <c r="CG225" s="64"/>
      <c r="CH225" s="64"/>
      <c r="CI225" s="64"/>
      <c r="CJ225" s="64"/>
      <c r="CK225" s="64"/>
      <c r="CL225" s="64"/>
      <c r="CM225" s="64"/>
      <c r="CN225" s="64"/>
      <c r="CO225" s="64"/>
      <c r="CP225" s="64"/>
      <c r="CQ225" s="64"/>
      <c r="CR225" s="64"/>
      <c r="CS225" s="64"/>
      <c r="CT225" s="64"/>
      <c r="CU225" s="64"/>
      <c r="CV225" s="64"/>
      <c r="CW225" s="64"/>
      <c r="CX225" s="64"/>
      <c r="CY225" s="64"/>
      <c r="CZ225" s="64"/>
      <c r="DA225" s="64"/>
      <c r="DB225" s="64"/>
      <c r="DC225" s="64"/>
      <c r="DD225" s="64"/>
      <c r="DE225" s="64"/>
      <c r="DF225" s="64"/>
      <c r="DG225" s="64"/>
      <c r="DH225" s="64"/>
      <c r="DI225" s="64"/>
      <c r="DJ225" s="64"/>
      <c r="DK225" s="64"/>
      <c r="DL225" s="64"/>
      <c r="DM225" s="64"/>
      <c r="DN225" s="64"/>
      <c r="DO225" s="64"/>
      <c r="DP225" s="64"/>
      <c r="DQ225" s="64"/>
      <c r="DR225" s="64"/>
      <c r="DS225" s="64"/>
      <c r="DT225" s="64"/>
      <c r="DU225" s="64"/>
      <c r="DV225" s="64"/>
      <c r="DW225" s="64"/>
      <c r="DX225" s="64"/>
      <c r="DY225" s="64"/>
      <c r="DZ225" s="64"/>
      <c r="EA225" s="64"/>
      <c r="EB225" s="64"/>
      <c r="EC225" s="64"/>
      <c r="ED225" s="64"/>
    </row>
    <row r="226" spans="1:134" ht="15.75" customHeight="1">
      <c r="A226" s="65" t="s">
        <v>725</v>
      </c>
      <c r="B226" s="65" t="s">
        <v>406</v>
      </c>
      <c r="C226" s="65" t="s">
        <v>726</v>
      </c>
      <c r="D226" s="65" t="str">
        <f t="shared" si="0"/>
        <v>WR</v>
      </c>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64"/>
      <c r="BX226" s="64"/>
      <c r="BY226" s="64"/>
      <c r="BZ226" s="64"/>
      <c r="CA226" s="64"/>
      <c r="CB226" s="64"/>
      <c r="CC226" s="64"/>
      <c r="CD226" s="64"/>
      <c r="CE226" s="64"/>
      <c r="CF226" s="64"/>
      <c r="CG226" s="64"/>
      <c r="CH226" s="64"/>
      <c r="CI226" s="64"/>
      <c r="CJ226" s="64"/>
      <c r="CK226" s="64"/>
      <c r="CL226" s="64"/>
      <c r="CM226" s="64"/>
      <c r="CN226" s="64"/>
      <c r="CO226" s="64"/>
      <c r="CP226" s="64"/>
      <c r="CQ226" s="64"/>
      <c r="CR226" s="64"/>
      <c r="CS226" s="64"/>
      <c r="CT226" s="64"/>
      <c r="CU226" s="64"/>
      <c r="CV226" s="64"/>
      <c r="CW226" s="64"/>
      <c r="CX226" s="64"/>
      <c r="CY226" s="64"/>
      <c r="CZ226" s="64"/>
      <c r="DA226" s="64"/>
      <c r="DB226" s="64"/>
      <c r="DC226" s="64"/>
      <c r="DD226" s="64"/>
      <c r="DE226" s="64"/>
      <c r="DF226" s="64"/>
      <c r="DG226" s="64"/>
      <c r="DH226" s="64"/>
      <c r="DI226" s="64"/>
      <c r="DJ226" s="64"/>
      <c r="DK226" s="64"/>
      <c r="DL226" s="64"/>
      <c r="DM226" s="64"/>
      <c r="DN226" s="64"/>
      <c r="DO226" s="64"/>
      <c r="DP226" s="64"/>
      <c r="DQ226" s="64"/>
      <c r="DR226" s="64"/>
      <c r="DS226" s="64"/>
      <c r="DT226" s="64"/>
      <c r="DU226" s="64"/>
      <c r="DV226" s="64"/>
      <c r="DW226" s="64"/>
      <c r="DX226" s="64"/>
      <c r="DY226" s="64"/>
      <c r="DZ226" s="64"/>
      <c r="EA226" s="64"/>
      <c r="EB226" s="64"/>
      <c r="EC226" s="64"/>
      <c r="ED226" s="64"/>
    </row>
    <row r="227" spans="1:134" ht="15.75" customHeight="1">
      <c r="A227" s="65" t="s">
        <v>94</v>
      </c>
      <c r="B227" s="65" t="s">
        <v>393</v>
      </c>
      <c r="C227" s="65" t="s">
        <v>727</v>
      </c>
      <c r="D227" s="65" t="str">
        <f t="shared" si="0"/>
        <v>RB</v>
      </c>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64"/>
      <c r="BX227" s="64"/>
      <c r="BY227" s="64"/>
      <c r="BZ227" s="64"/>
      <c r="CA227" s="64"/>
      <c r="CB227" s="64"/>
      <c r="CC227" s="64"/>
      <c r="CD227" s="64"/>
      <c r="CE227" s="64"/>
      <c r="CF227" s="64"/>
      <c r="CG227" s="64"/>
      <c r="CH227" s="64"/>
      <c r="CI227" s="64"/>
      <c r="CJ227" s="64"/>
      <c r="CK227" s="64"/>
      <c r="CL227" s="64"/>
      <c r="CM227" s="64"/>
      <c r="CN227" s="64"/>
      <c r="CO227" s="64"/>
      <c r="CP227" s="64"/>
      <c r="CQ227" s="64"/>
      <c r="CR227" s="64"/>
      <c r="CS227" s="64"/>
      <c r="CT227" s="64"/>
      <c r="CU227" s="64"/>
      <c r="CV227" s="64"/>
      <c r="CW227" s="64"/>
      <c r="CX227" s="64"/>
      <c r="CY227" s="64"/>
      <c r="CZ227" s="64"/>
      <c r="DA227" s="64"/>
      <c r="DB227" s="64"/>
      <c r="DC227" s="64"/>
      <c r="DD227" s="64"/>
      <c r="DE227" s="64"/>
      <c r="DF227" s="64"/>
      <c r="DG227" s="64"/>
      <c r="DH227" s="64"/>
      <c r="DI227" s="64"/>
      <c r="DJ227" s="64"/>
      <c r="DK227" s="64"/>
      <c r="DL227" s="64"/>
      <c r="DM227" s="64"/>
      <c r="DN227" s="64"/>
      <c r="DO227" s="64"/>
      <c r="DP227" s="64"/>
      <c r="DQ227" s="64"/>
      <c r="DR227" s="64"/>
      <c r="DS227" s="64"/>
      <c r="DT227" s="64"/>
      <c r="DU227" s="64"/>
      <c r="DV227" s="64"/>
      <c r="DW227" s="64"/>
      <c r="DX227" s="64"/>
      <c r="DY227" s="64"/>
      <c r="DZ227" s="64"/>
      <c r="EA227" s="64"/>
      <c r="EB227" s="64"/>
      <c r="EC227" s="64"/>
      <c r="ED227" s="64"/>
    </row>
    <row r="228" spans="1:134" ht="15.75" customHeight="1">
      <c r="A228" s="65" t="s">
        <v>54</v>
      </c>
      <c r="B228" s="65" t="s">
        <v>412</v>
      </c>
      <c r="C228" s="65" t="s">
        <v>728</v>
      </c>
      <c r="D228" s="65" t="str">
        <f t="shared" si="0"/>
        <v>WR</v>
      </c>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64"/>
      <c r="BX228" s="64"/>
      <c r="BY228" s="64"/>
      <c r="BZ228" s="64"/>
      <c r="CA228" s="64"/>
      <c r="CB228" s="64"/>
      <c r="CC228" s="64"/>
      <c r="CD228" s="64"/>
      <c r="CE228" s="64"/>
      <c r="CF228" s="64"/>
      <c r="CG228" s="64"/>
      <c r="CH228" s="64"/>
      <c r="CI228" s="64"/>
      <c r="CJ228" s="64"/>
      <c r="CK228" s="64"/>
      <c r="CL228" s="64"/>
      <c r="CM228" s="64"/>
      <c r="CN228" s="64"/>
      <c r="CO228" s="64"/>
      <c r="CP228" s="64"/>
      <c r="CQ228" s="64"/>
      <c r="CR228" s="64"/>
      <c r="CS228" s="64"/>
      <c r="CT228" s="64"/>
      <c r="CU228" s="64"/>
      <c r="CV228" s="64"/>
      <c r="CW228" s="64"/>
      <c r="CX228" s="64"/>
      <c r="CY228" s="64"/>
      <c r="CZ228" s="64"/>
      <c r="DA228" s="64"/>
      <c r="DB228" s="64"/>
      <c r="DC228" s="64"/>
      <c r="DD228" s="64"/>
      <c r="DE228" s="64"/>
      <c r="DF228" s="64"/>
      <c r="DG228" s="64"/>
      <c r="DH228" s="64"/>
      <c r="DI228" s="64"/>
      <c r="DJ228" s="64"/>
      <c r="DK228" s="64"/>
      <c r="DL228" s="64"/>
      <c r="DM228" s="64"/>
      <c r="DN228" s="64"/>
      <c r="DO228" s="64"/>
      <c r="DP228" s="64"/>
      <c r="DQ228" s="64"/>
      <c r="DR228" s="64"/>
      <c r="DS228" s="64"/>
      <c r="DT228" s="64"/>
      <c r="DU228" s="64"/>
      <c r="DV228" s="64"/>
      <c r="DW228" s="64"/>
      <c r="DX228" s="64"/>
      <c r="DY228" s="64"/>
      <c r="DZ228" s="64"/>
      <c r="EA228" s="64"/>
      <c r="EB228" s="64"/>
      <c r="EC228" s="64"/>
      <c r="ED228" s="64"/>
    </row>
    <row r="229" spans="1:134" ht="15.75" customHeight="1">
      <c r="A229" s="65" t="s">
        <v>213</v>
      </c>
      <c r="B229" s="65" t="s">
        <v>408</v>
      </c>
      <c r="C229" s="65" t="s">
        <v>729</v>
      </c>
      <c r="D229" s="65" t="str">
        <f t="shared" si="0"/>
        <v>QB</v>
      </c>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64"/>
      <c r="BX229" s="64"/>
      <c r="BY229" s="64"/>
      <c r="BZ229" s="64"/>
      <c r="CA229" s="64"/>
      <c r="CB229" s="64"/>
      <c r="CC229" s="64"/>
      <c r="CD229" s="64"/>
      <c r="CE229" s="64"/>
      <c r="CF229" s="64"/>
      <c r="CG229" s="64"/>
      <c r="CH229" s="64"/>
      <c r="CI229" s="64"/>
      <c r="CJ229" s="64"/>
      <c r="CK229" s="64"/>
      <c r="CL229" s="64"/>
      <c r="CM229" s="64"/>
      <c r="CN229" s="64"/>
      <c r="CO229" s="64"/>
      <c r="CP229" s="64"/>
      <c r="CQ229" s="64"/>
      <c r="CR229" s="64"/>
      <c r="CS229" s="64"/>
      <c r="CT229" s="64"/>
      <c r="CU229" s="64"/>
      <c r="CV229" s="64"/>
      <c r="CW229" s="64"/>
      <c r="CX229" s="64"/>
      <c r="CY229" s="64"/>
      <c r="CZ229" s="64"/>
      <c r="DA229" s="64"/>
      <c r="DB229" s="64"/>
      <c r="DC229" s="64"/>
      <c r="DD229" s="64"/>
      <c r="DE229" s="64"/>
      <c r="DF229" s="64"/>
      <c r="DG229" s="64"/>
      <c r="DH229" s="64"/>
      <c r="DI229" s="64"/>
      <c r="DJ229" s="64"/>
      <c r="DK229" s="64"/>
      <c r="DL229" s="64"/>
      <c r="DM229" s="64"/>
      <c r="DN229" s="64"/>
      <c r="DO229" s="64"/>
      <c r="DP229" s="64"/>
      <c r="DQ229" s="64"/>
      <c r="DR229" s="64"/>
      <c r="DS229" s="64"/>
      <c r="DT229" s="64"/>
      <c r="DU229" s="64"/>
      <c r="DV229" s="64"/>
      <c r="DW229" s="64"/>
      <c r="DX229" s="64"/>
      <c r="DY229" s="64"/>
      <c r="DZ229" s="64"/>
      <c r="EA229" s="64"/>
      <c r="EB229" s="64"/>
      <c r="EC229" s="64"/>
      <c r="ED229" s="64"/>
    </row>
    <row r="230" spans="1:134" ht="15.75" customHeight="1">
      <c r="A230" s="65" t="s">
        <v>68</v>
      </c>
      <c r="B230" s="65" t="s">
        <v>416</v>
      </c>
      <c r="C230" s="65" t="s">
        <v>730</v>
      </c>
      <c r="D230" s="65" t="str">
        <f t="shared" si="0"/>
        <v>QB</v>
      </c>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64"/>
      <c r="BX230" s="64"/>
      <c r="BY230" s="64"/>
      <c r="BZ230" s="64"/>
      <c r="CA230" s="64"/>
      <c r="CB230" s="64"/>
      <c r="CC230" s="64"/>
      <c r="CD230" s="64"/>
      <c r="CE230" s="64"/>
      <c r="CF230" s="64"/>
      <c r="CG230" s="64"/>
      <c r="CH230" s="64"/>
      <c r="CI230" s="64"/>
      <c r="CJ230" s="64"/>
      <c r="CK230" s="64"/>
      <c r="CL230" s="64"/>
      <c r="CM230" s="64"/>
      <c r="CN230" s="64"/>
      <c r="CO230" s="64"/>
      <c r="CP230" s="64"/>
      <c r="CQ230" s="64"/>
      <c r="CR230" s="64"/>
      <c r="CS230" s="64"/>
      <c r="CT230" s="64"/>
      <c r="CU230" s="64"/>
      <c r="CV230" s="64"/>
      <c r="CW230" s="64"/>
      <c r="CX230" s="64"/>
      <c r="CY230" s="64"/>
      <c r="CZ230" s="64"/>
      <c r="DA230" s="64"/>
      <c r="DB230" s="64"/>
      <c r="DC230" s="64"/>
      <c r="DD230" s="64"/>
      <c r="DE230" s="64"/>
      <c r="DF230" s="64"/>
      <c r="DG230" s="64"/>
      <c r="DH230" s="64"/>
      <c r="DI230" s="64"/>
      <c r="DJ230" s="64"/>
      <c r="DK230" s="64"/>
      <c r="DL230" s="64"/>
      <c r="DM230" s="64"/>
      <c r="DN230" s="64"/>
      <c r="DO230" s="64"/>
      <c r="DP230" s="64"/>
      <c r="DQ230" s="64"/>
      <c r="DR230" s="64"/>
      <c r="DS230" s="64"/>
      <c r="DT230" s="64"/>
      <c r="DU230" s="64"/>
      <c r="DV230" s="64"/>
      <c r="DW230" s="64"/>
      <c r="DX230" s="64"/>
      <c r="DY230" s="64"/>
      <c r="DZ230" s="64"/>
      <c r="EA230" s="64"/>
      <c r="EB230" s="64"/>
      <c r="EC230" s="64"/>
      <c r="ED230" s="64"/>
    </row>
    <row r="231" spans="1:134" ht="15.75" customHeight="1">
      <c r="A231" s="65" t="s">
        <v>172</v>
      </c>
      <c r="B231" s="65" t="s">
        <v>397</v>
      </c>
      <c r="C231" s="65" t="s">
        <v>731</v>
      </c>
      <c r="D231" s="65" t="str">
        <f t="shared" si="0"/>
        <v>WR</v>
      </c>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64"/>
      <c r="BX231" s="64"/>
      <c r="BY231" s="64"/>
      <c r="BZ231" s="64"/>
      <c r="CA231" s="64"/>
      <c r="CB231" s="64"/>
      <c r="CC231" s="64"/>
      <c r="CD231" s="64"/>
      <c r="CE231" s="64"/>
      <c r="CF231" s="64"/>
      <c r="CG231" s="64"/>
      <c r="CH231" s="64"/>
      <c r="CI231" s="64"/>
      <c r="CJ231" s="64"/>
      <c r="CK231" s="64"/>
      <c r="CL231" s="64"/>
      <c r="CM231" s="64"/>
      <c r="CN231" s="64"/>
      <c r="CO231" s="64"/>
      <c r="CP231" s="64"/>
      <c r="CQ231" s="64"/>
      <c r="CR231" s="64"/>
      <c r="CS231" s="64"/>
      <c r="CT231" s="64"/>
      <c r="CU231" s="64"/>
      <c r="CV231" s="64"/>
      <c r="CW231" s="64"/>
      <c r="CX231" s="64"/>
      <c r="CY231" s="64"/>
      <c r="CZ231" s="64"/>
      <c r="DA231" s="64"/>
      <c r="DB231" s="64"/>
      <c r="DC231" s="64"/>
      <c r="DD231" s="64"/>
      <c r="DE231" s="64"/>
      <c r="DF231" s="64"/>
      <c r="DG231" s="64"/>
      <c r="DH231" s="64"/>
      <c r="DI231" s="64"/>
      <c r="DJ231" s="64"/>
      <c r="DK231" s="64"/>
      <c r="DL231" s="64"/>
      <c r="DM231" s="64"/>
      <c r="DN231" s="64"/>
      <c r="DO231" s="64"/>
      <c r="DP231" s="64"/>
      <c r="DQ231" s="64"/>
      <c r="DR231" s="64"/>
      <c r="DS231" s="64"/>
      <c r="DT231" s="64"/>
      <c r="DU231" s="64"/>
      <c r="DV231" s="64"/>
      <c r="DW231" s="64"/>
      <c r="DX231" s="64"/>
      <c r="DY231" s="64"/>
      <c r="DZ231" s="64"/>
      <c r="EA231" s="64"/>
      <c r="EB231" s="64"/>
      <c r="EC231" s="64"/>
      <c r="ED231" s="64"/>
    </row>
    <row r="232" spans="1:134" ht="15.75" customHeight="1">
      <c r="A232" s="65" t="s">
        <v>132</v>
      </c>
      <c r="B232" s="65" t="s">
        <v>396</v>
      </c>
      <c r="C232" s="65" t="s">
        <v>732</v>
      </c>
      <c r="D232" s="65" t="str">
        <f t="shared" si="0"/>
        <v>WR</v>
      </c>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64"/>
      <c r="BX232" s="64"/>
      <c r="BY232" s="64"/>
      <c r="BZ232" s="64"/>
      <c r="CA232" s="64"/>
      <c r="CB232" s="64"/>
      <c r="CC232" s="64"/>
      <c r="CD232" s="64"/>
      <c r="CE232" s="64"/>
      <c r="CF232" s="64"/>
      <c r="CG232" s="64"/>
      <c r="CH232" s="64"/>
      <c r="CI232" s="64"/>
      <c r="CJ232" s="64"/>
      <c r="CK232" s="64"/>
      <c r="CL232" s="64"/>
      <c r="CM232" s="64"/>
      <c r="CN232" s="64"/>
      <c r="CO232" s="64"/>
      <c r="CP232" s="64"/>
      <c r="CQ232" s="64"/>
      <c r="CR232" s="64"/>
      <c r="CS232" s="64"/>
      <c r="CT232" s="64"/>
      <c r="CU232" s="64"/>
      <c r="CV232" s="64"/>
      <c r="CW232" s="64"/>
      <c r="CX232" s="64"/>
      <c r="CY232" s="64"/>
      <c r="CZ232" s="64"/>
      <c r="DA232" s="64"/>
      <c r="DB232" s="64"/>
      <c r="DC232" s="64"/>
      <c r="DD232" s="64"/>
      <c r="DE232" s="64"/>
      <c r="DF232" s="64"/>
      <c r="DG232" s="64"/>
      <c r="DH232" s="64"/>
      <c r="DI232" s="64"/>
      <c r="DJ232" s="64"/>
      <c r="DK232" s="64"/>
      <c r="DL232" s="64"/>
      <c r="DM232" s="64"/>
      <c r="DN232" s="64"/>
      <c r="DO232" s="64"/>
      <c r="DP232" s="64"/>
      <c r="DQ232" s="64"/>
      <c r="DR232" s="64"/>
      <c r="DS232" s="64"/>
      <c r="DT232" s="64"/>
      <c r="DU232" s="64"/>
      <c r="DV232" s="64"/>
      <c r="DW232" s="64"/>
      <c r="DX232" s="64"/>
      <c r="DY232" s="64"/>
      <c r="DZ232" s="64"/>
      <c r="EA232" s="64"/>
      <c r="EB232" s="64"/>
      <c r="EC232" s="64"/>
      <c r="ED232" s="64"/>
    </row>
    <row r="233" spans="1:134" ht="15.75" customHeight="1">
      <c r="A233" s="65" t="s">
        <v>167</v>
      </c>
      <c r="B233" s="65" t="s">
        <v>393</v>
      </c>
      <c r="C233" s="65" t="s">
        <v>733</v>
      </c>
      <c r="D233" s="65" t="str">
        <f t="shared" si="0"/>
        <v>RB</v>
      </c>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64"/>
      <c r="BX233" s="64"/>
      <c r="BY233" s="64"/>
      <c r="BZ233" s="64"/>
      <c r="CA233" s="64"/>
      <c r="CB233" s="64"/>
      <c r="CC233" s="64"/>
      <c r="CD233" s="64"/>
      <c r="CE233" s="64"/>
      <c r="CF233" s="64"/>
      <c r="CG233" s="64"/>
      <c r="CH233" s="64"/>
      <c r="CI233" s="64"/>
      <c r="CJ233" s="64"/>
      <c r="CK233" s="64"/>
      <c r="CL233" s="64"/>
      <c r="CM233" s="64"/>
      <c r="CN233" s="64"/>
      <c r="CO233" s="64"/>
      <c r="CP233" s="64"/>
      <c r="CQ233" s="64"/>
      <c r="CR233" s="64"/>
      <c r="CS233" s="64"/>
      <c r="CT233" s="64"/>
      <c r="CU233" s="64"/>
      <c r="CV233" s="64"/>
      <c r="CW233" s="64"/>
      <c r="CX233" s="64"/>
      <c r="CY233" s="64"/>
      <c r="CZ233" s="64"/>
      <c r="DA233" s="64"/>
      <c r="DB233" s="64"/>
      <c r="DC233" s="64"/>
      <c r="DD233" s="64"/>
      <c r="DE233" s="64"/>
      <c r="DF233" s="64"/>
      <c r="DG233" s="64"/>
      <c r="DH233" s="64"/>
      <c r="DI233" s="64"/>
      <c r="DJ233" s="64"/>
      <c r="DK233" s="64"/>
      <c r="DL233" s="64"/>
      <c r="DM233" s="64"/>
      <c r="DN233" s="64"/>
      <c r="DO233" s="64"/>
      <c r="DP233" s="64"/>
      <c r="DQ233" s="64"/>
      <c r="DR233" s="64"/>
      <c r="DS233" s="64"/>
      <c r="DT233" s="64"/>
      <c r="DU233" s="64"/>
      <c r="DV233" s="64"/>
      <c r="DW233" s="64"/>
      <c r="DX233" s="64"/>
      <c r="DY233" s="64"/>
      <c r="DZ233" s="64"/>
      <c r="EA233" s="64"/>
      <c r="EB233" s="64"/>
      <c r="EC233" s="64"/>
      <c r="ED233" s="64"/>
    </row>
    <row r="234" spans="1:134" ht="15.75" customHeight="1">
      <c r="A234" s="65" t="s">
        <v>98</v>
      </c>
      <c r="B234" s="65" t="s">
        <v>404</v>
      </c>
      <c r="C234" s="65" t="s">
        <v>734</v>
      </c>
      <c r="D234" s="65" t="str">
        <f t="shared" si="0"/>
        <v>WR</v>
      </c>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64"/>
      <c r="BX234" s="64"/>
      <c r="BY234" s="64"/>
      <c r="BZ234" s="64"/>
      <c r="CA234" s="64"/>
      <c r="CB234" s="64"/>
      <c r="CC234" s="64"/>
      <c r="CD234" s="64"/>
      <c r="CE234" s="64"/>
      <c r="CF234" s="64"/>
      <c r="CG234" s="64"/>
      <c r="CH234" s="64"/>
      <c r="CI234" s="64"/>
      <c r="CJ234" s="64"/>
      <c r="CK234" s="64"/>
      <c r="CL234" s="64"/>
      <c r="CM234" s="64"/>
      <c r="CN234" s="64"/>
      <c r="CO234" s="64"/>
      <c r="CP234" s="64"/>
      <c r="CQ234" s="64"/>
      <c r="CR234" s="64"/>
      <c r="CS234" s="64"/>
      <c r="CT234" s="64"/>
      <c r="CU234" s="64"/>
      <c r="CV234" s="64"/>
      <c r="CW234" s="64"/>
      <c r="CX234" s="64"/>
      <c r="CY234" s="64"/>
      <c r="CZ234" s="64"/>
      <c r="DA234" s="64"/>
      <c r="DB234" s="64"/>
      <c r="DC234" s="64"/>
      <c r="DD234" s="64"/>
      <c r="DE234" s="64"/>
      <c r="DF234" s="64"/>
      <c r="DG234" s="64"/>
      <c r="DH234" s="64"/>
      <c r="DI234" s="64"/>
      <c r="DJ234" s="64"/>
      <c r="DK234" s="64"/>
      <c r="DL234" s="64"/>
      <c r="DM234" s="64"/>
      <c r="DN234" s="64"/>
      <c r="DO234" s="64"/>
      <c r="DP234" s="64"/>
      <c r="DQ234" s="64"/>
      <c r="DR234" s="64"/>
      <c r="DS234" s="64"/>
      <c r="DT234" s="64"/>
      <c r="DU234" s="64"/>
      <c r="DV234" s="64"/>
      <c r="DW234" s="64"/>
      <c r="DX234" s="64"/>
      <c r="DY234" s="64"/>
      <c r="DZ234" s="64"/>
      <c r="EA234" s="64"/>
      <c r="EB234" s="64"/>
      <c r="EC234" s="64"/>
      <c r="ED234" s="64"/>
    </row>
    <row r="235" spans="1:134" ht="15.75" customHeight="1">
      <c r="A235" s="65" t="s">
        <v>93</v>
      </c>
      <c r="B235" s="65" t="s">
        <v>411</v>
      </c>
      <c r="C235" s="65" t="s">
        <v>735</v>
      </c>
      <c r="D235" s="65" t="str">
        <f t="shared" si="0"/>
        <v>RB</v>
      </c>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64"/>
      <c r="BX235" s="64"/>
      <c r="BY235" s="64"/>
      <c r="BZ235" s="64"/>
      <c r="CA235" s="64"/>
      <c r="CB235" s="64"/>
      <c r="CC235" s="64"/>
      <c r="CD235" s="64"/>
      <c r="CE235" s="64"/>
      <c r="CF235" s="64"/>
      <c r="CG235" s="64"/>
      <c r="CH235" s="64"/>
      <c r="CI235" s="64"/>
      <c r="CJ235" s="64"/>
      <c r="CK235" s="64"/>
      <c r="CL235" s="64"/>
      <c r="CM235" s="64"/>
      <c r="CN235" s="64"/>
      <c r="CO235" s="64"/>
      <c r="CP235" s="64"/>
      <c r="CQ235" s="64"/>
      <c r="CR235" s="64"/>
      <c r="CS235" s="64"/>
      <c r="CT235" s="64"/>
      <c r="CU235" s="64"/>
      <c r="CV235" s="64"/>
      <c r="CW235" s="64"/>
      <c r="CX235" s="64"/>
      <c r="CY235" s="64"/>
      <c r="CZ235" s="64"/>
      <c r="DA235" s="64"/>
      <c r="DB235" s="64"/>
      <c r="DC235" s="64"/>
      <c r="DD235" s="64"/>
      <c r="DE235" s="64"/>
      <c r="DF235" s="64"/>
      <c r="DG235" s="64"/>
      <c r="DH235" s="64"/>
      <c r="DI235" s="64"/>
      <c r="DJ235" s="64"/>
      <c r="DK235" s="64"/>
      <c r="DL235" s="64"/>
      <c r="DM235" s="64"/>
      <c r="DN235" s="64"/>
      <c r="DO235" s="64"/>
      <c r="DP235" s="64"/>
      <c r="DQ235" s="64"/>
      <c r="DR235" s="64"/>
      <c r="DS235" s="64"/>
      <c r="DT235" s="64"/>
      <c r="DU235" s="64"/>
      <c r="DV235" s="64"/>
      <c r="DW235" s="64"/>
      <c r="DX235" s="64"/>
      <c r="DY235" s="64"/>
      <c r="DZ235" s="64"/>
      <c r="EA235" s="64"/>
      <c r="EB235" s="64"/>
      <c r="EC235" s="64"/>
      <c r="ED235" s="64"/>
    </row>
    <row r="236" spans="1:134" ht="15.75" customHeight="1">
      <c r="A236" s="65" t="s">
        <v>178</v>
      </c>
      <c r="B236" s="65" t="s">
        <v>404</v>
      </c>
      <c r="C236" s="65" t="s">
        <v>736</v>
      </c>
      <c r="D236" s="65" t="str">
        <f t="shared" si="0"/>
        <v>RB</v>
      </c>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64"/>
      <c r="BX236" s="64"/>
      <c r="BY236" s="64"/>
      <c r="BZ236" s="64"/>
      <c r="CA236" s="64"/>
      <c r="CB236" s="64"/>
      <c r="CC236" s="64"/>
      <c r="CD236" s="64"/>
      <c r="CE236" s="64"/>
      <c r="CF236" s="64"/>
      <c r="CG236" s="64"/>
      <c r="CH236" s="64"/>
      <c r="CI236" s="64"/>
      <c r="CJ236" s="64"/>
      <c r="CK236" s="64"/>
      <c r="CL236" s="64"/>
      <c r="CM236" s="64"/>
      <c r="CN236" s="64"/>
      <c r="CO236" s="64"/>
      <c r="CP236" s="64"/>
      <c r="CQ236" s="64"/>
      <c r="CR236" s="64"/>
      <c r="CS236" s="64"/>
      <c r="CT236" s="64"/>
      <c r="CU236" s="64"/>
      <c r="CV236" s="64"/>
      <c r="CW236" s="64"/>
      <c r="CX236" s="64"/>
      <c r="CY236" s="64"/>
      <c r="CZ236" s="64"/>
      <c r="DA236" s="64"/>
      <c r="DB236" s="64"/>
      <c r="DC236" s="64"/>
      <c r="DD236" s="64"/>
      <c r="DE236" s="64"/>
      <c r="DF236" s="64"/>
      <c r="DG236" s="64"/>
      <c r="DH236" s="64"/>
      <c r="DI236" s="64"/>
      <c r="DJ236" s="64"/>
      <c r="DK236" s="64"/>
      <c r="DL236" s="64"/>
      <c r="DM236" s="64"/>
      <c r="DN236" s="64"/>
      <c r="DO236" s="64"/>
      <c r="DP236" s="64"/>
      <c r="DQ236" s="64"/>
      <c r="DR236" s="64"/>
      <c r="DS236" s="64"/>
      <c r="DT236" s="64"/>
      <c r="DU236" s="64"/>
      <c r="DV236" s="64"/>
      <c r="DW236" s="64"/>
      <c r="DX236" s="64"/>
      <c r="DY236" s="64"/>
      <c r="DZ236" s="64"/>
      <c r="EA236" s="64"/>
      <c r="EB236" s="64"/>
      <c r="EC236" s="64"/>
      <c r="ED236" s="64"/>
    </row>
    <row r="237" spans="1:134" ht="15.75" customHeight="1">
      <c r="A237" s="65" t="s">
        <v>737</v>
      </c>
      <c r="B237" s="65" t="s">
        <v>416</v>
      </c>
      <c r="C237" s="65" t="s">
        <v>738</v>
      </c>
      <c r="D237" s="65" t="str">
        <f t="shared" si="0"/>
        <v>WR</v>
      </c>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64"/>
      <c r="BX237" s="64"/>
      <c r="BY237" s="64"/>
      <c r="BZ237" s="64"/>
      <c r="CA237" s="64"/>
      <c r="CB237" s="64"/>
      <c r="CC237" s="64"/>
      <c r="CD237" s="64"/>
      <c r="CE237" s="64"/>
      <c r="CF237" s="64"/>
      <c r="CG237" s="64"/>
      <c r="CH237" s="64"/>
      <c r="CI237" s="64"/>
      <c r="CJ237" s="64"/>
      <c r="CK237" s="64"/>
      <c r="CL237" s="64"/>
      <c r="CM237" s="64"/>
      <c r="CN237" s="64"/>
      <c r="CO237" s="64"/>
      <c r="CP237" s="64"/>
      <c r="CQ237" s="64"/>
      <c r="CR237" s="64"/>
      <c r="CS237" s="64"/>
      <c r="CT237" s="64"/>
      <c r="CU237" s="64"/>
      <c r="CV237" s="64"/>
      <c r="CW237" s="64"/>
      <c r="CX237" s="64"/>
      <c r="CY237" s="64"/>
      <c r="CZ237" s="64"/>
      <c r="DA237" s="64"/>
      <c r="DB237" s="64"/>
      <c r="DC237" s="64"/>
      <c r="DD237" s="64"/>
      <c r="DE237" s="64"/>
      <c r="DF237" s="64"/>
      <c r="DG237" s="64"/>
      <c r="DH237" s="64"/>
      <c r="DI237" s="64"/>
      <c r="DJ237" s="64"/>
      <c r="DK237" s="64"/>
      <c r="DL237" s="64"/>
      <c r="DM237" s="64"/>
      <c r="DN237" s="64"/>
      <c r="DO237" s="64"/>
      <c r="DP237" s="64"/>
      <c r="DQ237" s="64"/>
      <c r="DR237" s="64"/>
      <c r="DS237" s="64"/>
      <c r="DT237" s="64"/>
      <c r="DU237" s="64"/>
      <c r="DV237" s="64"/>
      <c r="DW237" s="64"/>
      <c r="DX237" s="64"/>
      <c r="DY237" s="64"/>
      <c r="DZ237" s="64"/>
      <c r="EA237" s="64"/>
      <c r="EB237" s="64"/>
      <c r="EC237" s="64"/>
      <c r="ED237" s="64"/>
    </row>
    <row r="238" spans="1:134" ht="15.75" customHeight="1">
      <c r="A238" s="65" t="s">
        <v>312</v>
      </c>
      <c r="B238" s="65" t="s">
        <v>397</v>
      </c>
      <c r="C238" s="65" t="s">
        <v>739</v>
      </c>
      <c r="D238" s="65" t="str">
        <f t="shared" si="0"/>
        <v>WR</v>
      </c>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c r="CY238" s="64"/>
      <c r="CZ238" s="64"/>
      <c r="DA238" s="64"/>
      <c r="DB238" s="64"/>
      <c r="DC238" s="64"/>
      <c r="DD238" s="64"/>
      <c r="DE238" s="64"/>
      <c r="DF238" s="64"/>
      <c r="DG238" s="64"/>
      <c r="DH238" s="64"/>
      <c r="DI238" s="64"/>
      <c r="DJ238" s="64"/>
      <c r="DK238" s="64"/>
      <c r="DL238" s="64"/>
      <c r="DM238" s="64"/>
      <c r="DN238" s="64"/>
      <c r="DO238" s="64"/>
      <c r="DP238" s="64"/>
      <c r="DQ238" s="64"/>
      <c r="DR238" s="64"/>
      <c r="DS238" s="64"/>
      <c r="DT238" s="64"/>
      <c r="DU238" s="64"/>
      <c r="DV238" s="64"/>
      <c r="DW238" s="64"/>
      <c r="DX238" s="64"/>
      <c r="DY238" s="64"/>
      <c r="DZ238" s="64"/>
      <c r="EA238" s="64"/>
      <c r="EB238" s="64"/>
      <c r="EC238" s="64"/>
      <c r="ED238" s="64"/>
    </row>
    <row r="239" spans="1:134" ht="15.75" customHeight="1">
      <c r="A239" s="65" t="s">
        <v>740</v>
      </c>
      <c r="B239" s="65" t="s">
        <v>398</v>
      </c>
      <c r="C239" s="65" t="s">
        <v>741</v>
      </c>
      <c r="D239" s="65" t="str">
        <f t="shared" si="0"/>
        <v>TE</v>
      </c>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c r="CK239" s="64"/>
      <c r="CL239" s="64"/>
      <c r="CM239" s="64"/>
      <c r="CN239" s="64"/>
      <c r="CO239" s="64"/>
      <c r="CP239" s="64"/>
      <c r="CQ239" s="64"/>
      <c r="CR239" s="64"/>
      <c r="CS239" s="64"/>
      <c r="CT239" s="64"/>
      <c r="CU239" s="64"/>
      <c r="CV239" s="64"/>
      <c r="CW239" s="64"/>
      <c r="CX239" s="64"/>
      <c r="CY239" s="64"/>
      <c r="CZ239" s="64"/>
      <c r="DA239" s="64"/>
      <c r="DB239" s="64"/>
      <c r="DC239" s="64"/>
      <c r="DD239" s="64"/>
      <c r="DE239" s="64"/>
      <c r="DF239" s="64"/>
      <c r="DG239" s="64"/>
      <c r="DH239" s="64"/>
      <c r="DI239" s="64"/>
      <c r="DJ239" s="64"/>
      <c r="DK239" s="64"/>
      <c r="DL239" s="64"/>
      <c r="DM239" s="64"/>
      <c r="DN239" s="64"/>
      <c r="DO239" s="64"/>
      <c r="DP239" s="64"/>
      <c r="DQ239" s="64"/>
      <c r="DR239" s="64"/>
      <c r="DS239" s="64"/>
      <c r="DT239" s="64"/>
      <c r="DU239" s="64"/>
      <c r="DV239" s="64"/>
      <c r="DW239" s="64"/>
      <c r="DX239" s="64"/>
      <c r="DY239" s="64"/>
      <c r="DZ239" s="64"/>
      <c r="EA239" s="64"/>
      <c r="EB239" s="64"/>
      <c r="EC239" s="64"/>
      <c r="ED239" s="64"/>
    </row>
    <row r="240" spans="1:134" ht="15.75" customHeight="1">
      <c r="A240" s="65" t="s">
        <v>742</v>
      </c>
      <c r="B240" s="65" t="s">
        <v>416</v>
      </c>
      <c r="C240" s="65" t="s">
        <v>743</v>
      </c>
      <c r="D240" s="65" t="str">
        <f t="shared" si="0"/>
        <v>RB</v>
      </c>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64"/>
      <c r="BX240" s="64"/>
      <c r="BY240" s="64"/>
      <c r="BZ240" s="64"/>
      <c r="CA240" s="64"/>
      <c r="CB240" s="64"/>
      <c r="CC240" s="64"/>
      <c r="CD240" s="64"/>
      <c r="CE240" s="64"/>
      <c r="CF240" s="64"/>
      <c r="CG240" s="64"/>
      <c r="CH240" s="64"/>
      <c r="CI240" s="64"/>
      <c r="CJ240" s="64"/>
      <c r="CK240" s="64"/>
      <c r="CL240" s="64"/>
      <c r="CM240" s="64"/>
      <c r="CN240" s="64"/>
      <c r="CO240" s="64"/>
      <c r="CP240" s="64"/>
      <c r="CQ240" s="64"/>
      <c r="CR240" s="64"/>
      <c r="CS240" s="64"/>
      <c r="CT240" s="64"/>
      <c r="CU240" s="64"/>
      <c r="CV240" s="64"/>
      <c r="CW240" s="64"/>
      <c r="CX240" s="64"/>
      <c r="CY240" s="64"/>
      <c r="CZ240" s="64"/>
      <c r="DA240" s="64"/>
      <c r="DB240" s="64"/>
      <c r="DC240" s="64"/>
      <c r="DD240" s="64"/>
      <c r="DE240" s="64"/>
      <c r="DF240" s="64"/>
      <c r="DG240" s="64"/>
      <c r="DH240" s="64"/>
      <c r="DI240" s="64"/>
      <c r="DJ240" s="64"/>
      <c r="DK240" s="64"/>
      <c r="DL240" s="64"/>
      <c r="DM240" s="64"/>
      <c r="DN240" s="64"/>
      <c r="DO240" s="64"/>
      <c r="DP240" s="64"/>
      <c r="DQ240" s="64"/>
      <c r="DR240" s="64"/>
      <c r="DS240" s="64"/>
      <c r="DT240" s="64"/>
      <c r="DU240" s="64"/>
      <c r="DV240" s="64"/>
      <c r="DW240" s="64"/>
      <c r="DX240" s="64"/>
      <c r="DY240" s="64"/>
      <c r="DZ240" s="64"/>
      <c r="EA240" s="64"/>
      <c r="EB240" s="64"/>
      <c r="EC240" s="64"/>
      <c r="ED240" s="64"/>
    </row>
    <row r="241" spans="1:134" ht="15.75" customHeight="1">
      <c r="A241" s="65" t="s">
        <v>744</v>
      </c>
      <c r="B241" s="65" t="s">
        <v>409</v>
      </c>
      <c r="C241" s="65" t="s">
        <v>745</v>
      </c>
      <c r="D241" s="65" t="str">
        <f t="shared" si="0"/>
        <v>TE</v>
      </c>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c r="CI241" s="64"/>
      <c r="CJ241" s="64"/>
      <c r="CK241" s="64"/>
      <c r="CL241" s="64"/>
      <c r="CM241" s="64"/>
      <c r="CN241" s="64"/>
      <c r="CO241" s="64"/>
      <c r="CP241" s="64"/>
      <c r="CQ241" s="64"/>
      <c r="CR241" s="64"/>
      <c r="CS241" s="64"/>
      <c r="CT241" s="64"/>
      <c r="CU241" s="64"/>
      <c r="CV241" s="64"/>
      <c r="CW241" s="64"/>
      <c r="CX241" s="64"/>
      <c r="CY241" s="64"/>
      <c r="CZ241" s="64"/>
      <c r="DA241" s="64"/>
      <c r="DB241" s="64"/>
      <c r="DC241" s="64"/>
      <c r="DD241" s="64"/>
      <c r="DE241" s="64"/>
      <c r="DF241" s="64"/>
      <c r="DG241" s="64"/>
      <c r="DH241" s="64"/>
      <c r="DI241" s="64"/>
      <c r="DJ241" s="64"/>
      <c r="DK241" s="64"/>
      <c r="DL241" s="64"/>
      <c r="DM241" s="64"/>
      <c r="DN241" s="64"/>
      <c r="DO241" s="64"/>
      <c r="DP241" s="64"/>
      <c r="DQ241" s="64"/>
      <c r="DR241" s="64"/>
      <c r="DS241" s="64"/>
      <c r="DT241" s="64"/>
      <c r="DU241" s="64"/>
      <c r="DV241" s="64"/>
      <c r="DW241" s="64"/>
      <c r="DX241" s="64"/>
      <c r="DY241" s="64"/>
      <c r="DZ241" s="64"/>
      <c r="EA241" s="64"/>
      <c r="EB241" s="64"/>
      <c r="EC241" s="64"/>
      <c r="ED241" s="64"/>
    </row>
    <row r="242" spans="1:134" ht="15.75" customHeight="1">
      <c r="A242" s="65" t="s">
        <v>746</v>
      </c>
      <c r="B242" s="65" t="s">
        <v>391</v>
      </c>
      <c r="C242" s="65" t="s">
        <v>747</v>
      </c>
      <c r="D242" s="65" t="str">
        <f t="shared" si="0"/>
        <v>WR</v>
      </c>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64"/>
      <c r="BX242" s="64"/>
      <c r="BY242" s="64"/>
      <c r="BZ242" s="64"/>
      <c r="CA242" s="64"/>
      <c r="CB242" s="64"/>
      <c r="CC242" s="64"/>
      <c r="CD242" s="64"/>
      <c r="CE242" s="64"/>
      <c r="CF242" s="64"/>
      <c r="CG242" s="64"/>
      <c r="CH242" s="64"/>
      <c r="CI242" s="64"/>
      <c r="CJ242" s="64"/>
      <c r="CK242" s="64"/>
      <c r="CL242" s="64"/>
      <c r="CM242" s="64"/>
      <c r="CN242" s="64"/>
      <c r="CO242" s="64"/>
      <c r="CP242" s="64"/>
      <c r="CQ242" s="64"/>
      <c r="CR242" s="64"/>
      <c r="CS242" s="64"/>
      <c r="CT242" s="64"/>
      <c r="CU242" s="64"/>
      <c r="CV242" s="64"/>
      <c r="CW242" s="64"/>
      <c r="CX242" s="64"/>
      <c r="CY242" s="64"/>
      <c r="CZ242" s="64"/>
      <c r="DA242" s="64"/>
      <c r="DB242" s="64"/>
      <c r="DC242" s="64"/>
      <c r="DD242" s="64"/>
      <c r="DE242" s="64"/>
      <c r="DF242" s="64"/>
      <c r="DG242" s="64"/>
      <c r="DH242" s="64"/>
      <c r="DI242" s="64"/>
      <c r="DJ242" s="64"/>
      <c r="DK242" s="64"/>
      <c r="DL242" s="64"/>
      <c r="DM242" s="64"/>
      <c r="DN242" s="64"/>
      <c r="DO242" s="64"/>
      <c r="DP242" s="64"/>
      <c r="DQ242" s="64"/>
      <c r="DR242" s="64"/>
      <c r="DS242" s="64"/>
      <c r="DT242" s="64"/>
      <c r="DU242" s="64"/>
      <c r="DV242" s="64"/>
      <c r="DW242" s="64"/>
      <c r="DX242" s="64"/>
      <c r="DY242" s="64"/>
      <c r="DZ242" s="64"/>
      <c r="EA242" s="64"/>
      <c r="EB242" s="64"/>
      <c r="EC242" s="64"/>
      <c r="ED242" s="64"/>
    </row>
    <row r="243" spans="1:134" ht="15.75" customHeight="1">
      <c r="A243" s="65" t="s">
        <v>151</v>
      </c>
      <c r="B243" s="65" t="s">
        <v>392</v>
      </c>
      <c r="C243" s="65" t="s">
        <v>748</v>
      </c>
      <c r="D243" s="65" t="str">
        <f t="shared" si="0"/>
        <v>RB</v>
      </c>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64"/>
      <c r="BX243" s="64"/>
      <c r="BY243" s="64"/>
      <c r="BZ243" s="64"/>
      <c r="CA243" s="64"/>
      <c r="CB243" s="64"/>
      <c r="CC243" s="64"/>
      <c r="CD243" s="64"/>
      <c r="CE243" s="64"/>
      <c r="CF243" s="64"/>
      <c r="CG243" s="64"/>
      <c r="CH243" s="64"/>
      <c r="CI243" s="64"/>
      <c r="CJ243" s="64"/>
      <c r="CK243" s="64"/>
      <c r="CL243" s="64"/>
      <c r="CM243" s="64"/>
      <c r="CN243" s="64"/>
      <c r="CO243" s="64"/>
      <c r="CP243" s="64"/>
      <c r="CQ243" s="64"/>
      <c r="CR243" s="64"/>
      <c r="CS243" s="64"/>
      <c r="CT243" s="64"/>
      <c r="CU243" s="64"/>
      <c r="CV243" s="64"/>
      <c r="CW243" s="64"/>
      <c r="CX243" s="64"/>
      <c r="CY243" s="64"/>
      <c r="CZ243" s="64"/>
      <c r="DA243" s="64"/>
      <c r="DB243" s="64"/>
      <c r="DC243" s="64"/>
      <c r="DD243" s="64"/>
      <c r="DE243" s="64"/>
      <c r="DF243" s="64"/>
      <c r="DG243" s="64"/>
      <c r="DH243" s="64"/>
      <c r="DI243" s="64"/>
      <c r="DJ243" s="64"/>
      <c r="DK243" s="64"/>
      <c r="DL243" s="64"/>
      <c r="DM243" s="64"/>
      <c r="DN243" s="64"/>
      <c r="DO243" s="64"/>
      <c r="DP243" s="64"/>
      <c r="DQ243" s="64"/>
      <c r="DR243" s="64"/>
      <c r="DS243" s="64"/>
      <c r="DT243" s="64"/>
      <c r="DU243" s="64"/>
      <c r="DV243" s="64"/>
      <c r="DW243" s="64"/>
      <c r="DX243" s="64"/>
      <c r="DY243" s="64"/>
      <c r="DZ243" s="64"/>
      <c r="EA243" s="64"/>
      <c r="EB243" s="64"/>
      <c r="EC243" s="64"/>
      <c r="ED243" s="64"/>
    </row>
    <row r="244" spans="1:134" ht="15.75" customHeight="1">
      <c r="A244" s="65" t="s">
        <v>82</v>
      </c>
      <c r="B244" s="65" t="s">
        <v>392</v>
      </c>
      <c r="C244" s="65" t="s">
        <v>749</v>
      </c>
      <c r="D244" s="65" t="str">
        <f t="shared" si="0"/>
        <v>WR</v>
      </c>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64"/>
      <c r="BX244" s="64"/>
      <c r="BY244" s="64"/>
      <c r="BZ244" s="64"/>
      <c r="CA244" s="64"/>
      <c r="CB244" s="64"/>
      <c r="CC244" s="64"/>
      <c r="CD244" s="64"/>
      <c r="CE244" s="64"/>
      <c r="CF244" s="64"/>
      <c r="CG244" s="64"/>
      <c r="CH244" s="64"/>
      <c r="CI244" s="64"/>
      <c r="CJ244" s="64"/>
      <c r="CK244" s="64"/>
      <c r="CL244" s="64"/>
      <c r="CM244" s="64"/>
      <c r="CN244" s="64"/>
      <c r="CO244" s="64"/>
      <c r="CP244" s="64"/>
      <c r="CQ244" s="64"/>
      <c r="CR244" s="64"/>
      <c r="CS244" s="64"/>
      <c r="CT244" s="64"/>
      <c r="CU244" s="64"/>
      <c r="CV244" s="64"/>
      <c r="CW244" s="64"/>
      <c r="CX244" s="64"/>
      <c r="CY244" s="64"/>
      <c r="CZ244" s="64"/>
      <c r="DA244" s="64"/>
      <c r="DB244" s="64"/>
      <c r="DC244" s="64"/>
      <c r="DD244" s="64"/>
      <c r="DE244" s="64"/>
      <c r="DF244" s="64"/>
      <c r="DG244" s="64"/>
      <c r="DH244" s="64"/>
      <c r="DI244" s="64"/>
      <c r="DJ244" s="64"/>
      <c r="DK244" s="64"/>
      <c r="DL244" s="64"/>
      <c r="DM244" s="64"/>
      <c r="DN244" s="64"/>
      <c r="DO244" s="64"/>
      <c r="DP244" s="64"/>
      <c r="DQ244" s="64"/>
      <c r="DR244" s="64"/>
      <c r="DS244" s="64"/>
      <c r="DT244" s="64"/>
      <c r="DU244" s="64"/>
      <c r="DV244" s="64"/>
      <c r="DW244" s="64"/>
      <c r="DX244" s="64"/>
      <c r="DY244" s="64"/>
      <c r="DZ244" s="64"/>
      <c r="EA244" s="64"/>
      <c r="EB244" s="64"/>
      <c r="EC244" s="64"/>
      <c r="ED244" s="64"/>
    </row>
    <row r="245" spans="1:134" ht="15.75" customHeight="1">
      <c r="A245" s="65" t="s">
        <v>750</v>
      </c>
      <c r="B245" s="65" t="s">
        <v>402</v>
      </c>
      <c r="C245" s="65" t="s">
        <v>751</v>
      </c>
      <c r="D245" s="65" t="str">
        <f t="shared" si="0"/>
        <v>QB</v>
      </c>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64"/>
      <c r="BX245" s="64"/>
      <c r="BY245" s="64"/>
      <c r="BZ245" s="64"/>
      <c r="CA245" s="64"/>
      <c r="CB245" s="64"/>
      <c r="CC245" s="64"/>
      <c r="CD245" s="64"/>
      <c r="CE245" s="64"/>
      <c r="CF245" s="64"/>
      <c r="CG245" s="64"/>
      <c r="CH245" s="64"/>
      <c r="CI245" s="64"/>
      <c r="CJ245" s="64"/>
      <c r="CK245" s="64"/>
      <c r="CL245" s="64"/>
      <c r="CM245" s="64"/>
      <c r="CN245" s="64"/>
      <c r="CO245" s="64"/>
      <c r="CP245" s="64"/>
      <c r="CQ245" s="64"/>
      <c r="CR245" s="64"/>
      <c r="CS245" s="64"/>
      <c r="CT245" s="64"/>
      <c r="CU245" s="64"/>
      <c r="CV245" s="64"/>
      <c r="CW245" s="64"/>
      <c r="CX245" s="64"/>
      <c r="CY245" s="64"/>
      <c r="CZ245" s="64"/>
      <c r="DA245" s="64"/>
      <c r="DB245" s="64"/>
      <c r="DC245" s="64"/>
      <c r="DD245" s="64"/>
      <c r="DE245" s="64"/>
      <c r="DF245" s="64"/>
      <c r="DG245" s="64"/>
      <c r="DH245" s="64"/>
      <c r="DI245" s="64"/>
      <c r="DJ245" s="64"/>
      <c r="DK245" s="64"/>
      <c r="DL245" s="64"/>
      <c r="DM245" s="64"/>
      <c r="DN245" s="64"/>
      <c r="DO245" s="64"/>
      <c r="DP245" s="64"/>
      <c r="DQ245" s="64"/>
      <c r="DR245" s="64"/>
      <c r="DS245" s="64"/>
      <c r="DT245" s="64"/>
      <c r="DU245" s="64"/>
      <c r="DV245" s="64"/>
      <c r="DW245" s="64"/>
      <c r="DX245" s="64"/>
      <c r="DY245" s="64"/>
      <c r="DZ245" s="64"/>
      <c r="EA245" s="64"/>
      <c r="EB245" s="64"/>
      <c r="EC245" s="64"/>
      <c r="ED245" s="64"/>
    </row>
    <row r="246" spans="1:134" ht="15.75" customHeight="1">
      <c r="A246" s="65" t="s">
        <v>752</v>
      </c>
      <c r="B246" s="65" t="s">
        <v>389</v>
      </c>
      <c r="C246" s="65" t="s">
        <v>753</v>
      </c>
      <c r="D246" s="65" t="str">
        <f t="shared" si="0"/>
        <v>WR</v>
      </c>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64"/>
      <c r="BX246" s="64"/>
      <c r="BY246" s="64"/>
      <c r="BZ246" s="64"/>
      <c r="CA246" s="64"/>
      <c r="CB246" s="64"/>
      <c r="CC246" s="64"/>
      <c r="CD246" s="64"/>
      <c r="CE246" s="64"/>
      <c r="CF246" s="64"/>
      <c r="CG246" s="64"/>
      <c r="CH246" s="64"/>
      <c r="CI246" s="64"/>
      <c r="CJ246" s="64"/>
      <c r="CK246" s="64"/>
      <c r="CL246" s="64"/>
      <c r="CM246" s="64"/>
      <c r="CN246" s="64"/>
      <c r="CO246" s="64"/>
      <c r="CP246" s="64"/>
      <c r="CQ246" s="64"/>
      <c r="CR246" s="64"/>
      <c r="CS246" s="64"/>
      <c r="CT246" s="64"/>
      <c r="CU246" s="64"/>
      <c r="CV246" s="64"/>
      <c r="CW246" s="64"/>
      <c r="CX246" s="64"/>
      <c r="CY246" s="64"/>
      <c r="CZ246" s="64"/>
      <c r="DA246" s="64"/>
      <c r="DB246" s="64"/>
      <c r="DC246" s="64"/>
      <c r="DD246" s="64"/>
      <c r="DE246" s="64"/>
      <c r="DF246" s="64"/>
      <c r="DG246" s="64"/>
      <c r="DH246" s="64"/>
      <c r="DI246" s="64"/>
      <c r="DJ246" s="64"/>
      <c r="DK246" s="64"/>
      <c r="DL246" s="64"/>
      <c r="DM246" s="64"/>
      <c r="DN246" s="64"/>
      <c r="DO246" s="64"/>
      <c r="DP246" s="64"/>
      <c r="DQ246" s="64"/>
      <c r="DR246" s="64"/>
      <c r="DS246" s="64"/>
      <c r="DT246" s="64"/>
      <c r="DU246" s="64"/>
      <c r="DV246" s="64"/>
      <c r="DW246" s="64"/>
      <c r="DX246" s="64"/>
      <c r="DY246" s="64"/>
      <c r="DZ246" s="64"/>
      <c r="EA246" s="64"/>
      <c r="EB246" s="64"/>
      <c r="EC246" s="64"/>
      <c r="ED246" s="64"/>
    </row>
    <row r="247" spans="1:134" ht="15.75" customHeight="1">
      <c r="A247" s="65" t="s">
        <v>84</v>
      </c>
      <c r="B247" s="65" t="s">
        <v>391</v>
      </c>
      <c r="C247" s="65" t="s">
        <v>754</v>
      </c>
      <c r="D247" s="65" t="str">
        <f t="shared" si="0"/>
        <v>QB</v>
      </c>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64"/>
      <c r="BX247" s="64"/>
      <c r="BY247" s="64"/>
      <c r="BZ247" s="64"/>
      <c r="CA247" s="64"/>
      <c r="CB247" s="64"/>
      <c r="CC247" s="64"/>
      <c r="CD247" s="64"/>
      <c r="CE247" s="64"/>
      <c r="CF247" s="64"/>
      <c r="CG247" s="64"/>
      <c r="CH247" s="64"/>
      <c r="CI247" s="64"/>
      <c r="CJ247" s="64"/>
      <c r="CK247" s="64"/>
      <c r="CL247" s="64"/>
      <c r="CM247" s="64"/>
      <c r="CN247" s="64"/>
      <c r="CO247" s="64"/>
      <c r="CP247" s="64"/>
      <c r="CQ247" s="64"/>
      <c r="CR247" s="64"/>
      <c r="CS247" s="64"/>
      <c r="CT247" s="64"/>
      <c r="CU247" s="64"/>
      <c r="CV247" s="64"/>
      <c r="CW247" s="64"/>
      <c r="CX247" s="64"/>
      <c r="CY247" s="64"/>
      <c r="CZ247" s="64"/>
      <c r="DA247" s="64"/>
      <c r="DB247" s="64"/>
      <c r="DC247" s="64"/>
      <c r="DD247" s="64"/>
      <c r="DE247" s="64"/>
      <c r="DF247" s="64"/>
      <c r="DG247" s="64"/>
      <c r="DH247" s="64"/>
      <c r="DI247" s="64"/>
      <c r="DJ247" s="64"/>
      <c r="DK247" s="64"/>
      <c r="DL247" s="64"/>
      <c r="DM247" s="64"/>
      <c r="DN247" s="64"/>
      <c r="DO247" s="64"/>
      <c r="DP247" s="64"/>
      <c r="DQ247" s="64"/>
      <c r="DR247" s="64"/>
      <c r="DS247" s="64"/>
      <c r="DT247" s="64"/>
      <c r="DU247" s="64"/>
      <c r="DV247" s="64"/>
      <c r="DW247" s="64"/>
      <c r="DX247" s="64"/>
      <c r="DY247" s="64"/>
      <c r="DZ247" s="64"/>
      <c r="EA247" s="64"/>
      <c r="EB247" s="64"/>
      <c r="EC247" s="64"/>
      <c r="ED247" s="64"/>
    </row>
    <row r="248" spans="1:134" ht="15.75" customHeight="1">
      <c r="A248" s="65" t="s">
        <v>215</v>
      </c>
      <c r="B248" s="65" t="s">
        <v>392</v>
      </c>
      <c r="C248" s="65" t="s">
        <v>755</v>
      </c>
      <c r="D248" s="65" t="str">
        <f t="shared" si="0"/>
        <v>QB</v>
      </c>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64"/>
      <c r="BX248" s="64"/>
      <c r="BY248" s="64"/>
      <c r="BZ248" s="64"/>
      <c r="CA248" s="64"/>
      <c r="CB248" s="64"/>
      <c r="CC248" s="64"/>
      <c r="CD248" s="64"/>
      <c r="CE248" s="64"/>
      <c r="CF248" s="64"/>
      <c r="CG248" s="64"/>
      <c r="CH248" s="64"/>
      <c r="CI248" s="64"/>
      <c r="CJ248" s="64"/>
      <c r="CK248" s="64"/>
      <c r="CL248" s="64"/>
      <c r="CM248" s="64"/>
      <c r="CN248" s="64"/>
      <c r="CO248" s="64"/>
      <c r="CP248" s="64"/>
      <c r="CQ248" s="64"/>
      <c r="CR248" s="64"/>
      <c r="CS248" s="64"/>
      <c r="CT248" s="64"/>
      <c r="CU248" s="64"/>
      <c r="CV248" s="64"/>
      <c r="CW248" s="64"/>
      <c r="CX248" s="64"/>
      <c r="CY248" s="64"/>
      <c r="CZ248" s="64"/>
      <c r="DA248" s="64"/>
      <c r="DB248" s="64"/>
      <c r="DC248" s="64"/>
      <c r="DD248" s="64"/>
      <c r="DE248" s="64"/>
      <c r="DF248" s="64"/>
      <c r="DG248" s="64"/>
      <c r="DH248" s="64"/>
      <c r="DI248" s="64"/>
      <c r="DJ248" s="64"/>
      <c r="DK248" s="64"/>
      <c r="DL248" s="64"/>
      <c r="DM248" s="64"/>
      <c r="DN248" s="64"/>
      <c r="DO248" s="64"/>
      <c r="DP248" s="64"/>
      <c r="DQ248" s="64"/>
      <c r="DR248" s="64"/>
      <c r="DS248" s="64"/>
      <c r="DT248" s="64"/>
      <c r="DU248" s="64"/>
      <c r="DV248" s="64"/>
      <c r="DW248" s="64"/>
      <c r="DX248" s="64"/>
      <c r="DY248" s="64"/>
      <c r="DZ248" s="64"/>
      <c r="EA248" s="64"/>
      <c r="EB248" s="64"/>
      <c r="EC248" s="64"/>
      <c r="ED248" s="64"/>
    </row>
    <row r="249" spans="1:134" ht="15.75" customHeight="1">
      <c r="A249" s="65" t="s">
        <v>756</v>
      </c>
      <c r="B249" s="65" t="s">
        <v>393</v>
      </c>
      <c r="C249" s="65" t="s">
        <v>757</v>
      </c>
      <c r="D249" s="65" t="str">
        <f t="shared" si="0"/>
        <v>QB</v>
      </c>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64"/>
      <c r="BX249" s="64"/>
      <c r="BY249" s="64"/>
      <c r="BZ249" s="64"/>
      <c r="CA249" s="64"/>
      <c r="CB249" s="64"/>
      <c r="CC249" s="64"/>
      <c r="CD249" s="64"/>
      <c r="CE249" s="64"/>
      <c r="CF249" s="64"/>
      <c r="CG249" s="64"/>
      <c r="CH249" s="64"/>
      <c r="CI249" s="64"/>
      <c r="CJ249" s="64"/>
      <c r="CK249" s="64"/>
      <c r="CL249" s="64"/>
      <c r="CM249" s="64"/>
      <c r="CN249" s="64"/>
      <c r="CO249" s="64"/>
      <c r="CP249" s="64"/>
      <c r="CQ249" s="64"/>
      <c r="CR249" s="64"/>
      <c r="CS249" s="64"/>
      <c r="CT249" s="64"/>
      <c r="CU249" s="64"/>
      <c r="CV249" s="64"/>
      <c r="CW249" s="64"/>
      <c r="CX249" s="64"/>
      <c r="CY249" s="64"/>
      <c r="CZ249" s="64"/>
      <c r="DA249" s="64"/>
      <c r="DB249" s="64"/>
      <c r="DC249" s="64"/>
      <c r="DD249" s="64"/>
      <c r="DE249" s="64"/>
      <c r="DF249" s="64"/>
      <c r="DG249" s="64"/>
      <c r="DH249" s="64"/>
      <c r="DI249" s="64"/>
      <c r="DJ249" s="64"/>
      <c r="DK249" s="64"/>
      <c r="DL249" s="64"/>
      <c r="DM249" s="64"/>
      <c r="DN249" s="64"/>
      <c r="DO249" s="64"/>
      <c r="DP249" s="64"/>
      <c r="DQ249" s="64"/>
      <c r="DR249" s="64"/>
      <c r="DS249" s="64"/>
      <c r="DT249" s="64"/>
      <c r="DU249" s="64"/>
      <c r="DV249" s="64"/>
      <c r="DW249" s="64"/>
      <c r="DX249" s="64"/>
      <c r="DY249" s="64"/>
      <c r="DZ249" s="64"/>
      <c r="EA249" s="64"/>
      <c r="EB249" s="64"/>
      <c r="EC249" s="64"/>
      <c r="ED249" s="64"/>
    </row>
    <row r="250" spans="1:134" ht="15.75" customHeight="1">
      <c r="A250" s="65" t="s">
        <v>110</v>
      </c>
      <c r="B250" s="65" t="s">
        <v>397</v>
      </c>
      <c r="C250" s="65" t="s">
        <v>758</v>
      </c>
      <c r="D250" s="65" t="str">
        <f t="shared" si="0"/>
        <v>RB</v>
      </c>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64"/>
      <c r="BX250" s="64"/>
      <c r="BY250" s="64"/>
      <c r="BZ250" s="64"/>
      <c r="CA250" s="64"/>
      <c r="CB250" s="64"/>
      <c r="CC250" s="64"/>
      <c r="CD250" s="64"/>
      <c r="CE250" s="64"/>
      <c r="CF250" s="64"/>
      <c r="CG250" s="64"/>
      <c r="CH250" s="64"/>
      <c r="CI250" s="64"/>
      <c r="CJ250" s="64"/>
      <c r="CK250" s="64"/>
      <c r="CL250" s="64"/>
      <c r="CM250" s="64"/>
      <c r="CN250" s="64"/>
      <c r="CO250" s="64"/>
      <c r="CP250" s="64"/>
      <c r="CQ250" s="64"/>
      <c r="CR250" s="64"/>
      <c r="CS250" s="64"/>
      <c r="CT250" s="64"/>
      <c r="CU250" s="64"/>
      <c r="CV250" s="64"/>
      <c r="CW250" s="64"/>
      <c r="CX250" s="64"/>
      <c r="CY250" s="64"/>
      <c r="CZ250" s="64"/>
      <c r="DA250" s="64"/>
      <c r="DB250" s="64"/>
      <c r="DC250" s="64"/>
      <c r="DD250" s="64"/>
      <c r="DE250" s="64"/>
      <c r="DF250" s="64"/>
      <c r="DG250" s="64"/>
      <c r="DH250" s="64"/>
      <c r="DI250" s="64"/>
      <c r="DJ250" s="64"/>
      <c r="DK250" s="64"/>
      <c r="DL250" s="64"/>
      <c r="DM250" s="64"/>
      <c r="DN250" s="64"/>
      <c r="DO250" s="64"/>
      <c r="DP250" s="64"/>
      <c r="DQ250" s="64"/>
      <c r="DR250" s="64"/>
      <c r="DS250" s="64"/>
      <c r="DT250" s="64"/>
      <c r="DU250" s="64"/>
      <c r="DV250" s="64"/>
      <c r="DW250" s="64"/>
      <c r="DX250" s="64"/>
      <c r="DY250" s="64"/>
      <c r="DZ250" s="64"/>
      <c r="EA250" s="64"/>
      <c r="EB250" s="64"/>
      <c r="EC250" s="64"/>
      <c r="ED250" s="64"/>
    </row>
    <row r="251" spans="1:134" ht="15.75" customHeight="1">
      <c r="A251" s="65" t="s">
        <v>759</v>
      </c>
      <c r="B251" s="65" t="s">
        <v>416</v>
      </c>
      <c r="C251" s="65" t="s">
        <v>760</v>
      </c>
      <c r="D251" s="65" t="str">
        <f t="shared" si="0"/>
        <v>TE</v>
      </c>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64"/>
      <c r="BX251" s="64"/>
      <c r="BY251" s="64"/>
      <c r="BZ251" s="64"/>
      <c r="CA251" s="64"/>
      <c r="CB251" s="64"/>
      <c r="CC251" s="64"/>
      <c r="CD251" s="64"/>
      <c r="CE251" s="64"/>
      <c r="CF251" s="64"/>
      <c r="CG251" s="64"/>
      <c r="CH251" s="64"/>
      <c r="CI251" s="64"/>
      <c r="CJ251" s="64"/>
      <c r="CK251" s="64"/>
      <c r="CL251" s="64"/>
      <c r="CM251" s="64"/>
      <c r="CN251" s="64"/>
      <c r="CO251" s="64"/>
      <c r="CP251" s="64"/>
      <c r="CQ251" s="64"/>
      <c r="CR251" s="64"/>
      <c r="CS251" s="64"/>
      <c r="CT251" s="64"/>
      <c r="CU251" s="64"/>
      <c r="CV251" s="64"/>
      <c r="CW251" s="64"/>
      <c r="CX251" s="64"/>
      <c r="CY251" s="64"/>
      <c r="CZ251" s="64"/>
      <c r="DA251" s="64"/>
      <c r="DB251" s="64"/>
      <c r="DC251" s="64"/>
      <c r="DD251" s="64"/>
      <c r="DE251" s="64"/>
      <c r="DF251" s="64"/>
      <c r="DG251" s="64"/>
      <c r="DH251" s="64"/>
      <c r="DI251" s="64"/>
      <c r="DJ251" s="64"/>
      <c r="DK251" s="64"/>
      <c r="DL251" s="64"/>
      <c r="DM251" s="64"/>
      <c r="DN251" s="64"/>
      <c r="DO251" s="64"/>
      <c r="DP251" s="64"/>
      <c r="DQ251" s="64"/>
      <c r="DR251" s="64"/>
      <c r="DS251" s="64"/>
      <c r="DT251" s="64"/>
      <c r="DU251" s="64"/>
      <c r="DV251" s="64"/>
      <c r="DW251" s="64"/>
      <c r="DX251" s="64"/>
      <c r="DY251" s="64"/>
      <c r="DZ251" s="64"/>
      <c r="EA251" s="64"/>
      <c r="EB251" s="64"/>
      <c r="EC251" s="64"/>
      <c r="ED251" s="64"/>
    </row>
    <row r="252" spans="1:134" ht="15.75" customHeight="1">
      <c r="A252" s="65" t="s">
        <v>761</v>
      </c>
      <c r="B252" s="65" t="s">
        <v>397</v>
      </c>
      <c r="C252" s="65" t="s">
        <v>762</v>
      </c>
      <c r="D252" s="65" t="str">
        <f t="shared" si="0"/>
        <v>WR</v>
      </c>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64"/>
      <c r="BX252" s="64"/>
      <c r="BY252" s="64"/>
      <c r="BZ252" s="64"/>
      <c r="CA252" s="64"/>
      <c r="CB252" s="64"/>
      <c r="CC252" s="64"/>
      <c r="CD252" s="64"/>
      <c r="CE252" s="64"/>
      <c r="CF252" s="64"/>
      <c r="CG252" s="64"/>
      <c r="CH252" s="64"/>
      <c r="CI252" s="64"/>
      <c r="CJ252" s="64"/>
      <c r="CK252" s="64"/>
      <c r="CL252" s="64"/>
      <c r="CM252" s="64"/>
      <c r="CN252" s="64"/>
      <c r="CO252" s="64"/>
      <c r="CP252" s="64"/>
      <c r="CQ252" s="64"/>
      <c r="CR252" s="64"/>
      <c r="CS252" s="64"/>
      <c r="CT252" s="64"/>
      <c r="CU252" s="64"/>
      <c r="CV252" s="64"/>
      <c r="CW252" s="64"/>
      <c r="CX252" s="64"/>
      <c r="CY252" s="64"/>
      <c r="CZ252" s="64"/>
      <c r="DA252" s="64"/>
      <c r="DB252" s="64"/>
      <c r="DC252" s="64"/>
      <c r="DD252" s="64"/>
      <c r="DE252" s="64"/>
      <c r="DF252" s="64"/>
      <c r="DG252" s="64"/>
      <c r="DH252" s="64"/>
      <c r="DI252" s="64"/>
      <c r="DJ252" s="64"/>
      <c r="DK252" s="64"/>
      <c r="DL252" s="64"/>
      <c r="DM252" s="64"/>
      <c r="DN252" s="64"/>
      <c r="DO252" s="64"/>
      <c r="DP252" s="64"/>
      <c r="DQ252" s="64"/>
      <c r="DR252" s="64"/>
      <c r="DS252" s="64"/>
      <c r="DT252" s="64"/>
      <c r="DU252" s="64"/>
      <c r="DV252" s="64"/>
      <c r="DW252" s="64"/>
      <c r="DX252" s="64"/>
      <c r="DY252" s="64"/>
      <c r="DZ252" s="64"/>
      <c r="EA252" s="64"/>
      <c r="EB252" s="64"/>
      <c r="EC252" s="64"/>
      <c r="ED252" s="64"/>
    </row>
    <row r="253" spans="1:134" ht="15.75" customHeight="1">
      <c r="A253" s="65" t="s">
        <v>763</v>
      </c>
      <c r="B253" s="65" t="s">
        <v>399</v>
      </c>
      <c r="C253" s="65" t="s">
        <v>764</v>
      </c>
      <c r="D253" s="65" t="str">
        <f t="shared" si="0"/>
        <v>TE</v>
      </c>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64"/>
      <c r="BX253" s="64"/>
      <c r="BY253" s="64"/>
      <c r="BZ253" s="64"/>
      <c r="CA253" s="64"/>
      <c r="CB253" s="64"/>
      <c r="CC253" s="64"/>
      <c r="CD253" s="64"/>
      <c r="CE253" s="64"/>
      <c r="CF253" s="64"/>
      <c r="CG253" s="64"/>
      <c r="CH253" s="64"/>
      <c r="CI253" s="64"/>
      <c r="CJ253" s="64"/>
      <c r="CK253" s="64"/>
      <c r="CL253" s="64"/>
      <c r="CM253" s="64"/>
      <c r="CN253" s="64"/>
      <c r="CO253" s="64"/>
      <c r="CP253" s="64"/>
      <c r="CQ253" s="64"/>
      <c r="CR253" s="64"/>
      <c r="CS253" s="64"/>
      <c r="CT253" s="64"/>
      <c r="CU253" s="64"/>
      <c r="CV253" s="64"/>
      <c r="CW253" s="64"/>
      <c r="CX253" s="64"/>
      <c r="CY253" s="64"/>
      <c r="CZ253" s="64"/>
      <c r="DA253" s="64"/>
      <c r="DB253" s="64"/>
      <c r="DC253" s="64"/>
      <c r="DD253" s="64"/>
      <c r="DE253" s="64"/>
      <c r="DF253" s="64"/>
      <c r="DG253" s="64"/>
      <c r="DH253" s="64"/>
      <c r="DI253" s="64"/>
      <c r="DJ253" s="64"/>
      <c r="DK253" s="64"/>
      <c r="DL253" s="64"/>
      <c r="DM253" s="64"/>
      <c r="DN253" s="64"/>
      <c r="DO253" s="64"/>
      <c r="DP253" s="64"/>
      <c r="DQ253" s="64"/>
      <c r="DR253" s="64"/>
      <c r="DS253" s="64"/>
      <c r="DT253" s="64"/>
      <c r="DU253" s="64"/>
      <c r="DV253" s="64"/>
      <c r="DW253" s="64"/>
      <c r="DX253" s="64"/>
      <c r="DY253" s="64"/>
      <c r="DZ253" s="64"/>
      <c r="EA253" s="64"/>
      <c r="EB253" s="64"/>
      <c r="EC253" s="64"/>
      <c r="ED253" s="64"/>
    </row>
    <row r="254" spans="1:134" ht="15.75" customHeight="1">
      <c r="A254" s="65" t="s">
        <v>765</v>
      </c>
      <c r="B254" s="65" t="s">
        <v>393</v>
      </c>
      <c r="C254" s="65" t="s">
        <v>766</v>
      </c>
      <c r="D254" s="65" t="str">
        <f t="shared" si="0"/>
        <v>WR</v>
      </c>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64"/>
      <c r="BX254" s="64"/>
      <c r="BY254" s="64"/>
      <c r="BZ254" s="64"/>
      <c r="CA254" s="64"/>
      <c r="CB254" s="64"/>
      <c r="CC254" s="64"/>
      <c r="CD254" s="64"/>
      <c r="CE254" s="64"/>
      <c r="CF254" s="64"/>
      <c r="CG254" s="64"/>
      <c r="CH254" s="64"/>
      <c r="CI254" s="64"/>
      <c r="CJ254" s="64"/>
      <c r="CK254" s="64"/>
      <c r="CL254" s="64"/>
      <c r="CM254" s="64"/>
      <c r="CN254" s="64"/>
      <c r="CO254" s="64"/>
      <c r="CP254" s="64"/>
      <c r="CQ254" s="64"/>
      <c r="CR254" s="64"/>
      <c r="CS254" s="64"/>
      <c r="CT254" s="64"/>
      <c r="CU254" s="64"/>
      <c r="CV254" s="64"/>
      <c r="CW254" s="64"/>
      <c r="CX254" s="64"/>
      <c r="CY254" s="64"/>
      <c r="CZ254" s="64"/>
      <c r="DA254" s="64"/>
      <c r="DB254" s="64"/>
      <c r="DC254" s="64"/>
      <c r="DD254" s="64"/>
      <c r="DE254" s="64"/>
      <c r="DF254" s="64"/>
      <c r="DG254" s="64"/>
      <c r="DH254" s="64"/>
      <c r="DI254" s="64"/>
      <c r="DJ254" s="64"/>
      <c r="DK254" s="64"/>
      <c r="DL254" s="64"/>
      <c r="DM254" s="64"/>
      <c r="DN254" s="64"/>
      <c r="DO254" s="64"/>
      <c r="DP254" s="64"/>
      <c r="DQ254" s="64"/>
      <c r="DR254" s="64"/>
      <c r="DS254" s="64"/>
      <c r="DT254" s="64"/>
      <c r="DU254" s="64"/>
      <c r="DV254" s="64"/>
      <c r="DW254" s="64"/>
      <c r="DX254" s="64"/>
      <c r="DY254" s="64"/>
      <c r="DZ254" s="64"/>
      <c r="EA254" s="64"/>
      <c r="EB254" s="64"/>
      <c r="EC254" s="64"/>
      <c r="ED254" s="64"/>
    </row>
    <row r="255" spans="1:134" ht="15.75" customHeight="1">
      <c r="A255" s="65" t="s">
        <v>60</v>
      </c>
      <c r="B255" s="65" t="s">
        <v>398</v>
      </c>
      <c r="C255" s="65" t="s">
        <v>767</v>
      </c>
      <c r="D255" s="65" t="str">
        <f t="shared" si="0"/>
        <v>RB</v>
      </c>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64"/>
      <c r="BX255" s="64"/>
      <c r="BY255" s="64"/>
      <c r="BZ255" s="64"/>
      <c r="CA255" s="64"/>
      <c r="CB255" s="64"/>
      <c r="CC255" s="64"/>
      <c r="CD255" s="64"/>
      <c r="CE255" s="64"/>
      <c r="CF255" s="64"/>
      <c r="CG255" s="64"/>
      <c r="CH255" s="64"/>
      <c r="CI255" s="64"/>
      <c r="CJ255" s="64"/>
      <c r="CK255" s="64"/>
      <c r="CL255" s="64"/>
      <c r="CM255" s="64"/>
      <c r="CN255" s="64"/>
      <c r="CO255" s="64"/>
      <c r="CP255" s="64"/>
      <c r="CQ255" s="64"/>
      <c r="CR255" s="64"/>
      <c r="CS255" s="64"/>
      <c r="CT255" s="64"/>
      <c r="CU255" s="64"/>
      <c r="CV255" s="64"/>
      <c r="CW255" s="64"/>
      <c r="CX255" s="64"/>
      <c r="CY255" s="64"/>
      <c r="CZ255" s="64"/>
      <c r="DA255" s="64"/>
      <c r="DB255" s="64"/>
      <c r="DC255" s="64"/>
      <c r="DD255" s="64"/>
      <c r="DE255" s="64"/>
      <c r="DF255" s="64"/>
      <c r="DG255" s="64"/>
      <c r="DH255" s="64"/>
      <c r="DI255" s="64"/>
      <c r="DJ255" s="64"/>
      <c r="DK255" s="64"/>
      <c r="DL255" s="64"/>
      <c r="DM255" s="64"/>
      <c r="DN255" s="64"/>
      <c r="DO255" s="64"/>
      <c r="DP255" s="64"/>
      <c r="DQ255" s="64"/>
      <c r="DR255" s="64"/>
      <c r="DS255" s="64"/>
      <c r="DT255" s="64"/>
      <c r="DU255" s="64"/>
      <c r="DV255" s="64"/>
      <c r="DW255" s="64"/>
      <c r="DX255" s="64"/>
      <c r="DY255" s="64"/>
      <c r="DZ255" s="64"/>
      <c r="EA255" s="64"/>
      <c r="EB255" s="64"/>
      <c r="EC255" s="64"/>
      <c r="ED255" s="64"/>
    </row>
    <row r="256" spans="1:134" ht="15.75" customHeight="1">
      <c r="A256" s="65" t="s">
        <v>768</v>
      </c>
      <c r="B256" s="65" t="s">
        <v>389</v>
      </c>
      <c r="C256" s="65" t="s">
        <v>769</v>
      </c>
      <c r="D256" s="65" t="str">
        <f t="shared" si="0"/>
        <v>RB</v>
      </c>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64"/>
      <c r="BX256" s="64"/>
      <c r="BY256" s="64"/>
      <c r="BZ256" s="64"/>
      <c r="CA256" s="64"/>
      <c r="CB256" s="64"/>
      <c r="CC256" s="64"/>
      <c r="CD256" s="64"/>
      <c r="CE256" s="64"/>
      <c r="CF256" s="64"/>
      <c r="CG256" s="64"/>
      <c r="CH256" s="64"/>
      <c r="CI256" s="64"/>
      <c r="CJ256" s="64"/>
      <c r="CK256" s="64"/>
      <c r="CL256" s="64"/>
      <c r="CM256" s="64"/>
      <c r="CN256" s="64"/>
      <c r="CO256" s="64"/>
      <c r="CP256" s="64"/>
      <c r="CQ256" s="64"/>
      <c r="CR256" s="64"/>
      <c r="CS256" s="64"/>
      <c r="CT256" s="64"/>
      <c r="CU256" s="64"/>
      <c r="CV256" s="64"/>
      <c r="CW256" s="64"/>
      <c r="CX256" s="64"/>
      <c r="CY256" s="64"/>
      <c r="CZ256" s="64"/>
      <c r="DA256" s="64"/>
      <c r="DB256" s="64"/>
      <c r="DC256" s="64"/>
      <c r="DD256" s="64"/>
      <c r="DE256" s="64"/>
      <c r="DF256" s="64"/>
      <c r="DG256" s="64"/>
      <c r="DH256" s="64"/>
      <c r="DI256" s="64"/>
      <c r="DJ256" s="64"/>
      <c r="DK256" s="64"/>
      <c r="DL256" s="64"/>
      <c r="DM256" s="64"/>
      <c r="DN256" s="64"/>
      <c r="DO256" s="64"/>
      <c r="DP256" s="64"/>
      <c r="DQ256" s="64"/>
      <c r="DR256" s="64"/>
      <c r="DS256" s="64"/>
      <c r="DT256" s="64"/>
      <c r="DU256" s="64"/>
      <c r="DV256" s="64"/>
      <c r="DW256" s="64"/>
      <c r="DX256" s="64"/>
      <c r="DY256" s="64"/>
      <c r="DZ256" s="64"/>
      <c r="EA256" s="64"/>
      <c r="EB256" s="64"/>
      <c r="EC256" s="64"/>
      <c r="ED256" s="64"/>
    </row>
    <row r="257" spans="1:134" ht="15.75" customHeight="1">
      <c r="A257" s="65" t="s">
        <v>206</v>
      </c>
      <c r="B257" s="65" t="s">
        <v>411</v>
      </c>
      <c r="C257" s="65" t="s">
        <v>770</v>
      </c>
      <c r="D257" s="65" t="str">
        <f t="shared" ref="D257:D511" si="1">IF(LEFT(C257,3)="DST","DEF",IF(LEFT(C257,1)="K","K",LEFT(C257,2)))</f>
        <v>TE</v>
      </c>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64"/>
      <c r="BX257" s="64"/>
      <c r="BY257" s="64"/>
      <c r="BZ257" s="64"/>
      <c r="CA257" s="64"/>
      <c r="CB257" s="64"/>
      <c r="CC257" s="64"/>
      <c r="CD257" s="64"/>
      <c r="CE257" s="64"/>
      <c r="CF257" s="64"/>
      <c r="CG257" s="64"/>
      <c r="CH257" s="64"/>
      <c r="CI257" s="64"/>
      <c r="CJ257" s="64"/>
      <c r="CK257" s="64"/>
      <c r="CL257" s="64"/>
      <c r="CM257" s="64"/>
      <c r="CN257" s="64"/>
      <c r="CO257" s="64"/>
      <c r="CP257" s="64"/>
      <c r="CQ257" s="64"/>
      <c r="CR257" s="64"/>
      <c r="CS257" s="64"/>
      <c r="CT257" s="64"/>
      <c r="CU257" s="64"/>
      <c r="CV257" s="64"/>
      <c r="CW257" s="64"/>
      <c r="CX257" s="64"/>
      <c r="CY257" s="64"/>
      <c r="CZ257" s="64"/>
      <c r="DA257" s="64"/>
      <c r="DB257" s="64"/>
      <c r="DC257" s="64"/>
      <c r="DD257" s="64"/>
      <c r="DE257" s="64"/>
      <c r="DF257" s="64"/>
      <c r="DG257" s="64"/>
      <c r="DH257" s="64"/>
      <c r="DI257" s="64"/>
      <c r="DJ257" s="64"/>
      <c r="DK257" s="64"/>
      <c r="DL257" s="64"/>
      <c r="DM257" s="64"/>
      <c r="DN257" s="64"/>
      <c r="DO257" s="64"/>
      <c r="DP257" s="64"/>
      <c r="DQ257" s="64"/>
      <c r="DR257" s="64"/>
      <c r="DS257" s="64"/>
      <c r="DT257" s="64"/>
      <c r="DU257" s="64"/>
      <c r="DV257" s="64"/>
      <c r="DW257" s="64"/>
      <c r="DX257" s="64"/>
      <c r="DY257" s="64"/>
      <c r="DZ257" s="64"/>
      <c r="EA257" s="64"/>
      <c r="EB257" s="64"/>
      <c r="EC257" s="64"/>
      <c r="ED257" s="64"/>
    </row>
    <row r="258" spans="1:134" ht="15.75" customHeight="1">
      <c r="A258" s="65" t="s">
        <v>156</v>
      </c>
      <c r="B258" s="65" t="s">
        <v>405</v>
      </c>
      <c r="C258" s="65" t="s">
        <v>771</v>
      </c>
      <c r="D258" s="65" t="str">
        <f t="shared" si="1"/>
        <v>WR</v>
      </c>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64"/>
      <c r="BX258" s="64"/>
      <c r="BY258" s="64"/>
      <c r="BZ258" s="64"/>
      <c r="CA258" s="64"/>
      <c r="CB258" s="64"/>
      <c r="CC258" s="64"/>
      <c r="CD258" s="64"/>
      <c r="CE258" s="64"/>
      <c r="CF258" s="64"/>
      <c r="CG258" s="64"/>
      <c r="CH258" s="64"/>
      <c r="CI258" s="64"/>
      <c r="CJ258" s="64"/>
      <c r="CK258" s="64"/>
      <c r="CL258" s="64"/>
      <c r="CM258" s="64"/>
      <c r="CN258" s="64"/>
      <c r="CO258" s="64"/>
      <c r="CP258" s="64"/>
      <c r="CQ258" s="64"/>
      <c r="CR258" s="64"/>
      <c r="CS258" s="64"/>
      <c r="CT258" s="64"/>
      <c r="CU258" s="64"/>
      <c r="CV258" s="64"/>
      <c r="CW258" s="64"/>
      <c r="CX258" s="64"/>
      <c r="CY258" s="64"/>
      <c r="CZ258" s="64"/>
      <c r="DA258" s="64"/>
      <c r="DB258" s="64"/>
      <c r="DC258" s="64"/>
      <c r="DD258" s="64"/>
      <c r="DE258" s="64"/>
      <c r="DF258" s="64"/>
      <c r="DG258" s="64"/>
      <c r="DH258" s="64"/>
      <c r="DI258" s="64"/>
      <c r="DJ258" s="64"/>
      <c r="DK258" s="64"/>
      <c r="DL258" s="64"/>
      <c r="DM258" s="64"/>
      <c r="DN258" s="64"/>
      <c r="DO258" s="64"/>
      <c r="DP258" s="64"/>
      <c r="DQ258" s="64"/>
      <c r="DR258" s="64"/>
      <c r="DS258" s="64"/>
      <c r="DT258" s="64"/>
      <c r="DU258" s="64"/>
      <c r="DV258" s="64"/>
      <c r="DW258" s="64"/>
      <c r="DX258" s="64"/>
      <c r="DY258" s="64"/>
      <c r="DZ258" s="64"/>
      <c r="EA258" s="64"/>
      <c r="EB258" s="64"/>
      <c r="EC258" s="64"/>
      <c r="ED258" s="64"/>
    </row>
    <row r="259" spans="1:134" ht="15.75" customHeight="1">
      <c r="A259" s="65" t="s">
        <v>772</v>
      </c>
      <c r="B259" s="65" t="s">
        <v>413</v>
      </c>
      <c r="C259" s="65" t="s">
        <v>773</v>
      </c>
      <c r="D259" s="65" t="str">
        <f t="shared" si="1"/>
        <v>RB</v>
      </c>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64"/>
      <c r="BX259" s="64"/>
      <c r="BY259" s="64"/>
      <c r="BZ259" s="64"/>
      <c r="CA259" s="64"/>
      <c r="CB259" s="64"/>
      <c r="CC259" s="64"/>
      <c r="CD259" s="64"/>
      <c r="CE259" s="64"/>
      <c r="CF259" s="64"/>
      <c r="CG259" s="64"/>
      <c r="CH259" s="64"/>
      <c r="CI259" s="64"/>
      <c r="CJ259" s="64"/>
      <c r="CK259" s="64"/>
      <c r="CL259" s="64"/>
      <c r="CM259" s="64"/>
      <c r="CN259" s="64"/>
      <c r="CO259" s="64"/>
      <c r="CP259" s="64"/>
      <c r="CQ259" s="64"/>
      <c r="CR259" s="64"/>
      <c r="CS259" s="64"/>
      <c r="CT259" s="64"/>
      <c r="CU259" s="64"/>
      <c r="CV259" s="64"/>
      <c r="CW259" s="64"/>
      <c r="CX259" s="64"/>
      <c r="CY259" s="64"/>
      <c r="CZ259" s="64"/>
      <c r="DA259" s="64"/>
      <c r="DB259" s="64"/>
      <c r="DC259" s="64"/>
      <c r="DD259" s="64"/>
      <c r="DE259" s="64"/>
      <c r="DF259" s="64"/>
      <c r="DG259" s="64"/>
      <c r="DH259" s="64"/>
      <c r="DI259" s="64"/>
      <c r="DJ259" s="64"/>
      <c r="DK259" s="64"/>
      <c r="DL259" s="64"/>
      <c r="DM259" s="64"/>
      <c r="DN259" s="64"/>
      <c r="DO259" s="64"/>
      <c r="DP259" s="64"/>
      <c r="DQ259" s="64"/>
      <c r="DR259" s="64"/>
      <c r="DS259" s="64"/>
      <c r="DT259" s="64"/>
      <c r="DU259" s="64"/>
      <c r="DV259" s="64"/>
      <c r="DW259" s="64"/>
      <c r="DX259" s="64"/>
      <c r="DY259" s="64"/>
      <c r="DZ259" s="64"/>
      <c r="EA259" s="64"/>
      <c r="EB259" s="64"/>
      <c r="EC259" s="64"/>
      <c r="ED259" s="64"/>
    </row>
    <row r="260" spans="1:134" ht="15.75" customHeight="1">
      <c r="A260" s="65" t="s">
        <v>145</v>
      </c>
      <c r="B260" s="65" t="s">
        <v>396</v>
      </c>
      <c r="C260" s="65" t="s">
        <v>774</v>
      </c>
      <c r="D260" s="65" t="str">
        <f t="shared" si="1"/>
        <v>QB</v>
      </c>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64"/>
      <c r="BX260" s="64"/>
      <c r="BY260" s="64"/>
      <c r="BZ260" s="64"/>
      <c r="CA260" s="64"/>
      <c r="CB260" s="64"/>
      <c r="CC260" s="64"/>
      <c r="CD260" s="64"/>
      <c r="CE260" s="64"/>
      <c r="CF260" s="64"/>
      <c r="CG260" s="64"/>
      <c r="CH260" s="64"/>
      <c r="CI260" s="64"/>
      <c r="CJ260" s="64"/>
      <c r="CK260" s="64"/>
      <c r="CL260" s="64"/>
      <c r="CM260" s="64"/>
      <c r="CN260" s="64"/>
      <c r="CO260" s="64"/>
      <c r="CP260" s="64"/>
      <c r="CQ260" s="64"/>
      <c r="CR260" s="64"/>
      <c r="CS260" s="64"/>
      <c r="CT260" s="64"/>
      <c r="CU260" s="64"/>
      <c r="CV260" s="64"/>
      <c r="CW260" s="64"/>
      <c r="CX260" s="64"/>
      <c r="CY260" s="64"/>
      <c r="CZ260" s="64"/>
      <c r="DA260" s="64"/>
      <c r="DB260" s="64"/>
      <c r="DC260" s="64"/>
      <c r="DD260" s="64"/>
      <c r="DE260" s="64"/>
      <c r="DF260" s="64"/>
      <c r="DG260" s="64"/>
      <c r="DH260" s="64"/>
      <c r="DI260" s="64"/>
      <c r="DJ260" s="64"/>
      <c r="DK260" s="64"/>
      <c r="DL260" s="64"/>
      <c r="DM260" s="64"/>
      <c r="DN260" s="64"/>
      <c r="DO260" s="64"/>
      <c r="DP260" s="64"/>
      <c r="DQ260" s="64"/>
      <c r="DR260" s="64"/>
      <c r="DS260" s="64"/>
      <c r="DT260" s="64"/>
      <c r="DU260" s="64"/>
      <c r="DV260" s="64"/>
      <c r="DW260" s="64"/>
      <c r="DX260" s="64"/>
      <c r="DY260" s="64"/>
      <c r="DZ260" s="64"/>
      <c r="EA260" s="64"/>
      <c r="EB260" s="64"/>
      <c r="EC260" s="64"/>
      <c r="ED260" s="64"/>
    </row>
    <row r="261" spans="1:134" ht="15.75" customHeight="1">
      <c r="A261" s="65" t="s">
        <v>116</v>
      </c>
      <c r="B261" s="65" t="s">
        <v>405</v>
      </c>
      <c r="C261" s="65" t="s">
        <v>775</v>
      </c>
      <c r="D261" s="65" t="str">
        <f t="shared" si="1"/>
        <v>RB</v>
      </c>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64"/>
      <c r="BX261" s="64"/>
      <c r="BY261" s="64"/>
      <c r="BZ261" s="64"/>
      <c r="CA261" s="64"/>
      <c r="CB261" s="64"/>
      <c r="CC261" s="64"/>
      <c r="CD261" s="64"/>
      <c r="CE261" s="64"/>
      <c r="CF261" s="64"/>
      <c r="CG261" s="64"/>
      <c r="CH261" s="64"/>
      <c r="CI261" s="64"/>
      <c r="CJ261" s="64"/>
      <c r="CK261" s="64"/>
      <c r="CL261" s="64"/>
      <c r="CM261" s="64"/>
      <c r="CN261" s="64"/>
      <c r="CO261" s="64"/>
      <c r="CP261" s="64"/>
      <c r="CQ261" s="64"/>
      <c r="CR261" s="64"/>
      <c r="CS261" s="64"/>
      <c r="CT261" s="64"/>
      <c r="CU261" s="64"/>
      <c r="CV261" s="64"/>
      <c r="CW261" s="64"/>
      <c r="CX261" s="64"/>
      <c r="CY261" s="64"/>
      <c r="CZ261" s="64"/>
      <c r="DA261" s="64"/>
      <c r="DB261" s="64"/>
      <c r="DC261" s="64"/>
      <c r="DD261" s="64"/>
      <c r="DE261" s="64"/>
      <c r="DF261" s="64"/>
      <c r="DG261" s="64"/>
      <c r="DH261" s="64"/>
      <c r="DI261" s="64"/>
      <c r="DJ261" s="64"/>
      <c r="DK261" s="64"/>
      <c r="DL261" s="64"/>
      <c r="DM261" s="64"/>
      <c r="DN261" s="64"/>
      <c r="DO261" s="64"/>
      <c r="DP261" s="64"/>
      <c r="DQ261" s="64"/>
      <c r="DR261" s="64"/>
      <c r="DS261" s="64"/>
      <c r="DT261" s="64"/>
      <c r="DU261" s="64"/>
      <c r="DV261" s="64"/>
      <c r="DW261" s="64"/>
      <c r="DX261" s="64"/>
      <c r="DY261" s="64"/>
      <c r="DZ261" s="64"/>
      <c r="EA261" s="64"/>
      <c r="EB261" s="64"/>
      <c r="EC261" s="64"/>
      <c r="ED261" s="64"/>
    </row>
    <row r="262" spans="1:134" ht="15.75" customHeight="1">
      <c r="A262" s="65" t="s">
        <v>776</v>
      </c>
      <c r="B262" s="65" t="s">
        <v>413</v>
      </c>
      <c r="C262" s="65" t="s">
        <v>777</v>
      </c>
      <c r="D262" s="65" t="str">
        <f t="shared" si="1"/>
        <v>WR</v>
      </c>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64"/>
      <c r="BX262" s="64"/>
      <c r="BY262" s="64"/>
      <c r="BZ262" s="64"/>
      <c r="CA262" s="64"/>
      <c r="CB262" s="64"/>
      <c r="CC262" s="64"/>
      <c r="CD262" s="64"/>
      <c r="CE262" s="64"/>
      <c r="CF262" s="64"/>
      <c r="CG262" s="64"/>
      <c r="CH262" s="64"/>
      <c r="CI262" s="64"/>
      <c r="CJ262" s="64"/>
      <c r="CK262" s="64"/>
      <c r="CL262" s="64"/>
      <c r="CM262" s="64"/>
      <c r="CN262" s="64"/>
      <c r="CO262" s="64"/>
      <c r="CP262" s="64"/>
      <c r="CQ262" s="64"/>
      <c r="CR262" s="64"/>
      <c r="CS262" s="64"/>
      <c r="CT262" s="64"/>
      <c r="CU262" s="64"/>
      <c r="CV262" s="64"/>
      <c r="CW262" s="64"/>
      <c r="CX262" s="64"/>
      <c r="CY262" s="64"/>
      <c r="CZ262" s="64"/>
      <c r="DA262" s="64"/>
      <c r="DB262" s="64"/>
      <c r="DC262" s="64"/>
      <c r="DD262" s="64"/>
      <c r="DE262" s="64"/>
      <c r="DF262" s="64"/>
      <c r="DG262" s="64"/>
      <c r="DH262" s="64"/>
      <c r="DI262" s="64"/>
      <c r="DJ262" s="64"/>
      <c r="DK262" s="64"/>
      <c r="DL262" s="64"/>
      <c r="DM262" s="64"/>
      <c r="DN262" s="64"/>
      <c r="DO262" s="64"/>
      <c r="DP262" s="64"/>
      <c r="DQ262" s="64"/>
      <c r="DR262" s="64"/>
      <c r="DS262" s="64"/>
      <c r="DT262" s="64"/>
      <c r="DU262" s="64"/>
      <c r="DV262" s="64"/>
      <c r="DW262" s="64"/>
      <c r="DX262" s="64"/>
      <c r="DY262" s="64"/>
      <c r="DZ262" s="64"/>
      <c r="EA262" s="64"/>
      <c r="EB262" s="64"/>
      <c r="EC262" s="64"/>
      <c r="ED262" s="64"/>
    </row>
    <row r="263" spans="1:134" ht="15.75" customHeight="1">
      <c r="A263" s="65" t="s">
        <v>778</v>
      </c>
      <c r="B263" s="65" t="s">
        <v>402</v>
      </c>
      <c r="C263" s="65" t="s">
        <v>779</v>
      </c>
      <c r="D263" s="65" t="str">
        <f t="shared" si="1"/>
        <v>WR</v>
      </c>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64"/>
      <c r="BX263" s="64"/>
      <c r="BY263" s="64"/>
      <c r="BZ263" s="64"/>
      <c r="CA263" s="64"/>
      <c r="CB263" s="64"/>
      <c r="CC263" s="64"/>
      <c r="CD263" s="64"/>
      <c r="CE263" s="64"/>
      <c r="CF263" s="64"/>
      <c r="CG263" s="64"/>
      <c r="CH263" s="64"/>
      <c r="CI263" s="64"/>
      <c r="CJ263" s="64"/>
      <c r="CK263" s="64"/>
      <c r="CL263" s="64"/>
      <c r="CM263" s="64"/>
      <c r="CN263" s="64"/>
      <c r="CO263" s="64"/>
      <c r="CP263" s="64"/>
      <c r="CQ263" s="64"/>
      <c r="CR263" s="64"/>
      <c r="CS263" s="64"/>
      <c r="CT263" s="64"/>
      <c r="CU263" s="64"/>
      <c r="CV263" s="64"/>
      <c r="CW263" s="64"/>
      <c r="CX263" s="64"/>
      <c r="CY263" s="64"/>
      <c r="CZ263" s="64"/>
      <c r="DA263" s="64"/>
      <c r="DB263" s="64"/>
      <c r="DC263" s="64"/>
      <c r="DD263" s="64"/>
      <c r="DE263" s="64"/>
      <c r="DF263" s="64"/>
      <c r="DG263" s="64"/>
      <c r="DH263" s="64"/>
      <c r="DI263" s="64"/>
      <c r="DJ263" s="64"/>
      <c r="DK263" s="64"/>
      <c r="DL263" s="64"/>
      <c r="DM263" s="64"/>
      <c r="DN263" s="64"/>
      <c r="DO263" s="64"/>
      <c r="DP263" s="64"/>
      <c r="DQ263" s="64"/>
      <c r="DR263" s="64"/>
      <c r="DS263" s="64"/>
      <c r="DT263" s="64"/>
      <c r="DU263" s="64"/>
      <c r="DV263" s="64"/>
      <c r="DW263" s="64"/>
      <c r="DX263" s="64"/>
      <c r="DY263" s="64"/>
      <c r="DZ263" s="64"/>
      <c r="EA263" s="64"/>
      <c r="EB263" s="64"/>
      <c r="EC263" s="64"/>
      <c r="ED263" s="64"/>
    </row>
    <row r="264" spans="1:134" ht="15.75" customHeight="1">
      <c r="A264" s="65" t="s">
        <v>48</v>
      </c>
      <c r="B264" s="65" t="s">
        <v>388</v>
      </c>
      <c r="C264" s="65" t="s">
        <v>780</v>
      </c>
      <c r="D264" s="65" t="str">
        <f t="shared" si="1"/>
        <v>QB</v>
      </c>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64"/>
      <c r="BX264" s="64"/>
      <c r="BY264" s="64"/>
      <c r="BZ264" s="64"/>
      <c r="CA264" s="64"/>
      <c r="CB264" s="64"/>
      <c r="CC264" s="64"/>
      <c r="CD264" s="64"/>
      <c r="CE264" s="64"/>
      <c r="CF264" s="64"/>
      <c r="CG264" s="64"/>
      <c r="CH264" s="64"/>
      <c r="CI264" s="64"/>
      <c r="CJ264" s="64"/>
      <c r="CK264" s="64"/>
      <c r="CL264" s="64"/>
      <c r="CM264" s="64"/>
      <c r="CN264" s="64"/>
      <c r="CO264" s="64"/>
      <c r="CP264" s="64"/>
      <c r="CQ264" s="64"/>
      <c r="CR264" s="64"/>
      <c r="CS264" s="64"/>
      <c r="CT264" s="64"/>
      <c r="CU264" s="64"/>
      <c r="CV264" s="64"/>
      <c r="CW264" s="64"/>
      <c r="CX264" s="64"/>
      <c r="CY264" s="64"/>
      <c r="CZ264" s="64"/>
      <c r="DA264" s="64"/>
      <c r="DB264" s="64"/>
      <c r="DC264" s="64"/>
      <c r="DD264" s="64"/>
      <c r="DE264" s="64"/>
      <c r="DF264" s="64"/>
      <c r="DG264" s="64"/>
      <c r="DH264" s="64"/>
      <c r="DI264" s="64"/>
      <c r="DJ264" s="64"/>
      <c r="DK264" s="64"/>
      <c r="DL264" s="64"/>
      <c r="DM264" s="64"/>
      <c r="DN264" s="64"/>
      <c r="DO264" s="64"/>
      <c r="DP264" s="64"/>
      <c r="DQ264" s="64"/>
      <c r="DR264" s="64"/>
      <c r="DS264" s="64"/>
      <c r="DT264" s="64"/>
      <c r="DU264" s="64"/>
      <c r="DV264" s="64"/>
      <c r="DW264" s="64"/>
      <c r="DX264" s="64"/>
      <c r="DY264" s="64"/>
      <c r="DZ264" s="64"/>
      <c r="EA264" s="64"/>
      <c r="EB264" s="64"/>
      <c r="EC264" s="64"/>
      <c r="ED264" s="64"/>
    </row>
    <row r="265" spans="1:134" ht="15.75" customHeight="1">
      <c r="A265" s="65" t="s">
        <v>150</v>
      </c>
      <c r="B265" s="65" t="s">
        <v>398</v>
      </c>
      <c r="C265" s="65" t="s">
        <v>781</v>
      </c>
      <c r="D265" s="65" t="str">
        <f t="shared" si="1"/>
        <v>WR</v>
      </c>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64"/>
      <c r="BX265" s="64"/>
      <c r="BY265" s="64"/>
      <c r="BZ265" s="64"/>
      <c r="CA265" s="64"/>
      <c r="CB265" s="64"/>
      <c r="CC265" s="64"/>
      <c r="CD265" s="64"/>
      <c r="CE265" s="64"/>
      <c r="CF265" s="64"/>
      <c r="CG265" s="64"/>
      <c r="CH265" s="64"/>
      <c r="CI265" s="64"/>
      <c r="CJ265" s="64"/>
      <c r="CK265" s="64"/>
      <c r="CL265" s="64"/>
      <c r="CM265" s="64"/>
      <c r="CN265" s="64"/>
      <c r="CO265" s="64"/>
      <c r="CP265" s="64"/>
      <c r="CQ265" s="64"/>
      <c r="CR265" s="64"/>
      <c r="CS265" s="64"/>
      <c r="CT265" s="64"/>
      <c r="CU265" s="64"/>
      <c r="CV265" s="64"/>
      <c r="CW265" s="64"/>
      <c r="CX265" s="64"/>
      <c r="CY265" s="64"/>
      <c r="CZ265" s="64"/>
      <c r="DA265" s="64"/>
      <c r="DB265" s="64"/>
      <c r="DC265" s="64"/>
      <c r="DD265" s="64"/>
      <c r="DE265" s="64"/>
      <c r="DF265" s="64"/>
      <c r="DG265" s="64"/>
      <c r="DH265" s="64"/>
      <c r="DI265" s="64"/>
      <c r="DJ265" s="64"/>
      <c r="DK265" s="64"/>
      <c r="DL265" s="64"/>
      <c r="DM265" s="64"/>
      <c r="DN265" s="64"/>
      <c r="DO265" s="64"/>
      <c r="DP265" s="64"/>
      <c r="DQ265" s="64"/>
      <c r="DR265" s="64"/>
      <c r="DS265" s="64"/>
      <c r="DT265" s="64"/>
      <c r="DU265" s="64"/>
      <c r="DV265" s="64"/>
      <c r="DW265" s="64"/>
      <c r="DX265" s="64"/>
      <c r="DY265" s="64"/>
      <c r="DZ265" s="64"/>
      <c r="EA265" s="64"/>
      <c r="EB265" s="64"/>
      <c r="EC265" s="64"/>
      <c r="ED265" s="64"/>
    </row>
    <row r="266" spans="1:134" ht="15.75" customHeight="1">
      <c r="A266" s="65" t="s">
        <v>39</v>
      </c>
      <c r="B266" s="65" t="s">
        <v>396</v>
      </c>
      <c r="C266" s="65" t="s">
        <v>782</v>
      </c>
      <c r="D266" s="65" t="str">
        <f t="shared" si="1"/>
        <v>RB</v>
      </c>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64"/>
      <c r="BX266" s="64"/>
      <c r="BY266" s="64"/>
      <c r="BZ266" s="64"/>
      <c r="CA266" s="64"/>
      <c r="CB266" s="64"/>
      <c r="CC266" s="64"/>
      <c r="CD266" s="64"/>
      <c r="CE266" s="64"/>
      <c r="CF266" s="64"/>
      <c r="CG266" s="64"/>
      <c r="CH266" s="64"/>
      <c r="CI266" s="64"/>
      <c r="CJ266" s="64"/>
      <c r="CK266" s="64"/>
      <c r="CL266" s="64"/>
      <c r="CM266" s="64"/>
      <c r="CN266" s="64"/>
      <c r="CO266" s="64"/>
      <c r="CP266" s="64"/>
      <c r="CQ266" s="64"/>
      <c r="CR266" s="64"/>
      <c r="CS266" s="64"/>
      <c r="CT266" s="64"/>
      <c r="CU266" s="64"/>
      <c r="CV266" s="64"/>
      <c r="CW266" s="64"/>
      <c r="CX266" s="64"/>
      <c r="CY266" s="64"/>
      <c r="CZ266" s="64"/>
      <c r="DA266" s="64"/>
      <c r="DB266" s="64"/>
      <c r="DC266" s="64"/>
      <c r="DD266" s="64"/>
      <c r="DE266" s="64"/>
      <c r="DF266" s="64"/>
      <c r="DG266" s="64"/>
      <c r="DH266" s="64"/>
      <c r="DI266" s="64"/>
      <c r="DJ266" s="64"/>
      <c r="DK266" s="64"/>
      <c r="DL266" s="64"/>
      <c r="DM266" s="64"/>
      <c r="DN266" s="64"/>
      <c r="DO266" s="64"/>
      <c r="DP266" s="64"/>
      <c r="DQ266" s="64"/>
      <c r="DR266" s="64"/>
      <c r="DS266" s="64"/>
      <c r="DT266" s="64"/>
      <c r="DU266" s="64"/>
      <c r="DV266" s="64"/>
      <c r="DW266" s="64"/>
      <c r="DX266" s="64"/>
      <c r="DY266" s="64"/>
      <c r="DZ266" s="64"/>
      <c r="EA266" s="64"/>
      <c r="EB266" s="64"/>
      <c r="EC266" s="64"/>
      <c r="ED266" s="64"/>
    </row>
    <row r="267" spans="1:134" ht="15.75" customHeight="1">
      <c r="A267" s="65" t="s">
        <v>783</v>
      </c>
      <c r="B267" s="65" t="s">
        <v>405</v>
      </c>
      <c r="C267" s="65" t="s">
        <v>784</v>
      </c>
      <c r="D267" s="65" t="str">
        <f t="shared" si="1"/>
        <v>TE</v>
      </c>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64"/>
      <c r="BX267" s="64"/>
      <c r="BY267" s="64"/>
      <c r="BZ267" s="64"/>
      <c r="CA267" s="64"/>
      <c r="CB267" s="64"/>
      <c r="CC267" s="64"/>
      <c r="CD267" s="64"/>
      <c r="CE267" s="64"/>
      <c r="CF267" s="64"/>
      <c r="CG267" s="64"/>
      <c r="CH267" s="64"/>
      <c r="CI267" s="64"/>
      <c r="CJ267" s="64"/>
      <c r="CK267" s="64"/>
      <c r="CL267" s="64"/>
      <c r="CM267" s="64"/>
      <c r="CN267" s="64"/>
      <c r="CO267" s="64"/>
      <c r="CP267" s="64"/>
      <c r="CQ267" s="64"/>
      <c r="CR267" s="64"/>
      <c r="CS267" s="64"/>
      <c r="CT267" s="64"/>
      <c r="CU267" s="64"/>
      <c r="CV267" s="64"/>
      <c r="CW267" s="64"/>
      <c r="CX267" s="64"/>
      <c r="CY267" s="64"/>
      <c r="CZ267" s="64"/>
      <c r="DA267" s="64"/>
      <c r="DB267" s="64"/>
      <c r="DC267" s="64"/>
      <c r="DD267" s="64"/>
      <c r="DE267" s="64"/>
      <c r="DF267" s="64"/>
      <c r="DG267" s="64"/>
      <c r="DH267" s="64"/>
      <c r="DI267" s="64"/>
      <c r="DJ267" s="64"/>
      <c r="DK267" s="64"/>
      <c r="DL267" s="64"/>
      <c r="DM267" s="64"/>
      <c r="DN267" s="64"/>
      <c r="DO267" s="64"/>
      <c r="DP267" s="64"/>
      <c r="DQ267" s="64"/>
      <c r="DR267" s="64"/>
      <c r="DS267" s="64"/>
      <c r="DT267" s="64"/>
      <c r="DU267" s="64"/>
      <c r="DV267" s="64"/>
      <c r="DW267" s="64"/>
      <c r="DX267" s="64"/>
      <c r="DY267" s="64"/>
      <c r="DZ267" s="64"/>
      <c r="EA267" s="64"/>
      <c r="EB267" s="64"/>
      <c r="EC267" s="64"/>
      <c r="ED267" s="64"/>
    </row>
    <row r="268" spans="1:134" ht="15.75" customHeight="1">
      <c r="A268" s="65" t="s">
        <v>785</v>
      </c>
      <c r="B268" s="65" t="s">
        <v>409</v>
      </c>
      <c r="C268" s="65" t="s">
        <v>786</v>
      </c>
      <c r="D268" s="65" t="str">
        <f t="shared" si="1"/>
        <v>WR</v>
      </c>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64"/>
      <c r="BX268" s="64"/>
      <c r="BY268" s="64"/>
      <c r="BZ268" s="64"/>
      <c r="CA268" s="64"/>
      <c r="CB268" s="64"/>
      <c r="CC268" s="64"/>
      <c r="CD268" s="64"/>
      <c r="CE268" s="64"/>
      <c r="CF268" s="64"/>
      <c r="CG268" s="64"/>
      <c r="CH268" s="64"/>
      <c r="CI268" s="64"/>
      <c r="CJ268" s="64"/>
      <c r="CK268" s="64"/>
      <c r="CL268" s="64"/>
      <c r="CM268" s="64"/>
      <c r="CN268" s="64"/>
      <c r="CO268" s="64"/>
      <c r="CP268" s="64"/>
      <c r="CQ268" s="64"/>
      <c r="CR268" s="64"/>
      <c r="CS268" s="64"/>
      <c r="CT268" s="64"/>
      <c r="CU268" s="64"/>
      <c r="CV268" s="64"/>
      <c r="CW268" s="64"/>
      <c r="CX268" s="64"/>
      <c r="CY268" s="64"/>
      <c r="CZ268" s="64"/>
      <c r="DA268" s="64"/>
      <c r="DB268" s="64"/>
      <c r="DC268" s="64"/>
      <c r="DD268" s="64"/>
      <c r="DE268" s="64"/>
      <c r="DF268" s="64"/>
      <c r="DG268" s="64"/>
      <c r="DH268" s="64"/>
      <c r="DI268" s="64"/>
      <c r="DJ268" s="64"/>
      <c r="DK268" s="64"/>
      <c r="DL268" s="64"/>
      <c r="DM268" s="64"/>
      <c r="DN268" s="64"/>
      <c r="DO268" s="64"/>
      <c r="DP268" s="64"/>
      <c r="DQ268" s="64"/>
      <c r="DR268" s="64"/>
      <c r="DS268" s="64"/>
      <c r="DT268" s="64"/>
      <c r="DU268" s="64"/>
      <c r="DV268" s="64"/>
      <c r="DW268" s="64"/>
      <c r="DX268" s="64"/>
      <c r="DY268" s="64"/>
      <c r="DZ268" s="64"/>
      <c r="EA268" s="64"/>
      <c r="EB268" s="64"/>
      <c r="EC268" s="64"/>
      <c r="ED268" s="64"/>
    </row>
    <row r="269" spans="1:134" ht="15.75" customHeight="1">
      <c r="A269" s="65" t="s">
        <v>787</v>
      </c>
      <c r="B269" s="65" t="s">
        <v>415</v>
      </c>
      <c r="C269" s="65" t="s">
        <v>788</v>
      </c>
      <c r="D269" s="65" t="str">
        <f t="shared" si="1"/>
        <v>TE</v>
      </c>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64"/>
      <c r="BX269" s="64"/>
      <c r="BY269" s="64"/>
      <c r="BZ269" s="64"/>
      <c r="CA269" s="64"/>
      <c r="CB269" s="64"/>
      <c r="CC269" s="64"/>
      <c r="CD269" s="64"/>
      <c r="CE269" s="64"/>
      <c r="CF269" s="64"/>
      <c r="CG269" s="64"/>
      <c r="CH269" s="64"/>
      <c r="CI269" s="64"/>
      <c r="CJ269" s="64"/>
      <c r="CK269" s="64"/>
      <c r="CL269" s="64"/>
      <c r="CM269" s="64"/>
      <c r="CN269" s="64"/>
      <c r="CO269" s="64"/>
      <c r="CP269" s="64"/>
      <c r="CQ269" s="64"/>
      <c r="CR269" s="64"/>
      <c r="CS269" s="64"/>
      <c r="CT269" s="64"/>
      <c r="CU269" s="64"/>
      <c r="CV269" s="64"/>
      <c r="CW269" s="64"/>
      <c r="CX269" s="64"/>
      <c r="CY269" s="64"/>
      <c r="CZ269" s="64"/>
      <c r="DA269" s="64"/>
      <c r="DB269" s="64"/>
      <c r="DC269" s="64"/>
      <c r="DD269" s="64"/>
      <c r="DE269" s="64"/>
      <c r="DF269" s="64"/>
      <c r="DG269" s="64"/>
      <c r="DH269" s="64"/>
      <c r="DI269" s="64"/>
      <c r="DJ269" s="64"/>
      <c r="DK269" s="64"/>
      <c r="DL269" s="64"/>
      <c r="DM269" s="64"/>
      <c r="DN269" s="64"/>
      <c r="DO269" s="64"/>
      <c r="DP269" s="64"/>
      <c r="DQ269" s="64"/>
      <c r="DR269" s="64"/>
      <c r="DS269" s="64"/>
      <c r="DT269" s="64"/>
      <c r="DU269" s="64"/>
      <c r="DV269" s="64"/>
      <c r="DW269" s="64"/>
      <c r="DX269" s="64"/>
      <c r="DY269" s="64"/>
      <c r="DZ269" s="64"/>
      <c r="EA269" s="64"/>
      <c r="EB269" s="64"/>
      <c r="EC269" s="64"/>
      <c r="ED269" s="64"/>
    </row>
    <row r="270" spans="1:134" ht="15.75" customHeight="1">
      <c r="A270" s="65" t="s">
        <v>320</v>
      </c>
      <c r="B270" s="65" t="s">
        <v>402</v>
      </c>
      <c r="C270" s="65" t="s">
        <v>789</v>
      </c>
      <c r="D270" s="65" t="str">
        <f t="shared" si="1"/>
        <v>K</v>
      </c>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64"/>
      <c r="BX270" s="64"/>
      <c r="BY270" s="64"/>
      <c r="BZ270" s="64"/>
      <c r="CA270" s="64"/>
      <c r="CB270" s="64"/>
      <c r="CC270" s="64"/>
      <c r="CD270" s="64"/>
      <c r="CE270" s="64"/>
      <c r="CF270" s="64"/>
      <c r="CG270" s="64"/>
      <c r="CH270" s="64"/>
      <c r="CI270" s="64"/>
      <c r="CJ270" s="64"/>
      <c r="CK270" s="64"/>
      <c r="CL270" s="64"/>
      <c r="CM270" s="64"/>
      <c r="CN270" s="64"/>
      <c r="CO270" s="64"/>
      <c r="CP270" s="64"/>
      <c r="CQ270" s="64"/>
      <c r="CR270" s="64"/>
      <c r="CS270" s="64"/>
      <c r="CT270" s="64"/>
      <c r="CU270" s="64"/>
      <c r="CV270" s="64"/>
      <c r="CW270" s="64"/>
      <c r="CX270" s="64"/>
      <c r="CY270" s="64"/>
      <c r="CZ270" s="64"/>
      <c r="DA270" s="64"/>
      <c r="DB270" s="64"/>
      <c r="DC270" s="64"/>
      <c r="DD270" s="64"/>
      <c r="DE270" s="64"/>
      <c r="DF270" s="64"/>
      <c r="DG270" s="64"/>
      <c r="DH270" s="64"/>
      <c r="DI270" s="64"/>
      <c r="DJ270" s="64"/>
      <c r="DK270" s="64"/>
      <c r="DL270" s="64"/>
      <c r="DM270" s="64"/>
      <c r="DN270" s="64"/>
      <c r="DO270" s="64"/>
      <c r="DP270" s="64"/>
      <c r="DQ270" s="64"/>
      <c r="DR270" s="64"/>
      <c r="DS270" s="64"/>
      <c r="DT270" s="64"/>
      <c r="DU270" s="64"/>
      <c r="DV270" s="64"/>
      <c r="DW270" s="64"/>
      <c r="DX270" s="64"/>
      <c r="DY270" s="64"/>
      <c r="DZ270" s="64"/>
      <c r="EA270" s="64"/>
      <c r="EB270" s="64"/>
      <c r="EC270" s="64"/>
      <c r="ED270" s="64"/>
    </row>
    <row r="271" spans="1:134" ht="15.75" customHeight="1">
      <c r="A271" s="65" t="s">
        <v>197</v>
      </c>
      <c r="B271" s="65" t="s">
        <v>388</v>
      </c>
      <c r="C271" s="65" t="s">
        <v>790</v>
      </c>
      <c r="D271" s="65" t="str">
        <f t="shared" si="1"/>
        <v>WR</v>
      </c>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64"/>
      <c r="BX271" s="64"/>
      <c r="BY271" s="64"/>
      <c r="BZ271" s="64"/>
      <c r="CA271" s="64"/>
      <c r="CB271" s="64"/>
      <c r="CC271" s="64"/>
      <c r="CD271" s="64"/>
      <c r="CE271" s="64"/>
      <c r="CF271" s="64"/>
      <c r="CG271" s="64"/>
      <c r="CH271" s="64"/>
      <c r="CI271" s="64"/>
      <c r="CJ271" s="64"/>
      <c r="CK271" s="64"/>
      <c r="CL271" s="64"/>
      <c r="CM271" s="64"/>
      <c r="CN271" s="64"/>
      <c r="CO271" s="64"/>
      <c r="CP271" s="64"/>
      <c r="CQ271" s="64"/>
      <c r="CR271" s="64"/>
      <c r="CS271" s="64"/>
      <c r="CT271" s="64"/>
      <c r="CU271" s="64"/>
      <c r="CV271" s="64"/>
      <c r="CW271" s="64"/>
      <c r="CX271" s="64"/>
      <c r="CY271" s="64"/>
      <c r="CZ271" s="64"/>
      <c r="DA271" s="64"/>
      <c r="DB271" s="64"/>
      <c r="DC271" s="64"/>
      <c r="DD271" s="64"/>
      <c r="DE271" s="64"/>
      <c r="DF271" s="64"/>
      <c r="DG271" s="64"/>
      <c r="DH271" s="64"/>
      <c r="DI271" s="64"/>
      <c r="DJ271" s="64"/>
      <c r="DK271" s="64"/>
      <c r="DL271" s="64"/>
      <c r="DM271" s="64"/>
      <c r="DN271" s="64"/>
      <c r="DO271" s="64"/>
      <c r="DP271" s="64"/>
      <c r="DQ271" s="64"/>
      <c r="DR271" s="64"/>
      <c r="DS271" s="64"/>
      <c r="DT271" s="64"/>
      <c r="DU271" s="64"/>
      <c r="DV271" s="64"/>
      <c r="DW271" s="64"/>
      <c r="DX271" s="64"/>
      <c r="DY271" s="64"/>
      <c r="DZ271" s="64"/>
      <c r="EA271" s="64"/>
      <c r="EB271" s="64"/>
      <c r="EC271" s="64"/>
      <c r="ED271" s="64"/>
    </row>
    <row r="272" spans="1:134" ht="15.75" customHeight="1">
      <c r="A272" s="65" t="s">
        <v>791</v>
      </c>
      <c r="B272" s="65" t="s">
        <v>400</v>
      </c>
      <c r="C272" s="65" t="s">
        <v>792</v>
      </c>
      <c r="D272" s="65" t="str">
        <f t="shared" si="1"/>
        <v>WR</v>
      </c>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64"/>
      <c r="BX272" s="64"/>
      <c r="BY272" s="64"/>
      <c r="BZ272" s="64"/>
      <c r="CA272" s="64"/>
      <c r="CB272" s="64"/>
      <c r="CC272" s="64"/>
      <c r="CD272" s="64"/>
      <c r="CE272" s="64"/>
      <c r="CF272" s="64"/>
      <c r="CG272" s="64"/>
      <c r="CH272" s="64"/>
      <c r="CI272" s="64"/>
      <c r="CJ272" s="64"/>
      <c r="CK272" s="64"/>
      <c r="CL272" s="64"/>
      <c r="CM272" s="64"/>
      <c r="CN272" s="64"/>
      <c r="CO272" s="64"/>
      <c r="CP272" s="64"/>
      <c r="CQ272" s="64"/>
      <c r="CR272" s="64"/>
      <c r="CS272" s="64"/>
      <c r="CT272" s="64"/>
      <c r="CU272" s="64"/>
      <c r="CV272" s="64"/>
      <c r="CW272" s="64"/>
      <c r="CX272" s="64"/>
      <c r="CY272" s="64"/>
      <c r="CZ272" s="64"/>
      <c r="DA272" s="64"/>
      <c r="DB272" s="64"/>
      <c r="DC272" s="64"/>
      <c r="DD272" s="64"/>
      <c r="DE272" s="64"/>
      <c r="DF272" s="64"/>
      <c r="DG272" s="64"/>
      <c r="DH272" s="64"/>
      <c r="DI272" s="64"/>
      <c r="DJ272" s="64"/>
      <c r="DK272" s="64"/>
      <c r="DL272" s="64"/>
      <c r="DM272" s="64"/>
      <c r="DN272" s="64"/>
      <c r="DO272" s="64"/>
      <c r="DP272" s="64"/>
      <c r="DQ272" s="64"/>
      <c r="DR272" s="64"/>
      <c r="DS272" s="64"/>
      <c r="DT272" s="64"/>
      <c r="DU272" s="64"/>
      <c r="DV272" s="64"/>
      <c r="DW272" s="64"/>
      <c r="DX272" s="64"/>
      <c r="DY272" s="64"/>
      <c r="DZ272" s="64"/>
      <c r="EA272" s="64"/>
      <c r="EB272" s="64"/>
      <c r="EC272" s="64"/>
      <c r="ED272" s="64"/>
    </row>
    <row r="273" spans="1:134" ht="15.75" customHeight="1">
      <c r="A273" s="65" t="s">
        <v>793</v>
      </c>
      <c r="B273" s="65" t="s">
        <v>404</v>
      </c>
      <c r="C273" s="65" t="s">
        <v>794</v>
      </c>
      <c r="D273" s="65" t="str">
        <f t="shared" si="1"/>
        <v>TE</v>
      </c>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64"/>
      <c r="BX273" s="64"/>
      <c r="BY273" s="64"/>
      <c r="BZ273" s="64"/>
      <c r="CA273" s="64"/>
      <c r="CB273" s="64"/>
      <c r="CC273" s="64"/>
      <c r="CD273" s="64"/>
      <c r="CE273" s="64"/>
      <c r="CF273" s="64"/>
      <c r="CG273" s="64"/>
      <c r="CH273" s="64"/>
      <c r="CI273" s="64"/>
      <c r="CJ273" s="64"/>
      <c r="CK273" s="64"/>
      <c r="CL273" s="64"/>
      <c r="CM273" s="64"/>
      <c r="CN273" s="64"/>
      <c r="CO273" s="64"/>
      <c r="CP273" s="64"/>
      <c r="CQ273" s="64"/>
      <c r="CR273" s="64"/>
      <c r="CS273" s="64"/>
      <c r="CT273" s="64"/>
      <c r="CU273" s="64"/>
      <c r="CV273" s="64"/>
      <c r="CW273" s="64"/>
      <c r="CX273" s="64"/>
      <c r="CY273" s="64"/>
      <c r="CZ273" s="64"/>
      <c r="DA273" s="64"/>
      <c r="DB273" s="64"/>
      <c r="DC273" s="64"/>
      <c r="DD273" s="64"/>
      <c r="DE273" s="64"/>
      <c r="DF273" s="64"/>
      <c r="DG273" s="64"/>
      <c r="DH273" s="64"/>
      <c r="DI273" s="64"/>
      <c r="DJ273" s="64"/>
      <c r="DK273" s="64"/>
      <c r="DL273" s="64"/>
      <c r="DM273" s="64"/>
      <c r="DN273" s="64"/>
      <c r="DO273" s="64"/>
      <c r="DP273" s="64"/>
      <c r="DQ273" s="64"/>
      <c r="DR273" s="64"/>
      <c r="DS273" s="64"/>
      <c r="DT273" s="64"/>
      <c r="DU273" s="64"/>
      <c r="DV273" s="64"/>
      <c r="DW273" s="64"/>
      <c r="DX273" s="64"/>
      <c r="DY273" s="64"/>
      <c r="DZ273" s="64"/>
      <c r="EA273" s="64"/>
      <c r="EB273" s="64"/>
      <c r="EC273" s="64"/>
      <c r="ED273" s="64"/>
    </row>
    <row r="274" spans="1:134" ht="15.75" customHeight="1">
      <c r="A274" s="65" t="s">
        <v>795</v>
      </c>
      <c r="B274" s="65" t="s">
        <v>415</v>
      </c>
      <c r="C274" s="65" t="s">
        <v>796</v>
      </c>
      <c r="D274" s="65" t="str">
        <f t="shared" si="1"/>
        <v>RB</v>
      </c>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64"/>
      <c r="BX274" s="64"/>
      <c r="BY274" s="64"/>
      <c r="BZ274" s="64"/>
      <c r="CA274" s="64"/>
      <c r="CB274" s="64"/>
      <c r="CC274" s="64"/>
      <c r="CD274" s="64"/>
      <c r="CE274" s="64"/>
      <c r="CF274" s="64"/>
      <c r="CG274" s="64"/>
      <c r="CH274" s="64"/>
      <c r="CI274" s="64"/>
      <c r="CJ274" s="64"/>
      <c r="CK274" s="64"/>
      <c r="CL274" s="64"/>
      <c r="CM274" s="64"/>
      <c r="CN274" s="64"/>
      <c r="CO274" s="64"/>
      <c r="CP274" s="64"/>
      <c r="CQ274" s="64"/>
      <c r="CR274" s="64"/>
      <c r="CS274" s="64"/>
      <c r="CT274" s="64"/>
      <c r="CU274" s="64"/>
      <c r="CV274" s="64"/>
      <c r="CW274" s="64"/>
      <c r="CX274" s="64"/>
      <c r="CY274" s="64"/>
      <c r="CZ274" s="64"/>
      <c r="DA274" s="64"/>
      <c r="DB274" s="64"/>
      <c r="DC274" s="64"/>
      <c r="DD274" s="64"/>
      <c r="DE274" s="64"/>
      <c r="DF274" s="64"/>
      <c r="DG274" s="64"/>
      <c r="DH274" s="64"/>
      <c r="DI274" s="64"/>
      <c r="DJ274" s="64"/>
      <c r="DK274" s="64"/>
      <c r="DL274" s="64"/>
      <c r="DM274" s="64"/>
      <c r="DN274" s="64"/>
      <c r="DO274" s="64"/>
      <c r="DP274" s="64"/>
      <c r="DQ274" s="64"/>
      <c r="DR274" s="64"/>
      <c r="DS274" s="64"/>
      <c r="DT274" s="64"/>
      <c r="DU274" s="64"/>
      <c r="DV274" s="64"/>
      <c r="DW274" s="64"/>
      <c r="DX274" s="64"/>
      <c r="DY274" s="64"/>
      <c r="DZ274" s="64"/>
      <c r="EA274" s="64"/>
      <c r="EB274" s="64"/>
      <c r="EC274" s="64"/>
      <c r="ED274" s="64"/>
    </row>
    <row r="275" spans="1:134" ht="15.75" customHeight="1">
      <c r="A275" s="65" t="s">
        <v>243</v>
      </c>
      <c r="B275" s="65" t="s">
        <v>387</v>
      </c>
      <c r="C275" s="65" t="s">
        <v>797</v>
      </c>
      <c r="D275" s="65" t="str">
        <f t="shared" si="1"/>
        <v>RB</v>
      </c>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64"/>
      <c r="BX275" s="64"/>
      <c r="BY275" s="64"/>
      <c r="BZ275" s="64"/>
      <c r="CA275" s="64"/>
      <c r="CB275" s="64"/>
      <c r="CC275" s="64"/>
      <c r="CD275" s="64"/>
      <c r="CE275" s="64"/>
      <c r="CF275" s="64"/>
      <c r="CG275" s="64"/>
      <c r="CH275" s="64"/>
      <c r="CI275" s="64"/>
      <c r="CJ275" s="64"/>
      <c r="CK275" s="64"/>
      <c r="CL275" s="64"/>
      <c r="CM275" s="64"/>
      <c r="CN275" s="64"/>
      <c r="CO275" s="64"/>
      <c r="CP275" s="64"/>
      <c r="CQ275" s="64"/>
      <c r="CR275" s="64"/>
      <c r="CS275" s="64"/>
      <c r="CT275" s="64"/>
      <c r="CU275" s="64"/>
      <c r="CV275" s="64"/>
      <c r="CW275" s="64"/>
      <c r="CX275" s="64"/>
      <c r="CY275" s="64"/>
      <c r="CZ275" s="64"/>
      <c r="DA275" s="64"/>
      <c r="DB275" s="64"/>
      <c r="DC275" s="64"/>
      <c r="DD275" s="64"/>
      <c r="DE275" s="64"/>
      <c r="DF275" s="64"/>
      <c r="DG275" s="64"/>
      <c r="DH275" s="64"/>
      <c r="DI275" s="64"/>
      <c r="DJ275" s="64"/>
      <c r="DK275" s="64"/>
      <c r="DL275" s="64"/>
      <c r="DM275" s="64"/>
      <c r="DN275" s="64"/>
      <c r="DO275" s="64"/>
      <c r="DP275" s="64"/>
      <c r="DQ275" s="64"/>
      <c r="DR275" s="64"/>
      <c r="DS275" s="64"/>
      <c r="DT275" s="64"/>
      <c r="DU275" s="64"/>
      <c r="DV275" s="64"/>
      <c r="DW275" s="64"/>
      <c r="DX275" s="64"/>
      <c r="DY275" s="64"/>
      <c r="DZ275" s="64"/>
      <c r="EA275" s="64"/>
      <c r="EB275" s="64"/>
      <c r="EC275" s="64"/>
      <c r="ED275" s="64"/>
    </row>
    <row r="276" spans="1:134" ht="15.75" customHeight="1">
      <c r="A276" s="65" t="s">
        <v>164</v>
      </c>
      <c r="B276" s="65" t="s">
        <v>409</v>
      </c>
      <c r="C276" s="65" t="s">
        <v>798</v>
      </c>
      <c r="D276" s="65" t="str">
        <f t="shared" si="1"/>
        <v>QB</v>
      </c>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64"/>
      <c r="BX276" s="64"/>
      <c r="BY276" s="64"/>
      <c r="BZ276" s="64"/>
      <c r="CA276" s="64"/>
      <c r="CB276" s="64"/>
      <c r="CC276" s="64"/>
      <c r="CD276" s="64"/>
      <c r="CE276" s="64"/>
      <c r="CF276" s="64"/>
      <c r="CG276" s="64"/>
      <c r="CH276" s="64"/>
      <c r="CI276" s="64"/>
      <c r="CJ276" s="64"/>
      <c r="CK276" s="64"/>
      <c r="CL276" s="64"/>
      <c r="CM276" s="64"/>
      <c r="CN276" s="64"/>
      <c r="CO276" s="64"/>
      <c r="CP276" s="64"/>
      <c r="CQ276" s="64"/>
      <c r="CR276" s="64"/>
      <c r="CS276" s="64"/>
      <c r="CT276" s="64"/>
      <c r="CU276" s="64"/>
      <c r="CV276" s="64"/>
      <c r="CW276" s="64"/>
      <c r="CX276" s="64"/>
      <c r="CY276" s="64"/>
      <c r="CZ276" s="64"/>
      <c r="DA276" s="64"/>
      <c r="DB276" s="64"/>
      <c r="DC276" s="64"/>
      <c r="DD276" s="64"/>
      <c r="DE276" s="64"/>
      <c r="DF276" s="64"/>
      <c r="DG276" s="64"/>
      <c r="DH276" s="64"/>
      <c r="DI276" s="64"/>
      <c r="DJ276" s="64"/>
      <c r="DK276" s="64"/>
      <c r="DL276" s="64"/>
      <c r="DM276" s="64"/>
      <c r="DN276" s="64"/>
      <c r="DO276" s="64"/>
      <c r="DP276" s="64"/>
      <c r="DQ276" s="64"/>
      <c r="DR276" s="64"/>
      <c r="DS276" s="64"/>
      <c r="DT276" s="64"/>
      <c r="DU276" s="64"/>
      <c r="DV276" s="64"/>
      <c r="DW276" s="64"/>
      <c r="DX276" s="64"/>
      <c r="DY276" s="64"/>
      <c r="DZ276" s="64"/>
      <c r="EA276" s="64"/>
      <c r="EB276" s="64"/>
      <c r="EC276" s="64"/>
      <c r="ED276" s="64"/>
    </row>
    <row r="277" spans="1:134" ht="15.75" customHeight="1">
      <c r="A277" s="65" t="s">
        <v>130</v>
      </c>
      <c r="B277" s="65" t="s">
        <v>401</v>
      </c>
      <c r="C277" s="65" t="s">
        <v>799</v>
      </c>
      <c r="D277" s="65" t="str">
        <f t="shared" si="1"/>
        <v>QB</v>
      </c>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64"/>
      <c r="BX277" s="64"/>
      <c r="BY277" s="64"/>
      <c r="BZ277" s="64"/>
      <c r="CA277" s="64"/>
      <c r="CB277" s="64"/>
      <c r="CC277" s="64"/>
      <c r="CD277" s="64"/>
      <c r="CE277" s="64"/>
      <c r="CF277" s="64"/>
      <c r="CG277" s="64"/>
      <c r="CH277" s="64"/>
      <c r="CI277" s="64"/>
      <c r="CJ277" s="64"/>
      <c r="CK277" s="64"/>
      <c r="CL277" s="64"/>
      <c r="CM277" s="64"/>
      <c r="CN277" s="64"/>
      <c r="CO277" s="64"/>
      <c r="CP277" s="64"/>
      <c r="CQ277" s="64"/>
      <c r="CR277" s="64"/>
      <c r="CS277" s="64"/>
      <c r="CT277" s="64"/>
      <c r="CU277" s="64"/>
      <c r="CV277" s="64"/>
      <c r="CW277" s="64"/>
      <c r="CX277" s="64"/>
      <c r="CY277" s="64"/>
      <c r="CZ277" s="64"/>
      <c r="DA277" s="64"/>
      <c r="DB277" s="64"/>
      <c r="DC277" s="64"/>
      <c r="DD277" s="64"/>
      <c r="DE277" s="64"/>
      <c r="DF277" s="64"/>
      <c r="DG277" s="64"/>
      <c r="DH277" s="64"/>
      <c r="DI277" s="64"/>
      <c r="DJ277" s="64"/>
      <c r="DK277" s="64"/>
      <c r="DL277" s="64"/>
      <c r="DM277" s="64"/>
      <c r="DN277" s="64"/>
      <c r="DO277" s="64"/>
      <c r="DP277" s="64"/>
      <c r="DQ277" s="64"/>
      <c r="DR277" s="64"/>
      <c r="DS277" s="64"/>
      <c r="DT277" s="64"/>
      <c r="DU277" s="64"/>
      <c r="DV277" s="64"/>
      <c r="DW277" s="64"/>
      <c r="DX277" s="64"/>
      <c r="DY277" s="64"/>
      <c r="DZ277" s="64"/>
      <c r="EA277" s="64"/>
      <c r="EB277" s="64"/>
      <c r="EC277" s="64"/>
      <c r="ED277" s="64"/>
    </row>
    <row r="278" spans="1:134" ht="15.75" customHeight="1">
      <c r="A278" s="65" t="s">
        <v>27</v>
      </c>
      <c r="B278" s="65" t="s">
        <v>405</v>
      </c>
      <c r="C278" s="65" t="s">
        <v>800</v>
      </c>
      <c r="D278" s="65" t="str">
        <f t="shared" si="1"/>
        <v>WR</v>
      </c>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64"/>
      <c r="BX278" s="64"/>
      <c r="BY278" s="64"/>
      <c r="BZ278" s="64"/>
      <c r="CA278" s="64"/>
      <c r="CB278" s="64"/>
      <c r="CC278" s="64"/>
      <c r="CD278" s="64"/>
      <c r="CE278" s="64"/>
      <c r="CF278" s="64"/>
      <c r="CG278" s="64"/>
      <c r="CH278" s="64"/>
      <c r="CI278" s="64"/>
      <c r="CJ278" s="64"/>
      <c r="CK278" s="64"/>
      <c r="CL278" s="64"/>
      <c r="CM278" s="64"/>
      <c r="CN278" s="64"/>
      <c r="CO278" s="64"/>
      <c r="CP278" s="64"/>
      <c r="CQ278" s="64"/>
      <c r="CR278" s="64"/>
      <c r="CS278" s="64"/>
      <c r="CT278" s="64"/>
      <c r="CU278" s="64"/>
      <c r="CV278" s="64"/>
      <c r="CW278" s="64"/>
      <c r="CX278" s="64"/>
      <c r="CY278" s="64"/>
      <c r="CZ278" s="64"/>
      <c r="DA278" s="64"/>
      <c r="DB278" s="64"/>
      <c r="DC278" s="64"/>
      <c r="DD278" s="64"/>
      <c r="DE278" s="64"/>
      <c r="DF278" s="64"/>
      <c r="DG278" s="64"/>
      <c r="DH278" s="64"/>
      <c r="DI278" s="64"/>
      <c r="DJ278" s="64"/>
      <c r="DK278" s="64"/>
      <c r="DL278" s="64"/>
      <c r="DM278" s="64"/>
      <c r="DN278" s="64"/>
      <c r="DO278" s="64"/>
      <c r="DP278" s="64"/>
      <c r="DQ278" s="64"/>
      <c r="DR278" s="64"/>
      <c r="DS278" s="64"/>
      <c r="DT278" s="64"/>
      <c r="DU278" s="64"/>
      <c r="DV278" s="64"/>
      <c r="DW278" s="64"/>
      <c r="DX278" s="64"/>
      <c r="DY278" s="64"/>
      <c r="DZ278" s="64"/>
      <c r="EA278" s="64"/>
      <c r="EB278" s="64"/>
      <c r="EC278" s="64"/>
      <c r="ED278" s="64"/>
    </row>
    <row r="279" spans="1:134" ht="15.75" customHeight="1">
      <c r="A279" s="65" t="s">
        <v>801</v>
      </c>
      <c r="B279" s="65" t="s">
        <v>417</v>
      </c>
      <c r="C279" s="65" t="s">
        <v>802</v>
      </c>
      <c r="D279" s="65" t="str">
        <f t="shared" si="1"/>
        <v>K</v>
      </c>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64"/>
      <c r="BX279" s="64"/>
      <c r="BY279" s="64"/>
      <c r="BZ279" s="64"/>
      <c r="CA279" s="64"/>
      <c r="CB279" s="64"/>
      <c r="CC279" s="64"/>
      <c r="CD279" s="64"/>
      <c r="CE279" s="64"/>
      <c r="CF279" s="64"/>
      <c r="CG279" s="64"/>
      <c r="CH279" s="64"/>
      <c r="CI279" s="64"/>
      <c r="CJ279" s="64"/>
      <c r="CK279" s="64"/>
      <c r="CL279" s="64"/>
      <c r="CM279" s="64"/>
      <c r="CN279" s="64"/>
      <c r="CO279" s="64"/>
      <c r="CP279" s="64"/>
      <c r="CQ279" s="64"/>
      <c r="CR279" s="64"/>
      <c r="CS279" s="64"/>
      <c r="CT279" s="64"/>
      <c r="CU279" s="64"/>
      <c r="CV279" s="64"/>
      <c r="CW279" s="64"/>
      <c r="CX279" s="64"/>
      <c r="CY279" s="64"/>
      <c r="CZ279" s="64"/>
      <c r="DA279" s="64"/>
      <c r="DB279" s="64"/>
      <c r="DC279" s="64"/>
      <c r="DD279" s="64"/>
      <c r="DE279" s="64"/>
      <c r="DF279" s="64"/>
      <c r="DG279" s="64"/>
      <c r="DH279" s="64"/>
      <c r="DI279" s="64"/>
      <c r="DJ279" s="64"/>
      <c r="DK279" s="64"/>
      <c r="DL279" s="64"/>
      <c r="DM279" s="64"/>
      <c r="DN279" s="64"/>
      <c r="DO279" s="64"/>
      <c r="DP279" s="64"/>
      <c r="DQ279" s="64"/>
      <c r="DR279" s="64"/>
      <c r="DS279" s="64"/>
      <c r="DT279" s="64"/>
      <c r="DU279" s="64"/>
      <c r="DV279" s="64"/>
      <c r="DW279" s="64"/>
      <c r="DX279" s="64"/>
      <c r="DY279" s="64"/>
      <c r="DZ279" s="64"/>
      <c r="EA279" s="64"/>
      <c r="EB279" s="64"/>
      <c r="EC279" s="64"/>
      <c r="ED279" s="64"/>
    </row>
    <row r="280" spans="1:134" ht="15.75" customHeight="1">
      <c r="A280" s="65" t="s">
        <v>280</v>
      </c>
      <c r="B280" s="65" t="s">
        <v>407</v>
      </c>
      <c r="C280" s="65" t="s">
        <v>803</v>
      </c>
      <c r="D280" s="65" t="str">
        <f t="shared" si="1"/>
        <v>TE</v>
      </c>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64"/>
      <c r="BX280" s="64"/>
      <c r="BY280" s="64"/>
      <c r="BZ280" s="64"/>
      <c r="CA280" s="64"/>
      <c r="CB280" s="64"/>
      <c r="CC280" s="64"/>
      <c r="CD280" s="64"/>
      <c r="CE280" s="64"/>
      <c r="CF280" s="64"/>
      <c r="CG280" s="64"/>
      <c r="CH280" s="64"/>
      <c r="CI280" s="64"/>
      <c r="CJ280" s="64"/>
      <c r="CK280" s="64"/>
      <c r="CL280" s="64"/>
      <c r="CM280" s="64"/>
      <c r="CN280" s="64"/>
      <c r="CO280" s="64"/>
      <c r="CP280" s="64"/>
      <c r="CQ280" s="64"/>
      <c r="CR280" s="64"/>
      <c r="CS280" s="64"/>
      <c r="CT280" s="64"/>
      <c r="CU280" s="64"/>
      <c r="CV280" s="64"/>
      <c r="CW280" s="64"/>
      <c r="CX280" s="64"/>
      <c r="CY280" s="64"/>
      <c r="CZ280" s="64"/>
      <c r="DA280" s="64"/>
      <c r="DB280" s="64"/>
      <c r="DC280" s="64"/>
      <c r="DD280" s="64"/>
      <c r="DE280" s="64"/>
      <c r="DF280" s="64"/>
      <c r="DG280" s="64"/>
      <c r="DH280" s="64"/>
      <c r="DI280" s="64"/>
      <c r="DJ280" s="64"/>
      <c r="DK280" s="64"/>
      <c r="DL280" s="64"/>
      <c r="DM280" s="64"/>
      <c r="DN280" s="64"/>
      <c r="DO280" s="64"/>
      <c r="DP280" s="64"/>
      <c r="DQ280" s="64"/>
      <c r="DR280" s="64"/>
      <c r="DS280" s="64"/>
      <c r="DT280" s="64"/>
      <c r="DU280" s="64"/>
      <c r="DV280" s="64"/>
      <c r="DW280" s="64"/>
      <c r="DX280" s="64"/>
      <c r="DY280" s="64"/>
      <c r="DZ280" s="64"/>
      <c r="EA280" s="64"/>
      <c r="EB280" s="64"/>
      <c r="EC280" s="64"/>
      <c r="ED280" s="64"/>
    </row>
    <row r="281" spans="1:134" ht="15.75" customHeight="1">
      <c r="A281" s="65" t="s">
        <v>261</v>
      </c>
      <c r="B281" s="65" t="s">
        <v>397</v>
      </c>
      <c r="C281" s="65" t="s">
        <v>804</v>
      </c>
      <c r="D281" s="65" t="str">
        <f t="shared" si="1"/>
        <v>K</v>
      </c>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64"/>
      <c r="BX281" s="64"/>
      <c r="BY281" s="64"/>
      <c r="BZ281" s="64"/>
      <c r="CA281" s="64"/>
      <c r="CB281" s="64"/>
      <c r="CC281" s="64"/>
      <c r="CD281" s="64"/>
      <c r="CE281" s="64"/>
      <c r="CF281" s="64"/>
      <c r="CG281" s="64"/>
      <c r="CH281" s="64"/>
      <c r="CI281" s="64"/>
      <c r="CJ281" s="64"/>
      <c r="CK281" s="64"/>
      <c r="CL281" s="64"/>
      <c r="CM281" s="64"/>
      <c r="CN281" s="64"/>
      <c r="CO281" s="64"/>
      <c r="CP281" s="64"/>
      <c r="CQ281" s="64"/>
      <c r="CR281" s="64"/>
      <c r="CS281" s="64"/>
      <c r="CT281" s="64"/>
      <c r="CU281" s="64"/>
      <c r="CV281" s="64"/>
      <c r="CW281" s="64"/>
      <c r="CX281" s="64"/>
      <c r="CY281" s="64"/>
      <c r="CZ281" s="64"/>
      <c r="DA281" s="64"/>
      <c r="DB281" s="64"/>
      <c r="DC281" s="64"/>
      <c r="DD281" s="64"/>
      <c r="DE281" s="64"/>
      <c r="DF281" s="64"/>
      <c r="DG281" s="64"/>
      <c r="DH281" s="64"/>
      <c r="DI281" s="64"/>
      <c r="DJ281" s="64"/>
      <c r="DK281" s="64"/>
      <c r="DL281" s="64"/>
      <c r="DM281" s="64"/>
      <c r="DN281" s="64"/>
      <c r="DO281" s="64"/>
      <c r="DP281" s="64"/>
      <c r="DQ281" s="64"/>
      <c r="DR281" s="64"/>
      <c r="DS281" s="64"/>
      <c r="DT281" s="64"/>
      <c r="DU281" s="64"/>
      <c r="DV281" s="64"/>
      <c r="DW281" s="64"/>
      <c r="DX281" s="64"/>
      <c r="DY281" s="64"/>
      <c r="DZ281" s="64"/>
      <c r="EA281" s="64"/>
      <c r="EB281" s="64"/>
      <c r="EC281" s="64"/>
      <c r="ED281" s="64"/>
    </row>
    <row r="282" spans="1:134" ht="15.75" customHeight="1">
      <c r="A282" s="65" t="s">
        <v>105</v>
      </c>
      <c r="B282" s="65" t="s">
        <v>411</v>
      </c>
      <c r="C282" s="65" t="s">
        <v>805</v>
      </c>
      <c r="D282" s="65" t="str">
        <f t="shared" si="1"/>
        <v>RB</v>
      </c>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64"/>
      <c r="BX282" s="64"/>
      <c r="BY282" s="64"/>
      <c r="BZ282" s="64"/>
      <c r="CA282" s="64"/>
      <c r="CB282" s="64"/>
      <c r="CC282" s="64"/>
      <c r="CD282" s="64"/>
      <c r="CE282" s="64"/>
      <c r="CF282" s="64"/>
      <c r="CG282" s="64"/>
      <c r="CH282" s="64"/>
      <c r="CI282" s="64"/>
      <c r="CJ282" s="64"/>
      <c r="CK282" s="64"/>
      <c r="CL282" s="64"/>
      <c r="CM282" s="64"/>
      <c r="CN282" s="64"/>
      <c r="CO282" s="64"/>
      <c r="CP282" s="64"/>
      <c r="CQ282" s="64"/>
      <c r="CR282" s="64"/>
      <c r="CS282" s="64"/>
      <c r="CT282" s="64"/>
      <c r="CU282" s="64"/>
      <c r="CV282" s="64"/>
      <c r="CW282" s="64"/>
      <c r="CX282" s="64"/>
      <c r="CY282" s="64"/>
      <c r="CZ282" s="64"/>
      <c r="DA282" s="64"/>
      <c r="DB282" s="64"/>
      <c r="DC282" s="64"/>
      <c r="DD282" s="64"/>
      <c r="DE282" s="64"/>
      <c r="DF282" s="64"/>
      <c r="DG282" s="64"/>
      <c r="DH282" s="64"/>
      <c r="DI282" s="64"/>
      <c r="DJ282" s="64"/>
      <c r="DK282" s="64"/>
      <c r="DL282" s="64"/>
      <c r="DM282" s="64"/>
      <c r="DN282" s="64"/>
      <c r="DO282" s="64"/>
      <c r="DP282" s="64"/>
      <c r="DQ282" s="64"/>
      <c r="DR282" s="64"/>
      <c r="DS282" s="64"/>
      <c r="DT282" s="64"/>
      <c r="DU282" s="64"/>
      <c r="DV282" s="64"/>
      <c r="DW282" s="64"/>
      <c r="DX282" s="64"/>
      <c r="DY282" s="64"/>
      <c r="DZ282" s="64"/>
      <c r="EA282" s="64"/>
      <c r="EB282" s="64"/>
      <c r="EC282" s="64"/>
      <c r="ED282" s="64"/>
    </row>
    <row r="283" spans="1:134" ht="15.75" customHeight="1">
      <c r="A283" s="65" t="s">
        <v>806</v>
      </c>
      <c r="B283" s="65" t="s">
        <v>415</v>
      </c>
      <c r="C283" s="65" t="s">
        <v>807</v>
      </c>
      <c r="D283" s="65" t="str">
        <f t="shared" si="1"/>
        <v>RB</v>
      </c>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64"/>
      <c r="BX283" s="64"/>
      <c r="BY283" s="64"/>
      <c r="BZ283" s="64"/>
      <c r="CA283" s="64"/>
      <c r="CB283" s="64"/>
      <c r="CC283" s="64"/>
      <c r="CD283" s="64"/>
      <c r="CE283" s="64"/>
      <c r="CF283" s="64"/>
      <c r="CG283" s="64"/>
      <c r="CH283" s="64"/>
      <c r="CI283" s="64"/>
      <c r="CJ283" s="64"/>
      <c r="CK283" s="64"/>
      <c r="CL283" s="64"/>
      <c r="CM283" s="64"/>
      <c r="CN283" s="64"/>
      <c r="CO283" s="64"/>
      <c r="CP283" s="64"/>
      <c r="CQ283" s="64"/>
      <c r="CR283" s="64"/>
      <c r="CS283" s="64"/>
      <c r="CT283" s="64"/>
      <c r="CU283" s="64"/>
      <c r="CV283" s="64"/>
      <c r="CW283" s="64"/>
      <c r="CX283" s="64"/>
      <c r="CY283" s="64"/>
      <c r="CZ283" s="64"/>
      <c r="DA283" s="64"/>
      <c r="DB283" s="64"/>
      <c r="DC283" s="64"/>
      <c r="DD283" s="64"/>
      <c r="DE283" s="64"/>
      <c r="DF283" s="64"/>
      <c r="DG283" s="64"/>
      <c r="DH283" s="64"/>
      <c r="DI283" s="64"/>
      <c r="DJ283" s="64"/>
      <c r="DK283" s="64"/>
      <c r="DL283" s="64"/>
      <c r="DM283" s="64"/>
      <c r="DN283" s="64"/>
      <c r="DO283" s="64"/>
      <c r="DP283" s="64"/>
      <c r="DQ283" s="64"/>
      <c r="DR283" s="64"/>
      <c r="DS283" s="64"/>
      <c r="DT283" s="64"/>
      <c r="DU283" s="64"/>
      <c r="DV283" s="64"/>
      <c r="DW283" s="64"/>
      <c r="DX283" s="64"/>
      <c r="DY283" s="64"/>
      <c r="DZ283" s="64"/>
      <c r="EA283" s="64"/>
      <c r="EB283" s="64"/>
      <c r="EC283" s="64"/>
      <c r="ED283" s="64"/>
    </row>
    <row r="284" spans="1:134" ht="15.75" customHeight="1">
      <c r="A284" s="65" t="s">
        <v>808</v>
      </c>
      <c r="B284" s="65" t="s">
        <v>395</v>
      </c>
      <c r="C284" s="65" t="s">
        <v>809</v>
      </c>
      <c r="D284" s="65" t="str">
        <f t="shared" si="1"/>
        <v>WR</v>
      </c>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64"/>
      <c r="BX284" s="64"/>
      <c r="BY284" s="64"/>
      <c r="BZ284" s="64"/>
      <c r="CA284" s="64"/>
      <c r="CB284" s="64"/>
      <c r="CC284" s="64"/>
      <c r="CD284" s="64"/>
      <c r="CE284" s="64"/>
      <c r="CF284" s="64"/>
      <c r="CG284" s="64"/>
      <c r="CH284" s="64"/>
      <c r="CI284" s="64"/>
      <c r="CJ284" s="64"/>
      <c r="CK284" s="64"/>
      <c r="CL284" s="64"/>
      <c r="CM284" s="64"/>
      <c r="CN284" s="64"/>
      <c r="CO284" s="64"/>
      <c r="CP284" s="64"/>
      <c r="CQ284" s="64"/>
      <c r="CR284" s="64"/>
      <c r="CS284" s="64"/>
      <c r="CT284" s="64"/>
      <c r="CU284" s="64"/>
      <c r="CV284" s="64"/>
      <c r="CW284" s="64"/>
      <c r="CX284" s="64"/>
      <c r="CY284" s="64"/>
      <c r="CZ284" s="64"/>
      <c r="DA284" s="64"/>
      <c r="DB284" s="64"/>
      <c r="DC284" s="64"/>
      <c r="DD284" s="64"/>
      <c r="DE284" s="64"/>
      <c r="DF284" s="64"/>
      <c r="DG284" s="64"/>
      <c r="DH284" s="64"/>
      <c r="DI284" s="64"/>
      <c r="DJ284" s="64"/>
      <c r="DK284" s="64"/>
      <c r="DL284" s="64"/>
      <c r="DM284" s="64"/>
      <c r="DN284" s="64"/>
      <c r="DO284" s="64"/>
      <c r="DP284" s="64"/>
      <c r="DQ284" s="64"/>
      <c r="DR284" s="64"/>
      <c r="DS284" s="64"/>
      <c r="DT284" s="64"/>
      <c r="DU284" s="64"/>
      <c r="DV284" s="64"/>
      <c r="DW284" s="64"/>
      <c r="DX284" s="64"/>
      <c r="DY284" s="64"/>
      <c r="DZ284" s="64"/>
      <c r="EA284" s="64"/>
      <c r="EB284" s="64"/>
      <c r="EC284" s="64"/>
      <c r="ED284" s="64"/>
    </row>
    <row r="285" spans="1:134" ht="15.75" customHeight="1">
      <c r="A285" s="65" t="s">
        <v>216</v>
      </c>
      <c r="B285" s="65" t="s">
        <v>400</v>
      </c>
      <c r="C285" s="65" t="s">
        <v>810</v>
      </c>
      <c r="D285" s="65" t="str">
        <f t="shared" si="1"/>
        <v>DEF</v>
      </c>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c r="BU285" s="64"/>
      <c r="BV285" s="64"/>
      <c r="BW285" s="64"/>
      <c r="BX285" s="64"/>
      <c r="BY285" s="64"/>
      <c r="BZ285" s="64"/>
      <c r="CA285" s="64"/>
      <c r="CB285" s="64"/>
      <c r="CC285" s="64"/>
      <c r="CD285" s="64"/>
      <c r="CE285" s="64"/>
      <c r="CF285" s="64"/>
      <c r="CG285" s="64"/>
      <c r="CH285" s="64"/>
      <c r="CI285" s="64"/>
      <c r="CJ285" s="64"/>
      <c r="CK285" s="64"/>
      <c r="CL285" s="64"/>
      <c r="CM285" s="64"/>
      <c r="CN285" s="64"/>
      <c r="CO285" s="64"/>
      <c r="CP285" s="64"/>
      <c r="CQ285" s="64"/>
      <c r="CR285" s="64"/>
      <c r="CS285" s="64"/>
      <c r="CT285" s="64"/>
      <c r="CU285" s="64"/>
      <c r="CV285" s="64"/>
      <c r="CW285" s="64"/>
      <c r="CX285" s="64"/>
      <c r="CY285" s="64"/>
      <c r="CZ285" s="64"/>
      <c r="DA285" s="64"/>
      <c r="DB285" s="64"/>
      <c r="DC285" s="64"/>
      <c r="DD285" s="64"/>
      <c r="DE285" s="64"/>
      <c r="DF285" s="64"/>
      <c r="DG285" s="64"/>
      <c r="DH285" s="64"/>
      <c r="DI285" s="64"/>
      <c r="DJ285" s="64"/>
      <c r="DK285" s="64"/>
      <c r="DL285" s="64"/>
      <c r="DM285" s="64"/>
      <c r="DN285" s="64"/>
      <c r="DO285" s="64"/>
      <c r="DP285" s="64"/>
      <c r="DQ285" s="64"/>
      <c r="DR285" s="64"/>
      <c r="DS285" s="64"/>
      <c r="DT285" s="64"/>
      <c r="DU285" s="64"/>
      <c r="DV285" s="64"/>
      <c r="DW285" s="64"/>
      <c r="DX285" s="64"/>
      <c r="DY285" s="64"/>
      <c r="DZ285" s="64"/>
      <c r="EA285" s="64"/>
      <c r="EB285" s="64"/>
      <c r="EC285" s="64"/>
      <c r="ED285" s="64"/>
    </row>
    <row r="286" spans="1:134" ht="15.75" customHeight="1">
      <c r="A286" s="65" t="s">
        <v>223</v>
      </c>
      <c r="B286" s="65" t="s">
        <v>400</v>
      </c>
      <c r="C286" s="65" t="s">
        <v>811</v>
      </c>
      <c r="D286" s="65" t="str">
        <f t="shared" si="1"/>
        <v>RB</v>
      </c>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c r="BU286" s="64"/>
      <c r="BV286" s="64"/>
      <c r="BW286" s="64"/>
      <c r="BX286" s="64"/>
      <c r="BY286" s="64"/>
      <c r="BZ286" s="64"/>
      <c r="CA286" s="64"/>
      <c r="CB286" s="64"/>
      <c r="CC286" s="64"/>
      <c r="CD286" s="64"/>
      <c r="CE286" s="64"/>
      <c r="CF286" s="64"/>
      <c r="CG286" s="64"/>
      <c r="CH286" s="64"/>
      <c r="CI286" s="64"/>
      <c r="CJ286" s="64"/>
      <c r="CK286" s="64"/>
      <c r="CL286" s="64"/>
      <c r="CM286" s="64"/>
      <c r="CN286" s="64"/>
      <c r="CO286" s="64"/>
      <c r="CP286" s="64"/>
      <c r="CQ286" s="64"/>
      <c r="CR286" s="64"/>
      <c r="CS286" s="64"/>
      <c r="CT286" s="64"/>
      <c r="CU286" s="64"/>
      <c r="CV286" s="64"/>
      <c r="CW286" s="64"/>
      <c r="CX286" s="64"/>
      <c r="CY286" s="64"/>
      <c r="CZ286" s="64"/>
      <c r="DA286" s="64"/>
      <c r="DB286" s="64"/>
      <c r="DC286" s="64"/>
      <c r="DD286" s="64"/>
      <c r="DE286" s="64"/>
      <c r="DF286" s="64"/>
      <c r="DG286" s="64"/>
      <c r="DH286" s="64"/>
      <c r="DI286" s="64"/>
      <c r="DJ286" s="64"/>
      <c r="DK286" s="64"/>
      <c r="DL286" s="64"/>
      <c r="DM286" s="64"/>
      <c r="DN286" s="64"/>
      <c r="DO286" s="64"/>
      <c r="DP286" s="64"/>
      <c r="DQ286" s="64"/>
      <c r="DR286" s="64"/>
      <c r="DS286" s="64"/>
      <c r="DT286" s="64"/>
      <c r="DU286" s="64"/>
      <c r="DV286" s="64"/>
      <c r="DW286" s="64"/>
      <c r="DX286" s="64"/>
      <c r="DY286" s="64"/>
      <c r="DZ286" s="64"/>
      <c r="EA286" s="64"/>
      <c r="EB286" s="64"/>
      <c r="EC286" s="64"/>
      <c r="ED286" s="64"/>
    </row>
    <row r="287" spans="1:134" ht="15.75" customHeight="1">
      <c r="A287" s="65" t="s">
        <v>812</v>
      </c>
      <c r="B287" s="65" t="s">
        <v>393</v>
      </c>
      <c r="C287" s="65" t="s">
        <v>813</v>
      </c>
      <c r="D287" s="65" t="str">
        <f t="shared" si="1"/>
        <v>WR</v>
      </c>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c r="BU287" s="64"/>
      <c r="BV287" s="64"/>
      <c r="BW287" s="64"/>
      <c r="BX287" s="64"/>
      <c r="BY287" s="64"/>
      <c r="BZ287" s="64"/>
      <c r="CA287" s="64"/>
      <c r="CB287" s="64"/>
      <c r="CC287" s="64"/>
      <c r="CD287" s="64"/>
      <c r="CE287" s="64"/>
      <c r="CF287" s="64"/>
      <c r="CG287" s="64"/>
      <c r="CH287" s="64"/>
      <c r="CI287" s="64"/>
      <c r="CJ287" s="64"/>
      <c r="CK287" s="64"/>
      <c r="CL287" s="64"/>
      <c r="CM287" s="64"/>
      <c r="CN287" s="64"/>
      <c r="CO287" s="64"/>
      <c r="CP287" s="64"/>
      <c r="CQ287" s="64"/>
      <c r="CR287" s="64"/>
      <c r="CS287" s="64"/>
      <c r="CT287" s="64"/>
      <c r="CU287" s="64"/>
      <c r="CV287" s="64"/>
      <c r="CW287" s="64"/>
      <c r="CX287" s="64"/>
      <c r="CY287" s="64"/>
      <c r="CZ287" s="64"/>
      <c r="DA287" s="64"/>
      <c r="DB287" s="64"/>
      <c r="DC287" s="64"/>
      <c r="DD287" s="64"/>
      <c r="DE287" s="64"/>
      <c r="DF287" s="64"/>
      <c r="DG287" s="64"/>
      <c r="DH287" s="64"/>
      <c r="DI287" s="64"/>
      <c r="DJ287" s="64"/>
      <c r="DK287" s="64"/>
      <c r="DL287" s="64"/>
      <c r="DM287" s="64"/>
      <c r="DN287" s="64"/>
      <c r="DO287" s="64"/>
      <c r="DP287" s="64"/>
      <c r="DQ287" s="64"/>
      <c r="DR287" s="64"/>
      <c r="DS287" s="64"/>
      <c r="DT287" s="64"/>
      <c r="DU287" s="64"/>
      <c r="DV287" s="64"/>
      <c r="DW287" s="64"/>
      <c r="DX287" s="64"/>
      <c r="DY287" s="64"/>
      <c r="DZ287" s="64"/>
      <c r="EA287" s="64"/>
      <c r="EB287" s="64"/>
      <c r="EC287" s="64"/>
      <c r="ED287" s="64"/>
    </row>
    <row r="288" spans="1:134" ht="15.75" customHeight="1">
      <c r="A288" s="65" t="s">
        <v>814</v>
      </c>
      <c r="B288" s="65" t="s">
        <v>406</v>
      </c>
      <c r="C288" s="65" t="s">
        <v>815</v>
      </c>
      <c r="D288" s="65" t="str">
        <f t="shared" si="1"/>
        <v>WR</v>
      </c>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c r="BU288" s="64"/>
      <c r="BV288" s="64"/>
      <c r="BW288" s="64"/>
      <c r="BX288" s="64"/>
      <c r="BY288" s="64"/>
      <c r="BZ288" s="64"/>
      <c r="CA288" s="64"/>
      <c r="CB288" s="64"/>
      <c r="CC288" s="64"/>
      <c r="CD288" s="64"/>
      <c r="CE288" s="64"/>
      <c r="CF288" s="64"/>
      <c r="CG288" s="64"/>
      <c r="CH288" s="64"/>
      <c r="CI288" s="64"/>
      <c r="CJ288" s="64"/>
      <c r="CK288" s="64"/>
      <c r="CL288" s="64"/>
      <c r="CM288" s="64"/>
      <c r="CN288" s="64"/>
      <c r="CO288" s="64"/>
      <c r="CP288" s="64"/>
      <c r="CQ288" s="64"/>
      <c r="CR288" s="64"/>
      <c r="CS288" s="64"/>
      <c r="CT288" s="64"/>
      <c r="CU288" s="64"/>
      <c r="CV288" s="64"/>
      <c r="CW288" s="64"/>
      <c r="CX288" s="64"/>
      <c r="CY288" s="64"/>
      <c r="CZ288" s="64"/>
      <c r="DA288" s="64"/>
      <c r="DB288" s="64"/>
      <c r="DC288" s="64"/>
      <c r="DD288" s="64"/>
      <c r="DE288" s="64"/>
      <c r="DF288" s="64"/>
      <c r="DG288" s="64"/>
      <c r="DH288" s="64"/>
      <c r="DI288" s="64"/>
      <c r="DJ288" s="64"/>
      <c r="DK288" s="64"/>
      <c r="DL288" s="64"/>
      <c r="DM288" s="64"/>
      <c r="DN288" s="64"/>
      <c r="DO288" s="64"/>
      <c r="DP288" s="64"/>
      <c r="DQ288" s="64"/>
      <c r="DR288" s="64"/>
      <c r="DS288" s="64"/>
      <c r="DT288" s="64"/>
      <c r="DU288" s="64"/>
      <c r="DV288" s="64"/>
      <c r="DW288" s="64"/>
      <c r="DX288" s="64"/>
      <c r="DY288" s="64"/>
      <c r="DZ288" s="64"/>
      <c r="EA288" s="64"/>
      <c r="EB288" s="64"/>
      <c r="EC288" s="64"/>
      <c r="ED288" s="64"/>
    </row>
    <row r="289" spans="1:134" ht="15.75" customHeight="1">
      <c r="A289" s="65" t="s">
        <v>816</v>
      </c>
      <c r="B289" s="65" t="s">
        <v>401</v>
      </c>
      <c r="C289" s="65" t="s">
        <v>817</v>
      </c>
      <c r="D289" s="65" t="str">
        <f t="shared" si="1"/>
        <v>WR</v>
      </c>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c r="BU289" s="64"/>
      <c r="BV289" s="64"/>
      <c r="BW289" s="64"/>
      <c r="BX289" s="64"/>
      <c r="BY289" s="64"/>
      <c r="BZ289" s="64"/>
      <c r="CA289" s="64"/>
      <c r="CB289" s="64"/>
      <c r="CC289" s="64"/>
      <c r="CD289" s="64"/>
      <c r="CE289" s="64"/>
      <c r="CF289" s="64"/>
      <c r="CG289" s="64"/>
      <c r="CH289" s="64"/>
      <c r="CI289" s="64"/>
      <c r="CJ289" s="64"/>
      <c r="CK289" s="64"/>
      <c r="CL289" s="64"/>
      <c r="CM289" s="64"/>
      <c r="CN289" s="64"/>
      <c r="CO289" s="64"/>
      <c r="CP289" s="64"/>
      <c r="CQ289" s="64"/>
      <c r="CR289" s="64"/>
      <c r="CS289" s="64"/>
      <c r="CT289" s="64"/>
      <c r="CU289" s="64"/>
      <c r="CV289" s="64"/>
      <c r="CW289" s="64"/>
      <c r="CX289" s="64"/>
      <c r="CY289" s="64"/>
      <c r="CZ289" s="64"/>
      <c r="DA289" s="64"/>
      <c r="DB289" s="64"/>
      <c r="DC289" s="64"/>
      <c r="DD289" s="64"/>
      <c r="DE289" s="64"/>
      <c r="DF289" s="64"/>
      <c r="DG289" s="64"/>
      <c r="DH289" s="64"/>
      <c r="DI289" s="64"/>
      <c r="DJ289" s="64"/>
      <c r="DK289" s="64"/>
      <c r="DL289" s="64"/>
      <c r="DM289" s="64"/>
      <c r="DN289" s="64"/>
      <c r="DO289" s="64"/>
      <c r="DP289" s="64"/>
      <c r="DQ289" s="64"/>
      <c r="DR289" s="64"/>
      <c r="DS289" s="64"/>
      <c r="DT289" s="64"/>
      <c r="DU289" s="64"/>
      <c r="DV289" s="64"/>
      <c r="DW289" s="64"/>
      <c r="DX289" s="64"/>
      <c r="DY289" s="64"/>
      <c r="DZ289" s="64"/>
      <c r="EA289" s="64"/>
      <c r="EB289" s="64"/>
      <c r="EC289" s="64"/>
      <c r="ED289" s="64"/>
    </row>
    <row r="290" spans="1:134" ht="15.75" customHeight="1">
      <c r="A290" s="65" t="s">
        <v>251</v>
      </c>
      <c r="B290" s="65" t="s">
        <v>387</v>
      </c>
      <c r="C290" s="65" t="s">
        <v>818</v>
      </c>
      <c r="D290" s="65" t="str">
        <f t="shared" si="1"/>
        <v>RB</v>
      </c>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c r="BU290" s="64"/>
      <c r="BV290" s="64"/>
      <c r="BW290" s="64"/>
      <c r="BX290" s="64"/>
      <c r="BY290" s="64"/>
      <c r="BZ290" s="64"/>
      <c r="CA290" s="64"/>
      <c r="CB290" s="64"/>
      <c r="CC290" s="64"/>
      <c r="CD290" s="64"/>
      <c r="CE290" s="64"/>
      <c r="CF290" s="64"/>
      <c r="CG290" s="64"/>
      <c r="CH290" s="64"/>
      <c r="CI290" s="64"/>
      <c r="CJ290" s="64"/>
      <c r="CK290" s="64"/>
      <c r="CL290" s="64"/>
      <c r="CM290" s="64"/>
      <c r="CN290" s="64"/>
      <c r="CO290" s="64"/>
      <c r="CP290" s="64"/>
      <c r="CQ290" s="64"/>
      <c r="CR290" s="64"/>
      <c r="CS290" s="64"/>
      <c r="CT290" s="64"/>
      <c r="CU290" s="64"/>
      <c r="CV290" s="64"/>
      <c r="CW290" s="64"/>
      <c r="CX290" s="64"/>
      <c r="CY290" s="64"/>
      <c r="CZ290" s="64"/>
      <c r="DA290" s="64"/>
      <c r="DB290" s="64"/>
      <c r="DC290" s="64"/>
      <c r="DD290" s="64"/>
      <c r="DE290" s="64"/>
      <c r="DF290" s="64"/>
      <c r="DG290" s="64"/>
      <c r="DH290" s="64"/>
      <c r="DI290" s="64"/>
      <c r="DJ290" s="64"/>
      <c r="DK290" s="64"/>
      <c r="DL290" s="64"/>
      <c r="DM290" s="64"/>
      <c r="DN290" s="64"/>
      <c r="DO290" s="64"/>
      <c r="DP290" s="64"/>
      <c r="DQ290" s="64"/>
      <c r="DR290" s="64"/>
      <c r="DS290" s="64"/>
      <c r="DT290" s="64"/>
      <c r="DU290" s="64"/>
      <c r="DV290" s="64"/>
      <c r="DW290" s="64"/>
      <c r="DX290" s="64"/>
      <c r="DY290" s="64"/>
      <c r="DZ290" s="64"/>
      <c r="EA290" s="64"/>
      <c r="EB290" s="64"/>
      <c r="EC290" s="64"/>
      <c r="ED290" s="64"/>
    </row>
    <row r="291" spans="1:134" ht="15.75" customHeight="1">
      <c r="A291" s="65" t="s">
        <v>230</v>
      </c>
      <c r="B291" s="65" t="s">
        <v>401</v>
      </c>
      <c r="C291" s="65" t="s">
        <v>819</v>
      </c>
      <c r="D291" s="65" t="str">
        <f t="shared" si="1"/>
        <v>WR</v>
      </c>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c r="BU291" s="64"/>
      <c r="BV291" s="64"/>
      <c r="BW291" s="64"/>
      <c r="BX291" s="64"/>
      <c r="BY291" s="64"/>
      <c r="BZ291" s="64"/>
      <c r="CA291" s="64"/>
      <c r="CB291" s="64"/>
      <c r="CC291" s="64"/>
      <c r="CD291" s="64"/>
      <c r="CE291" s="64"/>
      <c r="CF291" s="64"/>
      <c r="CG291" s="64"/>
      <c r="CH291" s="64"/>
      <c r="CI291" s="64"/>
      <c r="CJ291" s="64"/>
      <c r="CK291" s="64"/>
      <c r="CL291" s="64"/>
      <c r="CM291" s="64"/>
      <c r="CN291" s="64"/>
      <c r="CO291" s="64"/>
      <c r="CP291" s="64"/>
      <c r="CQ291" s="64"/>
      <c r="CR291" s="64"/>
      <c r="CS291" s="64"/>
      <c r="CT291" s="64"/>
      <c r="CU291" s="64"/>
      <c r="CV291" s="64"/>
      <c r="CW291" s="64"/>
      <c r="CX291" s="64"/>
      <c r="CY291" s="64"/>
      <c r="CZ291" s="64"/>
      <c r="DA291" s="64"/>
      <c r="DB291" s="64"/>
      <c r="DC291" s="64"/>
      <c r="DD291" s="64"/>
      <c r="DE291" s="64"/>
      <c r="DF291" s="64"/>
      <c r="DG291" s="64"/>
      <c r="DH291" s="64"/>
      <c r="DI291" s="64"/>
      <c r="DJ291" s="64"/>
      <c r="DK291" s="64"/>
      <c r="DL291" s="64"/>
      <c r="DM291" s="64"/>
      <c r="DN291" s="64"/>
      <c r="DO291" s="64"/>
      <c r="DP291" s="64"/>
      <c r="DQ291" s="64"/>
      <c r="DR291" s="64"/>
      <c r="DS291" s="64"/>
      <c r="DT291" s="64"/>
      <c r="DU291" s="64"/>
      <c r="DV291" s="64"/>
      <c r="DW291" s="64"/>
      <c r="DX291" s="64"/>
      <c r="DY291" s="64"/>
      <c r="DZ291" s="64"/>
      <c r="EA291" s="64"/>
      <c r="EB291" s="64"/>
      <c r="EC291" s="64"/>
      <c r="ED291" s="64"/>
    </row>
    <row r="292" spans="1:134" ht="15.75" customHeight="1">
      <c r="A292" s="65" t="s">
        <v>259</v>
      </c>
      <c r="B292" s="65" t="s">
        <v>407</v>
      </c>
      <c r="C292" s="65" t="s">
        <v>820</v>
      </c>
      <c r="D292" s="65" t="str">
        <f t="shared" si="1"/>
        <v>RB</v>
      </c>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c r="BU292" s="64"/>
      <c r="BV292" s="64"/>
      <c r="BW292" s="64"/>
      <c r="BX292" s="64"/>
      <c r="BY292" s="64"/>
      <c r="BZ292" s="64"/>
      <c r="CA292" s="64"/>
      <c r="CB292" s="64"/>
      <c r="CC292" s="64"/>
      <c r="CD292" s="64"/>
      <c r="CE292" s="64"/>
      <c r="CF292" s="64"/>
      <c r="CG292" s="64"/>
      <c r="CH292" s="64"/>
      <c r="CI292" s="64"/>
      <c r="CJ292" s="64"/>
      <c r="CK292" s="64"/>
      <c r="CL292" s="64"/>
      <c r="CM292" s="64"/>
      <c r="CN292" s="64"/>
      <c r="CO292" s="64"/>
      <c r="CP292" s="64"/>
      <c r="CQ292" s="64"/>
      <c r="CR292" s="64"/>
      <c r="CS292" s="64"/>
      <c r="CT292" s="64"/>
      <c r="CU292" s="64"/>
      <c r="CV292" s="64"/>
      <c r="CW292" s="64"/>
      <c r="CX292" s="64"/>
      <c r="CY292" s="64"/>
      <c r="CZ292" s="64"/>
      <c r="DA292" s="64"/>
      <c r="DB292" s="64"/>
      <c r="DC292" s="64"/>
      <c r="DD292" s="64"/>
      <c r="DE292" s="64"/>
      <c r="DF292" s="64"/>
      <c r="DG292" s="64"/>
      <c r="DH292" s="64"/>
      <c r="DI292" s="64"/>
      <c r="DJ292" s="64"/>
      <c r="DK292" s="64"/>
      <c r="DL292" s="64"/>
      <c r="DM292" s="64"/>
      <c r="DN292" s="64"/>
      <c r="DO292" s="64"/>
      <c r="DP292" s="64"/>
      <c r="DQ292" s="64"/>
      <c r="DR292" s="64"/>
      <c r="DS292" s="64"/>
      <c r="DT292" s="64"/>
      <c r="DU292" s="64"/>
      <c r="DV292" s="64"/>
      <c r="DW292" s="64"/>
      <c r="DX292" s="64"/>
      <c r="DY292" s="64"/>
      <c r="DZ292" s="64"/>
      <c r="EA292" s="64"/>
      <c r="EB292" s="64"/>
      <c r="EC292" s="64"/>
      <c r="ED292" s="64"/>
    </row>
    <row r="293" spans="1:134" ht="15.75" customHeight="1">
      <c r="A293" s="65" t="s">
        <v>821</v>
      </c>
      <c r="B293" s="65" t="s">
        <v>406</v>
      </c>
      <c r="C293" s="65" t="s">
        <v>822</v>
      </c>
      <c r="D293" s="65" t="str">
        <f t="shared" si="1"/>
        <v>WR</v>
      </c>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c r="BU293" s="64"/>
      <c r="BV293" s="64"/>
      <c r="BW293" s="64"/>
      <c r="BX293" s="64"/>
      <c r="BY293" s="64"/>
      <c r="BZ293" s="64"/>
      <c r="CA293" s="64"/>
      <c r="CB293" s="64"/>
      <c r="CC293" s="64"/>
      <c r="CD293" s="64"/>
      <c r="CE293" s="64"/>
      <c r="CF293" s="64"/>
      <c r="CG293" s="64"/>
      <c r="CH293" s="64"/>
      <c r="CI293" s="64"/>
      <c r="CJ293" s="64"/>
      <c r="CK293" s="64"/>
      <c r="CL293" s="64"/>
      <c r="CM293" s="64"/>
      <c r="CN293" s="64"/>
      <c r="CO293" s="64"/>
      <c r="CP293" s="64"/>
      <c r="CQ293" s="64"/>
      <c r="CR293" s="64"/>
      <c r="CS293" s="64"/>
      <c r="CT293" s="64"/>
      <c r="CU293" s="64"/>
      <c r="CV293" s="64"/>
      <c r="CW293" s="64"/>
      <c r="CX293" s="64"/>
      <c r="CY293" s="64"/>
      <c r="CZ293" s="64"/>
      <c r="DA293" s="64"/>
      <c r="DB293" s="64"/>
      <c r="DC293" s="64"/>
      <c r="DD293" s="64"/>
      <c r="DE293" s="64"/>
      <c r="DF293" s="64"/>
      <c r="DG293" s="64"/>
      <c r="DH293" s="64"/>
      <c r="DI293" s="64"/>
      <c r="DJ293" s="64"/>
      <c r="DK293" s="64"/>
      <c r="DL293" s="64"/>
      <c r="DM293" s="64"/>
      <c r="DN293" s="64"/>
      <c r="DO293" s="64"/>
      <c r="DP293" s="64"/>
      <c r="DQ293" s="64"/>
      <c r="DR293" s="64"/>
      <c r="DS293" s="64"/>
      <c r="DT293" s="64"/>
      <c r="DU293" s="64"/>
      <c r="DV293" s="64"/>
      <c r="DW293" s="64"/>
      <c r="DX293" s="64"/>
      <c r="DY293" s="64"/>
      <c r="DZ293" s="64"/>
      <c r="EA293" s="64"/>
      <c r="EB293" s="64"/>
      <c r="EC293" s="64"/>
      <c r="ED293" s="64"/>
    </row>
    <row r="294" spans="1:134" ht="15.75" customHeight="1">
      <c r="A294" s="65" t="s">
        <v>823</v>
      </c>
      <c r="B294" s="65" t="s">
        <v>411</v>
      </c>
      <c r="C294" s="65" t="s">
        <v>824</v>
      </c>
      <c r="D294" s="65" t="str">
        <f t="shared" si="1"/>
        <v>RB</v>
      </c>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c r="BU294" s="64"/>
      <c r="BV294" s="64"/>
      <c r="BW294" s="64"/>
      <c r="BX294" s="64"/>
      <c r="BY294" s="64"/>
      <c r="BZ294" s="64"/>
      <c r="CA294" s="64"/>
      <c r="CB294" s="64"/>
      <c r="CC294" s="64"/>
      <c r="CD294" s="64"/>
      <c r="CE294" s="64"/>
      <c r="CF294" s="64"/>
      <c r="CG294" s="64"/>
      <c r="CH294" s="64"/>
      <c r="CI294" s="64"/>
      <c r="CJ294" s="64"/>
      <c r="CK294" s="64"/>
      <c r="CL294" s="64"/>
      <c r="CM294" s="64"/>
      <c r="CN294" s="64"/>
      <c r="CO294" s="64"/>
      <c r="CP294" s="64"/>
      <c r="CQ294" s="64"/>
      <c r="CR294" s="64"/>
      <c r="CS294" s="64"/>
      <c r="CT294" s="64"/>
      <c r="CU294" s="64"/>
      <c r="CV294" s="64"/>
      <c r="CW294" s="64"/>
      <c r="CX294" s="64"/>
      <c r="CY294" s="64"/>
      <c r="CZ294" s="64"/>
      <c r="DA294" s="64"/>
      <c r="DB294" s="64"/>
      <c r="DC294" s="64"/>
      <c r="DD294" s="64"/>
      <c r="DE294" s="64"/>
      <c r="DF294" s="64"/>
      <c r="DG294" s="64"/>
      <c r="DH294" s="64"/>
      <c r="DI294" s="64"/>
      <c r="DJ294" s="64"/>
      <c r="DK294" s="64"/>
      <c r="DL294" s="64"/>
      <c r="DM294" s="64"/>
      <c r="DN294" s="64"/>
      <c r="DO294" s="64"/>
      <c r="DP294" s="64"/>
      <c r="DQ294" s="64"/>
      <c r="DR294" s="64"/>
      <c r="DS294" s="64"/>
      <c r="DT294" s="64"/>
      <c r="DU294" s="64"/>
      <c r="DV294" s="64"/>
      <c r="DW294" s="64"/>
      <c r="DX294" s="64"/>
      <c r="DY294" s="64"/>
      <c r="DZ294" s="64"/>
      <c r="EA294" s="64"/>
      <c r="EB294" s="64"/>
      <c r="EC294" s="64"/>
      <c r="ED294" s="64"/>
    </row>
    <row r="295" spans="1:134" ht="15.75" customHeight="1">
      <c r="A295" s="65" t="s">
        <v>55</v>
      </c>
      <c r="B295" s="65" t="s">
        <v>412</v>
      </c>
      <c r="C295" s="65" t="s">
        <v>825</v>
      </c>
      <c r="D295" s="65" t="str">
        <f t="shared" si="1"/>
        <v>RB</v>
      </c>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c r="BU295" s="64"/>
      <c r="BV295" s="64"/>
      <c r="BW295" s="64"/>
      <c r="BX295" s="64"/>
      <c r="BY295" s="64"/>
      <c r="BZ295" s="64"/>
      <c r="CA295" s="64"/>
      <c r="CB295" s="64"/>
      <c r="CC295" s="64"/>
      <c r="CD295" s="64"/>
      <c r="CE295" s="64"/>
      <c r="CF295" s="64"/>
      <c r="CG295" s="64"/>
      <c r="CH295" s="64"/>
      <c r="CI295" s="64"/>
      <c r="CJ295" s="64"/>
      <c r="CK295" s="64"/>
      <c r="CL295" s="64"/>
      <c r="CM295" s="64"/>
      <c r="CN295" s="64"/>
      <c r="CO295" s="64"/>
      <c r="CP295" s="64"/>
      <c r="CQ295" s="64"/>
      <c r="CR295" s="64"/>
      <c r="CS295" s="64"/>
      <c r="CT295" s="64"/>
      <c r="CU295" s="64"/>
      <c r="CV295" s="64"/>
      <c r="CW295" s="64"/>
      <c r="CX295" s="64"/>
      <c r="CY295" s="64"/>
      <c r="CZ295" s="64"/>
      <c r="DA295" s="64"/>
      <c r="DB295" s="64"/>
      <c r="DC295" s="64"/>
      <c r="DD295" s="64"/>
      <c r="DE295" s="64"/>
      <c r="DF295" s="64"/>
      <c r="DG295" s="64"/>
      <c r="DH295" s="64"/>
      <c r="DI295" s="64"/>
      <c r="DJ295" s="64"/>
      <c r="DK295" s="64"/>
      <c r="DL295" s="64"/>
      <c r="DM295" s="64"/>
      <c r="DN295" s="64"/>
      <c r="DO295" s="64"/>
      <c r="DP295" s="64"/>
      <c r="DQ295" s="64"/>
      <c r="DR295" s="64"/>
      <c r="DS295" s="64"/>
      <c r="DT295" s="64"/>
      <c r="DU295" s="64"/>
      <c r="DV295" s="64"/>
      <c r="DW295" s="64"/>
      <c r="DX295" s="64"/>
      <c r="DY295" s="64"/>
      <c r="DZ295" s="64"/>
      <c r="EA295" s="64"/>
      <c r="EB295" s="64"/>
      <c r="EC295" s="64"/>
      <c r="ED295" s="64"/>
    </row>
    <row r="296" spans="1:134" ht="15.75" customHeight="1">
      <c r="A296" s="65" t="s">
        <v>826</v>
      </c>
      <c r="B296" s="65" t="s">
        <v>392</v>
      </c>
      <c r="C296" s="65" t="s">
        <v>827</v>
      </c>
      <c r="D296" s="65" t="str">
        <f t="shared" si="1"/>
        <v>QB</v>
      </c>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c r="BU296" s="64"/>
      <c r="BV296" s="64"/>
      <c r="BW296" s="64"/>
      <c r="BX296" s="64"/>
      <c r="BY296" s="64"/>
      <c r="BZ296" s="64"/>
      <c r="CA296" s="64"/>
      <c r="CB296" s="64"/>
      <c r="CC296" s="64"/>
      <c r="CD296" s="64"/>
      <c r="CE296" s="64"/>
      <c r="CF296" s="64"/>
      <c r="CG296" s="64"/>
      <c r="CH296" s="64"/>
      <c r="CI296" s="64"/>
      <c r="CJ296" s="64"/>
      <c r="CK296" s="64"/>
      <c r="CL296" s="64"/>
      <c r="CM296" s="64"/>
      <c r="CN296" s="64"/>
      <c r="CO296" s="64"/>
      <c r="CP296" s="64"/>
      <c r="CQ296" s="64"/>
      <c r="CR296" s="64"/>
      <c r="CS296" s="64"/>
      <c r="CT296" s="64"/>
      <c r="CU296" s="64"/>
      <c r="CV296" s="64"/>
      <c r="CW296" s="64"/>
      <c r="CX296" s="64"/>
      <c r="CY296" s="64"/>
      <c r="CZ296" s="64"/>
      <c r="DA296" s="64"/>
      <c r="DB296" s="64"/>
      <c r="DC296" s="64"/>
      <c r="DD296" s="64"/>
      <c r="DE296" s="64"/>
      <c r="DF296" s="64"/>
      <c r="DG296" s="64"/>
      <c r="DH296" s="64"/>
      <c r="DI296" s="64"/>
      <c r="DJ296" s="64"/>
      <c r="DK296" s="64"/>
      <c r="DL296" s="64"/>
      <c r="DM296" s="64"/>
      <c r="DN296" s="64"/>
      <c r="DO296" s="64"/>
      <c r="DP296" s="64"/>
      <c r="DQ296" s="64"/>
      <c r="DR296" s="64"/>
      <c r="DS296" s="64"/>
      <c r="DT296" s="64"/>
      <c r="DU296" s="64"/>
      <c r="DV296" s="64"/>
      <c r="DW296" s="64"/>
      <c r="DX296" s="64"/>
      <c r="DY296" s="64"/>
      <c r="DZ296" s="64"/>
      <c r="EA296" s="64"/>
      <c r="EB296" s="64"/>
      <c r="EC296" s="64"/>
      <c r="ED296" s="64"/>
    </row>
    <row r="297" spans="1:134" ht="15.75" customHeight="1">
      <c r="A297" s="65" t="s">
        <v>175</v>
      </c>
      <c r="B297" s="65" t="s">
        <v>388</v>
      </c>
      <c r="C297" s="65" t="s">
        <v>828</v>
      </c>
      <c r="D297" s="65" t="str">
        <f t="shared" si="1"/>
        <v>WR</v>
      </c>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c r="BU297" s="64"/>
      <c r="BV297" s="64"/>
      <c r="BW297" s="64"/>
      <c r="BX297" s="64"/>
      <c r="BY297" s="64"/>
      <c r="BZ297" s="64"/>
      <c r="CA297" s="64"/>
      <c r="CB297" s="64"/>
      <c r="CC297" s="64"/>
      <c r="CD297" s="64"/>
      <c r="CE297" s="64"/>
      <c r="CF297" s="64"/>
      <c r="CG297" s="64"/>
      <c r="CH297" s="64"/>
      <c r="CI297" s="64"/>
      <c r="CJ297" s="64"/>
      <c r="CK297" s="64"/>
      <c r="CL297" s="64"/>
      <c r="CM297" s="64"/>
      <c r="CN297" s="64"/>
      <c r="CO297" s="64"/>
      <c r="CP297" s="64"/>
      <c r="CQ297" s="64"/>
      <c r="CR297" s="64"/>
      <c r="CS297" s="64"/>
      <c r="CT297" s="64"/>
      <c r="CU297" s="64"/>
      <c r="CV297" s="64"/>
      <c r="CW297" s="64"/>
      <c r="CX297" s="64"/>
      <c r="CY297" s="64"/>
      <c r="CZ297" s="64"/>
      <c r="DA297" s="64"/>
      <c r="DB297" s="64"/>
      <c r="DC297" s="64"/>
      <c r="DD297" s="64"/>
      <c r="DE297" s="64"/>
      <c r="DF297" s="64"/>
      <c r="DG297" s="64"/>
      <c r="DH297" s="64"/>
      <c r="DI297" s="64"/>
      <c r="DJ297" s="64"/>
      <c r="DK297" s="64"/>
      <c r="DL297" s="64"/>
      <c r="DM297" s="64"/>
      <c r="DN297" s="64"/>
      <c r="DO297" s="64"/>
      <c r="DP297" s="64"/>
      <c r="DQ297" s="64"/>
      <c r="DR297" s="64"/>
      <c r="DS297" s="64"/>
      <c r="DT297" s="64"/>
      <c r="DU297" s="64"/>
      <c r="DV297" s="64"/>
      <c r="DW297" s="64"/>
      <c r="DX297" s="64"/>
      <c r="DY297" s="64"/>
      <c r="DZ297" s="64"/>
      <c r="EA297" s="64"/>
      <c r="EB297" s="64"/>
      <c r="EC297" s="64"/>
      <c r="ED297" s="64"/>
    </row>
    <row r="298" spans="1:134" ht="15.75" customHeight="1">
      <c r="A298" s="65" t="s">
        <v>829</v>
      </c>
      <c r="B298" s="65" t="s">
        <v>386</v>
      </c>
      <c r="C298" s="65" t="s">
        <v>830</v>
      </c>
      <c r="D298" s="65" t="str">
        <f t="shared" si="1"/>
        <v>WR</v>
      </c>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c r="BU298" s="64"/>
      <c r="BV298" s="64"/>
      <c r="BW298" s="64"/>
      <c r="BX298" s="64"/>
      <c r="BY298" s="64"/>
      <c r="BZ298" s="64"/>
      <c r="CA298" s="64"/>
      <c r="CB298" s="64"/>
      <c r="CC298" s="64"/>
      <c r="CD298" s="64"/>
      <c r="CE298" s="64"/>
      <c r="CF298" s="64"/>
      <c r="CG298" s="64"/>
      <c r="CH298" s="64"/>
      <c r="CI298" s="64"/>
      <c r="CJ298" s="64"/>
      <c r="CK298" s="64"/>
      <c r="CL298" s="64"/>
      <c r="CM298" s="64"/>
      <c r="CN298" s="64"/>
      <c r="CO298" s="64"/>
      <c r="CP298" s="64"/>
      <c r="CQ298" s="64"/>
      <c r="CR298" s="64"/>
      <c r="CS298" s="64"/>
      <c r="CT298" s="64"/>
      <c r="CU298" s="64"/>
      <c r="CV298" s="64"/>
      <c r="CW298" s="64"/>
      <c r="CX298" s="64"/>
      <c r="CY298" s="64"/>
      <c r="CZ298" s="64"/>
      <c r="DA298" s="64"/>
      <c r="DB298" s="64"/>
      <c r="DC298" s="64"/>
      <c r="DD298" s="64"/>
      <c r="DE298" s="64"/>
      <c r="DF298" s="64"/>
      <c r="DG298" s="64"/>
      <c r="DH298" s="64"/>
      <c r="DI298" s="64"/>
      <c r="DJ298" s="64"/>
      <c r="DK298" s="64"/>
      <c r="DL298" s="64"/>
      <c r="DM298" s="64"/>
      <c r="DN298" s="64"/>
      <c r="DO298" s="64"/>
      <c r="DP298" s="64"/>
      <c r="DQ298" s="64"/>
      <c r="DR298" s="64"/>
      <c r="DS298" s="64"/>
      <c r="DT298" s="64"/>
      <c r="DU298" s="64"/>
      <c r="DV298" s="64"/>
      <c r="DW298" s="64"/>
      <c r="DX298" s="64"/>
      <c r="DY298" s="64"/>
      <c r="DZ298" s="64"/>
      <c r="EA298" s="64"/>
      <c r="EB298" s="64"/>
      <c r="EC298" s="64"/>
      <c r="ED298" s="64"/>
    </row>
    <row r="299" spans="1:134" ht="15.75" customHeight="1">
      <c r="A299" s="65" t="s">
        <v>831</v>
      </c>
      <c r="B299" s="65" t="s">
        <v>398</v>
      </c>
      <c r="C299" s="65" t="s">
        <v>832</v>
      </c>
      <c r="D299" s="65" t="str">
        <f t="shared" si="1"/>
        <v>RB</v>
      </c>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c r="BU299" s="64"/>
      <c r="BV299" s="64"/>
      <c r="BW299" s="64"/>
      <c r="BX299" s="64"/>
      <c r="BY299" s="64"/>
      <c r="BZ299" s="64"/>
      <c r="CA299" s="64"/>
      <c r="CB299" s="64"/>
      <c r="CC299" s="64"/>
      <c r="CD299" s="64"/>
      <c r="CE299" s="64"/>
      <c r="CF299" s="64"/>
      <c r="CG299" s="64"/>
      <c r="CH299" s="64"/>
      <c r="CI299" s="64"/>
      <c r="CJ299" s="64"/>
      <c r="CK299" s="64"/>
      <c r="CL299" s="64"/>
      <c r="CM299" s="64"/>
      <c r="CN299" s="64"/>
      <c r="CO299" s="64"/>
      <c r="CP299" s="64"/>
      <c r="CQ299" s="64"/>
      <c r="CR299" s="64"/>
      <c r="CS299" s="64"/>
      <c r="CT299" s="64"/>
      <c r="CU299" s="64"/>
      <c r="CV299" s="64"/>
      <c r="CW299" s="64"/>
      <c r="CX299" s="64"/>
      <c r="CY299" s="64"/>
      <c r="CZ299" s="64"/>
      <c r="DA299" s="64"/>
      <c r="DB299" s="64"/>
      <c r="DC299" s="64"/>
      <c r="DD299" s="64"/>
      <c r="DE299" s="64"/>
      <c r="DF299" s="64"/>
      <c r="DG299" s="64"/>
      <c r="DH299" s="64"/>
      <c r="DI299" s="64"/>
      <c r="DJ299" s="64"/>
      <c r="DK299" s="64"/>
      <c r="DL299" s="64"/>
      <c r="DM299" s="64"/>
      <c r="DN299" s="64"/>
      <c r="DO299" s="64"/>
      <c r="DP299" s="64"/>
      <c r="DQ299" s="64"/>
      <c r="DR299" s="64"/>
      <c r="DS299" s="64"/>
      <c r="DT299" s="64"/>
      <c r="DU299" s="64"/>
      <c r="DV299" s="64"/>
      <c r="DW299" s="64"/>
      <c r="DX299" s="64"/>
      <c r="DY299" s="64"/>
      <c r="DZ299" s="64"/>
      <c r="EA299" s="64"/>
      <c r="EB299" s="64"/>
      <c r="EC299" s="64"/>
      <c r="ED299" s="64"/>
    </row>
    <row r="300" spans="1:134" ht="15.75" customHeight="1">
      <c r="A300" s="65" t="s">
        <v>138</v>
      </c>
      <c r="B300" s="65" t="s">
        <v>388</v>
      </c>
      <c r="C300" s="65" t="s">
        <v>833</v>
      </c>
      <c r="D300" s="65" t="str">
        <f t="shared" si="1"/>
        <v>WR</v>
      </c>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c r="BU300" s="64"/>
      <c r="BV300" s="64"/>
      <c r="BW300" s="64"/>
      <c r="BX300" s="64"/>
      <c r="BY300" s="64"/>
      <c r="BZ300" s="64"/>
      <c r="CA300" s="64"/>
      <c r="CB300" s="64"/>
      <c r="CC300" s="64"/>
      <c r="CD300" s="64"/>
      <c r="CE300" s="64"/>
      <c r="CF300" s="64"/>
      <c r="CG300" s="64"/>
      <c r="CH300" s="64"/>
      <c r="CI300" s="64"/>
      <c r="CJ300" s="64"/>
      <c r="CK300" s="64"/>
      <c r="CL300" s="64"/>
      <c r="CM300" s="64"/>
      <c r="CN300" s="64"/>
      <c r="CO300" s="64"/>
      <c r="CP300" s="64"/>
      <c r="CQ300" s="64"/>
      <c r="CR300" s="64"/>
      <c r="CS300" s="64"/>
      <c r="CT300" s="64"/>
      <c r="CU300" s="64"/>
      <c r="CV300" s="64"/>
      <c r="CW300" s="64"/>
      <c r="CX300" s="64"/>
      <c r="CY300" s="64"/>
      <c r="CZ300" s="64"/>
      <c r="DA300" s="64"/>
      <c r="DB300" s="64"/>
      <c r="DC300" s="64"/>
      <c r="DD300" s="64"/>
      <c r="DE300" s="64"/>
      <c r="DF300" s="64"/>
      <c r="DG300" s="64"/>
      <c r="DH300" s="64"/>
      <c r="DI300" s="64"/>
      <c r="DJ300" s="64"/>
      <c r="DK300" s="64"/>
      <c r="DL300" s="64"/>
      <c r="DM300" s="64"/>
      <c r="DN300" s="64"/>
      <c r="DO300" s="64"/>
      <c r="DP300" s="64"/>
      <c r="DQ300" s="64"/>
      <c r="DR300" s="64"/>
      <c r="DS300" s="64"/>
      <c r="DT300" s="64"/>
      <c r="DU300" s="64"/>
      <c r="DV300" s="64"/>
      <c r="DW300" s="64"/>
      <c r="DX300" s="64"/>
      <c r="DY300" s="64"/>
      <c r="DZ300" s="64"/>
      <c r="EA300" s="64"/>
      <c r="EB300" s="64"/>
      <c r="EC300" s="64"/>
      <c r="ED300" s="64"/>
    </row>
    <row r="301" spans="1:134" ht="15.75" customHeight="1">
      <c r="A301" s="65" t="s">
        <v>834</v>
      </c>
      <c r="B301" s="65" t="s">
        <v>401</v>
      </c>
      <c r="C301" s="65" t="s">
        <v>835</v>
      </c>
      <c r="D301" s="65" t="str">
        <f t="shared" si="1"/>
        <v>RB</v>
      </c>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c r="BU301" s="64"/>
      <c r="BV301" s="64"/>
      <c r="BW301" s="64"/>
      <c r="BX301" s="64"/>
      <c r="BY301" s="64"/>
      <c r="BZ301" s="64"/>
      <c r="CA301" s="64"/>
      <c r="CB301" s="64"/>
      <c r="CC301" s="64"/>
      <c r="CD301" s="64"/>
      <c r="CE301" s="64"/>
      <c r="CF301" s="64"/>
      <c r="CG301" s="64"/>
      <c r="CH301" s="64"/>
      <c r="CI301" s="64"/>
      <c r="CJ301" s="64"/>
      <c r="CK301" s="64"/>
      <c r="CL301" s="64"/>
      <c r="CM301" s="64"/>
      <c r="CN301" s="64"/>
      <c r="CO301" s="64"/>
      <c r="CP301" s="64"/>
      <c r="CQ301" s="64"/>
      <c r="CR301" s="64"/>
      <c r="CS301" s="64"/>
      <c r="CT301" s="64"/>
      <c r="CU301" s="64"/>
      <c r="CV301" s="64"/>
      <c r="CW301" s="64"/>
      <c r="CX301" s="64"/>
      <c r="CY301" s="64"/>
      <c r="CZ301" s="64"/>
      <c r="DA301" s="64"/>
      <c r="DB301" s="64"/>
      <c r="DC301" s="64"/>
      <c r="DD301" s="64"/>
      <c r="DE301" s="64"/>
      <c r="DF301" s="64"/>
      <c r="DG301" s="64"/>
      <c r="DH301" s="64"/>
      <c r="DI301" s="64"/>
      <c r="DJ301" s="64"/>
      <c r="DK301" s="64"/>
      <c r="DL301" s="64"/>
      <c r="DM301" s="64"/>
      <c r="DN301" s="64"/>
      <c r="DO301" s="64"/>
      <c r="DP301" s="64"/>
      <c r="DQ301" s="64"/>
      <c r="DR301" s="64"/>
      <c r="DS301" s="64"/>
      <c r="DT301" s="64"/>
      <c r="DU301" s="64"/>
      <c r="DV301" s="64"/>
      <c r="DW301" s="64"/>
      <c r="DX301" s="64"/>
      <c r="DY301" s="64"/>
      <c r="DZ301" s="64"/>
      <c r="EA301" s="64"/>
      <c r="EB301" s="64"/>
      <c r="EC301" s="64"/>
      <c r="ED301" s="64"/>
    </row>
    <row r="302" spans="1:134" ht="15.75" customHeight="1">
      <c r="A302" s="65" t="s">
        <v>275</v>
      </c>
      <c r="B302" s="65" t="s">
        <v>386</v>
      </c>
      <c r="C302" s="65" t="s">
        <v>836</v>
      </c>
      <c r="D302" s="65" t="str">
        <f t="shared" si="1"/>
        <v>QB</v>
      </c>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c r="BU302" s="64"/>
      <c r="BV302" s="64"/>
      <c r="BW302" s="64"/>
      <c r="BX302" s="64"/>
      <c r="BY302" s="64"/>
      <c r="BZ302" s="64"/>
      <c r="CA302" s="64"/>
      <c r="CB302" s="64"/>
      <c r="CC302" s="64"/>
      <c r="CD302" s="64"/>
      <c r="CE302" s="64"/>
      <c r="CF302" s="64"/>
      <c r="CG302" s="64"/>
      <c r="CH302" s="64"/>
      <c r="CI302" s="64"/>
      <c r="CJ302" s="64"/>
      <c r="CK302" s="64"/>
      <c r="CL302" s="64"/>
      <c r="CM302" s="64"/>
      <c r="CN302" s="64"/>
      <c r="CO302" s="64"/>
      <c r="CP302" s="64"/>
      <c r="CQ302" s="64"/>
      <c r="CR302" s="64"/>
      <c r="CS302" s="64"/>
      <c r="CT302" s="64"/>
      <c r="CU302" s="64"/>
      <c r="CV302" s="64"/>
      <c r="CW302" s="64"/>
      <c r="CX302" s="64"/>
      <c r="CY302" s="64"/>
      <c r="CZ302" s="64"/>
      <c r="DA302" s="64"/>
      <c r="DB302" s="64"/>
      <c r="DC302" s="64"/>
      <c r="DD302" s="64"/>
      <c r="DE302" s="64"/>
      <c r="DF302" s="64"/>
      <c r="DG302" s="64"/>
      <c r="DH302" s="64"/>
      <c r="DI302" s="64"/>
      <c r="DJ302" s="64"/>
      <c r="DK302" s="64"/>
      <c r="DL302" s="64"/>
      <c r="DM302" s="64"/>
      <c r="DN302" s="64"/>
      <c r="DO302" s="64"/>
      <c r="DP302" s="64"/>
      <c r="DQ302" s="64"/>
      <c r="DR302" s="64"/>
      <c r="DS302" s="64"/>
      <c r="DT302" s="64"/>
      <c r="DU302" s="64"/>
      <c r="DV302" s="64"/>
      <c r="DW302" s="64"/>
      <c r="DX302" s="64"/>
      <c r="DY302" s="64"/>
      <c r="DZ302" s="64"/>
      <c r="EA302" s="64"/>
      <c r="EB302" s="64"/>
      <c r="EC302" s="64"/>
      <c r="ED302" s="64"/>
    </row>
    <row r="303" spans="1:134" ht="15.75" customHeight="1">
      <c r="A303" s="65" t="s">
        <v>837</v>
      </c>
      <c r="B303" s="65" t="s">
        <v>413</v>
      </c>
      <c r="C303" s="65" t="s">
        <v>838</v>
      </c>
      <c r="D303" s="65" t="str">
        <f t="shared" si="1"/>
        <v>RB</v>
      </c>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c r="BU303" s="64"/>
      <c r="BV303" s="64"/>
      <c r="BW303" s="64"/>
      <c r="BX303" s="64"/>
      <c r="BY303" s="64"/>
      <c r="BZ303" s="64"/>
      <c r="CA303" s="64"/>
      <c r="CB303" s="64"/>
      <c r="CC303" s="64"/>
      <c r="CD303" s="64"/>
      <c r="CE303" s="64"/>
      <c r="CF303" s="64"/>
      <c r="CG303" s="64"/>
      <c r="CH303" s="64"/>
      <c r="CI303" s="64"/>
      <c r="CJ303" s="64"/>
      <c r="CK303" s="64"/>
      <c r="CL303" s="64"/>
      <c r="CM303" s="64"/>
      <c r="CN303" s="64"/>
      <c r="CO303" s="64"/>
      <c r="CP303" s="64"/>
      <c r="CQ303" s="64"/>
      <c r="CR303" s="64"/>
      <c r="CS303" s="64"/>
      <c r="CT303" s="64"/>
      <c r="CU303" s="64"/>
      <c r="CV303" s="64"/>
      <c r="CW303" s="64"/>
      <c r="CX303" s="64"/>
      <c r="CY303" s="64"/>
      <c r="CZ303" s="64"/>
      <c r="DA303" s="64"/>
      <c r="DB303" s="64"/>
      <c r="DC303" s="64"/>
      <c r="DD303" s="64"/>
      <c r="DE303" s="64"/>
      <c r="DF303" s="64"/>
      <c r="DG303" s="64"/>
      <c r="DH303" s="64"/>
      <c r="DI303" s="64"/>
      <c r="DJ303" s="64"/>
      <c r="DK303" s="64"/>
      <c r="DL303" s="64"/>
      <c r="DM303" s="64"/>
      <c r="DN303" s="64"/>
      <c r="DO303" s="64"/>
      <c r="DP303" s="64"/>
      <c r="DQ303" s="64"/>
      <c r="DR303" s="64"/>
      <c r="DS303" s="64"/>
      <c r="DT303" s="64"/>
      <c r="DU303" s="64"/>
      <c r="DV303" s="64"/>
      <c r="DW303" s="64"/>
      <c r="DX303" s="64"/>
      <c r="DY303" s="64"/>
      <c r="DZ303" s="64"/>
      <c r="EA303" s="64"/>
      <c r="EB303" s="64"/>
      <c r="EC303" s="64"/>
      <c r="ED303" s="64"/>
    </row>
    <row r="304" spans="1:134" ht="15.75" customHeight="1">
      <c r="A304" s="65" t="s">
        <v>263</v>
      </c>
      <c r="B304" s="65" t="s">
        <v>390</v>
      </c>
      <c r="C304" s="65" t="s">
        <v>839</v>
      </c>
      <c r="D304" s="65" t="str">
        <f t="shared" si="1"/>
        <v>RB</v>
      </c>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c r="BU304" s="64"/>
      <c r="BV304" s="64"/>
      <c r="BW304" s="64"/>
      <c r="BX304" s="64"/>
      <c r="BY304" s="64"/>
      <c r="BZ304" s="64"/>
      <c r="CA304" s="64"/>
      <c r="CB304" s="64"/>
      <c r="CC304" s="64"/>
      <c r="CD304" s="64"/>
      <c r="CE304" s="64"/>
      <c r="CF304" s="64"/>
      <c r="CG304" s="64"/>
      <c r="CH304" s="64"/>
      <c r="CI304" s="64"/>
      <c r="CJ304" s="64"/>
      <c r="CK304" s="64"/>
      <c r="CL304" s="64"/>
      <c r="CM304" s="64"/>
      <c r="CN304" s="64"/>
      <c r="CO304" s="64"/>
      <c r="CP304" s="64"/>
      <c r="CQ304" s="64"/>
      <c r="CR304" s="64"/>
      <c r="CS304" s="64"/>
      <c r="CT304" s="64"/>
      <c r="CU304" s="64"/>
      <c r="CV304" s="64"/>
      <c r="CW304" s="64"/>
      <c r="CX304" s="64"/>
      <c r="CY304" s="64"/>
      <c r="CZ304" s="64"/>
      <c r="DA304" s="64"/>
      <c r="DB304" s="64"/>
      <c r="DC304" s="64"/>
      <c r="DD304" s="64"/>
      <c r="DE304" s="64"/>
      <c r="DF304" s="64"/>
      <c r="DG304" s="64"/>
      <c r="DH304" s="64"/>
      <c r="DI304" s="64"/>
      <c r="DJ304" s="64"/>
      <c r="DK304" s="64"/>
      <c r="DL304" s="64"/>
      <c r="DM304" s="64"/>
      <c r="DN304" s="64"/>
      <c r="DO304" s="64"/>
      <c r="DP304" s="64"/>
      <c r="DQ304" s="64"/>
      <c r="DR304" s="64"/>
      <c r="DS304" s="64"/>
      <c r="DT304" s="64"/>
      <c r="DU304" s="64"/>
      <c r="DV304" s="64"/>
      <c r="DW304" s="64"/>
      <c r="DX304" s="64"/>
      <c r="DY304" s="64"/>
      <c r="DZ304" s="64"/>
      <c r="EA304" s="64"/>
      <c r="EB304" s="64"/>
      <c r="EC304" s="64"/>
      <c r="ED304" s="64"/>
    </row>
    <row r="305" spans="1:134" ht="15.75" customHeight="1">
      <c r="A305" s="65" t="s">
        <v>165</v>
      </c>
      <c r="B305" s="65" t="s">
        <v>386</v>
      </c>
      <c r="C305" s="65" t="s">
        <v>840</v>
      </c>
      <c r="D305" s="65" t="str">
        <f t="shared" si="1"/>
        <v>TE</v>
      </c>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c r="BU305" s="64"/>
      <c r="BV305" s="64"/>
      <c r="BW305" s="64"/>
      <c r="BX305" s="64"/>
      <c r="BY305" s="64"/>
      <c r="BZ305" s="64"/>
      <c r="CA305" s="64"/>
      <c r="CB305" s="64"/>
      <c r="CC305" s="64"/>
      <c r="CD305" s="64"/>
      <c r="CE305" s="64"/>
      <c r="CF305" s="64"/>
      <c r="CG305" s="64"/>
      <c r="CH305" s="64"/>
      <c r="CI305" s="64"/>
      <c r="CJ305" s="64"/>
      <c r="CK305" s="64"/>
      <c r="CL305" s="64"/>
      <c r="CM305" s="64"/>
      <c r="CN305" s="64"/>
      <c r="CO305" s="64"/>
      <c r="CP305" s="64"/>
      <c r="CQ305" s="64"/>
      <c r="CR305" s="64"/>
      <c r="CS305" s="64"/>
      <c r="CT305" s="64"/>
      <c r="CU305" s="64"/>
      <c r="CV305" s="64"/>
      <c r="CW305" s="64"/>
      <c r="CX305" s="64"/>
      <c r="CY305" s="64"/>
      <c r="CZ305" s="64"/>
      <c r="DA305" s="64"/>
      <c r="DB305" s="64"/>
      <c r="DC305" s="64"/>
      <c r="DD305" s="64"/>
      <c r="DE305" s="64"/>
      <c r="DF305" s="64"/>
      <c r="DG305" s="64"/>
      <c r="DH305" s="64"/>
      <c r="DI305" s="64"/>
      <c r="DJ305" s="64"/>
      <c r="DK305" s="64"/>
      <c r="DL305" s="64"/>
      <c r="DM305" s="64"/>
      <c r="DN305" s="64"/>
      <c r="DO305" s="64"/>
      <c r="DP305" s="64"/>
      <c r="DQ305" s="64"/>
      <c r="DR305" s="64"/>
      <c r="DS305" s="64"/>
      <c r="DT305" s="64"/>
      <c r="DU305" s="64"/>
      <c r="DV305" s="64"/>
      <c r="DW305" s="64"/>
      <c r="DX305" s="64"/>
      <c r="DY305" s="64"/>
      <c r="DZ305" s="64"/>
      <c r="EA305" s="64"/>
      <c r="EB305" s="64"/>
      <c r="EC305" s="64"/>
      <c r="ED305" s="64"/>
    </row>
    <row r="306" spans="1:134" ht="15.75" customHeight="1">
      <c r="A306" s="65" t="s">
        <v>225</v>
      </c>
      <c r="B306" s="65" t="s">
        <v>406</v>
      </c>
      <c r="C306" s="65" t="s">
        <v>841</v>
      </c>
      <c r="D306" s="65" t="str">
        <f t="shared" si="1"/>
        <v>WR</v>
      </c>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c r="BU306" s="64"/>
      <c r="BV306" s="64"/>
      <c r="BW306" s="64"/>
      <c r="BX306" s="64"/>
      <c r="BY306" s="64"/>
      <c r="BZ306" s="64"/>
      <c r="CA306" s="64"/>
      <c r="CB306" s="64"/>
      <c r="CC306" s="64"/>
      <c r="CD306" s="64"/>
      <c r="CE306" s="64"/>
      <c r="CF306" s="64"/>
      <c r="CG306" s="64"/>
      <c r="CH306" s="64"/>
      <c r="CI306" s="64"/>
      <c r="CJ306" s="64"/>
      <c r="CK306" s="64"/>
      <c r="CL306" s="64"/>
      <c r="CM306" s="64"/>
      <c r="CN306" s="64"/>
      <c r="CO306" s="64"/>
      <c r="CP306" s="64"/>
      <c r="CQ306" s="64"/>
      <c r="CR306" s="64"/>
      <c r="CS306" s="64"/>
      <c r="CT306" s="64"/>
      <c r="CU306" s="64"/>
      <c r="CV306" s="64"/>
      <c r="CW306" s="64"/>
      <c r="CX306" s="64"/>
      <c r="CY306" s="64"/>
      <c r="CZ306" s="64"/>
      <c r="DA306" s="64"/>
      <c r="DB306" s="64"/>
      <c r="DC306" s="64"/>
      <c r="DD306" s="64"/>
      <c r="DE306" s="64"/>
      <c r="DF306" s="64"/>
      <c r="DG306" s="64"/>
      <c r="DH306" s="64"/>
      <c r="DI306" s="64"/>
      <c r="DJ306" s="64"/>
      <c r="DK306" s="64"/>
      <c r="DL306" s="64"/>
      <c r="DM306" s="64"/>
      <c r="DN306" s="64"/>
      <c r="DO306" s="64"/>
      <c r="DP306" s="64"/>
      <c r="DQ306" s="64"/>
      <c r="DR306" s="64"/>
      <c r="DS306" s="64"/>
      <c r="DT306" s="64"/>
      <c r="DU306" s="64"/>
      <c r="DV306" s="64"/>
      <c r="DW306" s="64"/>
      <c r="DX306" s="64"/>
      <c r="DY306" s="64"/>
      <c r="DZ306" s="64"/>
      <c r="EA306" s="64"/>
      <c r="EB306" s="64"/>
      <c r="EC306" s="64"/>
      <c r="ED306" s="64"/>
    </row>
    <row r="307" spans="1:134" ht="15.75" customHeight="1">
      <c r="A307" s="65" t="s">
        <v>842</v>
      </c>
      <c r="B307" s="65" t="s">
        <v>410</v>
      </c>
      <c r="C307" s="65" t="s">
        <v>843</v>
      </c>
      <c r="D307" s="65" t="str">
        <f t="shared" si="1"/>
        <v>TE</v>
      </c>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c r="BU307" s="64"/>
      <c r="BV307" s="64"/>
      <c r="BW307" s="64"/>
      <c r="BX307" s="64"/>
      <c r="BY307" s="64"/>
      <c r="BZ307" s="64"/>
      <c r="CA307" s="64"/>
      <c r="CB307" s="64"/>
      <c r="CC307" s="64"/>
      <c r="CD307" s="64"/>
      <c r="CE307" s="64"/>
      <c r="CF307" s="64"/>
      <c r="CG307" s="64"/>
      <c r="CH307" s="64"/>
      <c r="CI307" s="64"/>
      <c r="CJ307" s="64"/>
      <c r="CK307" s="64"/>
      <c r="CL307" s="64"/>
      <c r="CM307" s="64"/>
      <c r="CN307" s="64"/>
      <c r="CO307" s="64"/>
      <c r="CP307" s="64"/>
      <c r="CQ307" s="64"/>
      <c r="CR307" s="64"/>
      <c r="CS307" s="64"/>
      <c r="CT307" s="64"/>
      <c r="CU307" s="64"/>
      <c r="CV307" s="64"/>
      <c r="CW307" s="64"/>
      <c r="CX307" s="64"/>
      <c r="CY307" s="64"/>
      <c r="CZ307" s="64"/>
      <c r="DA307" s="64"/>
      <c r="DB307" s="64"/>
      <c r="DC307" s="64"/>
      <c r="DD307" s="64"/>
      <c r="DE307" s="64"/>
      <c r="DF307" s="64"/>
      <c r="DG307" s="64"/>
      <c r="DH307" s="64"/>
      <c r="DI307" s="64"/>
      <c r="DJ307" s="64"/>
      <c r="DK307" s="64"/>
      <c r="DL307" s="64"/>
      <c r="DM307" s="64"/>
      <c r="DN307" s="64"/>
      <c r="DO307" s="64"/>
      <c r="DP307" s="64"/>
      <c r="DQ307" s="64"/>
      <c r="DR307" s="64"/>
      <c r="DS307" s="64"/>
      <c r="DT307" s="64"/>
      <c r="DU307" s="64"/>
      <c r="DV307" s="64"/>
      <c r="DW307" s="64"/>
      <c r="DX307" s="64"/>
      <c r="DY307" s="64"/>
      <c r="DZ307" s="64"/>
      <c r="EA307" s="64"/>
      <c r="EB307" s="64"/>
      <c r="EC307" s="64"/>
      <c r="ED307" s="64"/>
    </row>
    <row r="308" spans="1:134" ht="15.75" customHeight="1">
      <c r="A308" s="65" t="s">
        <v>146</v>
      </c>
      <c r="B308" s="65" t="s">
        <v>385</v>
      </c>
      <c r="C308" s="65" t="s">
        <v>844</v>
      </c>
      <c r="D308" s="65" t="str">
        <f t="shared" si="1"/>
        <v>QB</v>
      </c>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c r="BU308" s="64"/>
      <c r="BV308" s="64"/>
      <c r="BW308" s="64"/>
      <c r="BX308" s="64"/>
      <c r="BY308" s="64"/>
      <c r="BZ308" s="64"/>
      <c r="CA308" s="64"/>
      <c r="CB308" s="64"/>
      <c r="CC308" s="64"/>
      <c r="CD308" s="64"/>
      <c r="CE308" s="64"/>
      <c r="CF308" s="64"/>
      <c r="CG308" s="64"/>
      <c r="CH308" s="64"/>
      <c r="CI308" s="64"/>
      <c r="CJ308" s="64"/>
      <c r="CK308" s="64"/>
      <c r="CL308" s="64"/>
      <c r="CM308" s="64"/>
      <c r="CN308" s="64"/>
      <c r="CO308" s="64"/>
      <c r="CP308" s="64"/>
      <c r="CQ308" s="64"/>
      <c r="CR308" s="64"/>
      <c r="CS308" s="64"/>
      <c r="CT308" s="64"/>
      <c r="CU308" s="64"/>
      <c r="CV308" s="64"/>
      <c r="CW308" s="64"/>
      <c r="CX308" s="64"/>
      <c r="CY308" s="64"/>
      <c r="CZ308" s="64"/>
      <c r="DA308" s="64"/>
      <c r="DB308" s="64"/>
      <c r="DC308" s="64"/>
      <c r="DD308" s="64"/>
      <c r="DE308" s="64"/>
      <c r="DF308" s="64"/>
      <c r="DG308" s="64"/>
      <c r="DH308" s="64"/>
      <c r="DI308" s="64"/>
      <c r="DJ308" s="64"/>
      <c r="DK308" s="64"/>
      <c r="DL308" s="64"/>
      <c r="DM308" s="64"/>
      <c r="DN308" s="64"/>
      <c r="DO308" s="64"/>
      <c r="DP308" s="64"/>
      <c r="DQ308" s="64"/>
      <c r="DR308" s="64"/>
      <c r="DS308" s="64"/>
      <c r="DT308" s="64"/>
      <c r="DU308" s="64"/>
      <c r="DV308" s="64"/>
      <c r="DW308" s="64"/>
      <c r="DX308" s="64"/>
      <c r="DY308" s="64"/>
      <c r="DZ308" s="64"/>
      <c r="EA308" s="64"/>
      <c r="EB308" s="64"/>
      <c r="EC308" s="64"/>
      <c r="ED308" s="64"/>
    </row>
    <row r="309" spans="1:134" ht="15.75" customHeight="1">
      <c r="A309" s="65" t="s">
        <v>61</v>
      </c>
      <c r="B309" s="65" t="s">
        <v>402</v>
      </c>
      <c r="C309" s="65" t="s">
        <v>845</v>
      </c>
      <c r="D309" s="65" t="str">
        <f t="shared" si="1"/>
        <v>RB</v>
      </c>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c r="BU309" s="64"/>
      <c r="BV309" s="64"/>
      <c r="BW309" s="64"/>
      <c r="BX309" s="64"/>
      <c r="BY309" s="64"/>
      <c r="BZ309" s="64"/>
      <c r="CA309" s="64"/>
      <c r="CB309" s="64"/>
      <c r="CC309" s="64"/>
      <c r="CD309" s="64"/>
      <c r="CE309" s="64"/>
      <c r="CF309" s="64"/>
      <c r="CG309" s="64"/>
      <c r="CH309" s="64"/>
      <c r="CI309" s="64"/>
      <c r="CJ309" s="64"/>
      <c r="CK309" s="64"/>
      <c r="CL309" s="64"/>
      <c r="CM309" s="64"/>
      <c r="CN309" s="64"/>
      <c r="CO309" s="64"/>
      <c r="CP309" s="64"/>
      <c r="CQ309" s="64"/>
      <c r="CR309" s="64"/>
      <c r="CS309" s="64"/>
      <c r="CT309" s="64"/>
      <c r="CU309" s="64"/>
      <c r="CV309" s="64"/>
      <c r="CW309" s="64"/>
      <c r="CX309" s="64"/>
      <c r="CY309" s="64"/>
      <c r="CZ309" s="64"/>
      <c r="DA309" s="64"/>
      <c r="DB309" s="64"/>
      <c r="DC309" s="64"/>
      <c r="DD309" s="64"/>
      <c r="DE309" s="64"/>
      <c r="DF309" s="64"/>
      <c r="DG309" s="64"/>
      <c r="DH309" s="64"/>
      <c r="DI309" s="64"/>
      <c r="DJ309" s="64"/>
      <c r="DK309" s="64"/>
      <c r="DL309" s="64"/>
      <c r="DM309" s="64"/>
      <c r="DN309" s="64"/>
      <c r="DO309" s="64"/>
      <c r="DP309" s="64"/>
      <c r="DQ309" s="64"/>
      <c r="DR309" s="64"/>
      <c r="DS309" s="64"/>
      <c r="DT309" s="64"/>
      <c r="DU309" s="64"/>
      <c r="DV309" s="64"/>
      <c r="DW309" s="64"/>
      <c r="DX309" s="64"/>
      <c r="DY309" s="64"/>
      <c r="DZ309" s="64"/>
      <c r="EA309" s="64"/>
      <c r="EB309" s="64"/>
      <c r="EC309" s="64"/>
      <c r="ED309" s="64"/>
    </row>
    <row r="310" spans="1:134" ht="15.75" customHeight="1">
      <c r="A310" s="65" t="s">
        <v>38</v>
      </c>
      <c r="B310" s="65" t="s">
        <v>401</v>
      </c>
      <c r="C310" s="65" t="s">
        <v>846</v>
      </c>
      <c r="D310" s="65" t="str">
        <f t="shared" si="1"/>
        <v>WR</v>
      </c>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c r="BU310" s="64"/>
      <c r="BV310" s="64"/>
      <c r="BW310" s="64"/>
      <c r="BX310" s="64"/>
      <c r="BY310" s="64"/>
      <c r="BZ310" s="64"/>
      <c r="CA310" s="64"/>
      <c r="CB310" s="64"/>
      <c r="CC310" s="64"/>
      <c r="CD310" s="64"/>
      <c r="CE310" s="64"/>
      <c r="CF310" s="64"/>
      <c r="CG310" s="64"/>
      <c r="CH310" s="64"/>
      <c r="CI310" s="64"/>
      <c r="CJ310" s="64"/>
      <c r="CK310" s="64"/>
      <c r="CL310" s="64"/>
      <c r="CM310" s="64"/>
      <c r="CN310" s="64"/>
      <c r="CO310" s="64"/>
      <c r="CP310" s="64"/>
      <c r="CQ310" s="64"/>
      <c r="CR310" s="64"/>
      <c r="CS310" s="64"/>
      <c r="CT310" s="64"/>
      <c r="CU310" s="64"/>
      <c r="CV310" s="64"/>
      <c r="CW310" s="64"/>
      <c r="CX310" s="64"/>
      <c r="CY310" s="64"/>
      <c r="CZ310" s="64"/>
      <c r="DA310" s="64"/>
      <c r="DB310" s="64"/>
      <c r="DC310" s="64"/>
      <c r="DD310" s="64"/>
      <c r="DE310" s="64"/>
      <c r="DF310" s="64"/>
      <c r="DG310" s="64"/>
      <c r="DH310" s="64"/>
      <c r="DI310" s="64"/>
      <c r="DJ310" s="64"/>
      <c r="DK310" s="64"/>
      <c r="DL310" s="64"/>
      <c r="DM310" s="64"/>
      <c r="DN310" s="64"/>
      <c r="DO310" s="64"/>
      <c r="DP310" s="64"/>
      <c r="DQ310" s="64"/>
      <c r="DR310" s="64"/>
      <c r="DS310" s="64"/>
      <c r="DT310" s="64"/>
      <c r="DU310" s="64"/>
      <c r="DV310" s="64"/>
      <c r="DW310" s="64"/>
      <c r="DX310" s="64"/>
      <c r="DY310" s="64"/>
      <c r="DZ310" s="64"/>
      <c r="EA310" s="64"/>
      <c r="EB310" s="64"/>
      <c r="EC310" s="64"/>
      <c r="ED310" s="64"/>
    </row>
    <row r="311" spans="1:134" ht="15.75" customHeight="1">
      <c r="A311" s="65" t="s">
        <v>50</v>
      </c>
      <c r="B311" s="65" t="s">
        <v>387</v>
      </c>
      <c r="C311" s="65" t="s">
        <v>847</v>
      </c>
      <c r="D311" s="65" t="str">
        <f t="shared" si="1"/>
        <v>QB</v>
      </c>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c r="BU311" s="64"/>
      <c r="BV311" s="64"/>
      <c r="BW311" s="64"/>
      <c r="BX311" s="64"/>
      <c r="BY311" s="64"/>
      <c r="BZ311" s="64"/>
      <c r="CA311" s="64"/>
      <c r="CB311" s="64"/>
      <c r="CC311" s="64"/>
      <c r="CD311" s="64"/>
      <c r="CE311" s="64"/>
      <c r="CF311" s="64"/>
      <c r="CG311" s="64"/>
      <c r="CH311" s="64"/>
      <c r="CI311" s="64"/>
      <c r="CJ311" s="64"/>
      <c r="CK311" s="64"/>
      <c r="CL311" s="64"/>
      <c r="CM311" s="64"/>
      <c r="CN311" s="64"/>
      <c r="CO311" s="64"/>
      <c r="CP311" s="64"/>
      <c r="CQ311" s="64"/>
      <c r="CR311" s="64"/>
      <c r="CS311" s="64"/>
      <c r="CT311" s="64"/>
      <c r="CU311" s="64"/>
      <c r="CV311" s="64"/>
      <c r="CW311" s="64"/>
      <c r="CX311" s="64"/>
      <c r="CY311" s="64"/>
      <c r="CZ311" s="64"/>
      <c r="DA311" s="64"/>
      <c r="DB311" s="64"/>
      <c r="DC311" s="64"/>
      <c r="DD311" s="64"/>
      <c r="DE311" s="64"/>
      <c r="DF311" s="64"/>
      <c r="DG311" s="64"/>
      <c r="DH311" s="64"/>
      <c r="DI311" s="64"/>
      <c r="DJ311" s="64"/>
      <c r="DK311" s="64"/>
      <c r="DL311" s="64"/>
      <c r="DM311" s="64"/>
      <c r="DN311" s="64"/>
      <c r="DO311" s="64"/>
      <c r="DP311" s="64"/>
      <c r="DQ311" s="64"/>
      <c r="DR311" s="64"/>
      <c r="DS311" s="64"/>
      <c r="DT311" s="64"/>
      <c r="DU311" s="64"/>
      <c r="DV311" s="64"/>
      <c r="DW311" s="64"/>
      <c r="DX311" s="64"/>
      <c r="DY311" s="64"/>
      <c r="DZ311" s="64"/>
      <c r="EA311" s="64"/>
      <c r="EB311" s="64"/>
      <c r="EC311" s="64"/>
      <c r="ED311" s="64"/>
    </row>
    <row r="312" spans="1:134" ht="15.75" customHeight="1">
      <c r="A312" s="65" t="s">
        <v>848</v>
      </c>
      <c r="B312" s="65" t="s">
        <v>403</v>
      </c>
      <c r="C312" s="65" t="s">
        <v>849</v>
      </c>
      <c r="D312" s="65" t="str">
        <f t="shared" si="1"/>
        <v>DEF</v>
      </c>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c r="BU312" s="64"/>
      <c r="BV312" s="64"/>
      <c r="BW312" s="64"/>
      <c r="BX312" s="64"/>
      <c r="BY312" s="64"/>
      <c r="BZ312" s="64"/>
      <c r="CA312" s="64"/>
      <c r="CB312" s="64"/>
      <c r="CC312" s="64"/>
      <c r="CD312" s="64"/>
      <c r="CE312" s="64"/>
      <c r="CF312" s="64"/>
      <c r="CG312" s="64"/>
      <c r="CH312" s="64"/>
      <c r="CI312" s="64"/>
      <c r="CJ312" s="64"/>
      <c r="CK312" s="64"/>
      <c r="CL312" s="64"/>
      <c r="CM312" s="64"/>
      <c r="CN312" s="64"/>
      <c r="CO312" s="64"/>
      <c r="CP312" s="64"/>
      <c r="CQ312" s="64"/>
      <c r="CR312" s="64"/>
      <c r="CS312" s="64"/>
      <c r="CT312" s="64"/>
      <c r="CU312" s="64"/>
      <c r="CV312" s="64"/>
      <c r="CW312" s="64"/>
      <c r="CX312" s="64"/>
      <c r="CY312" s="64"/>
      <c r="CZ312" s="64"/>
      <c r="DA312" s="64"/>
      <c r="DB312" s="64"/>
      <c r="DC312" s="64"/>
      <c r="DD312" s="64"/>
      <c r="DE312" s="64"/>
      <c r="DF312" s="64"/>
      <c r="DG312" s="64"/>
      <c r="DH312" s="64"/>
      <c r="DI312" s="64"/>
      <c r="DJ312" s="64"/>
      <c r="DK312" s="64"/>
      <c r="DL312" s="64"/>
      <c r="DM312" s="64"/>
      <c r="DN312" s="64"/>
      <c r="DO312" s="64"/>
      <c r="DP312" s="64"/>
      <c r="DQ312" s="64"/>
      <c r="DR312" s="64"/>
      <c r="DS312" s="64"/>
      <c r="DT312" s="64"/>
      <c r="DU312" s="64"/>
      <c r="DV312" s="64"/>
      <c r="DW312" s="64"/>
      <c r="DX312" s="64"/>
      <c r="DY312" s="64"/>
      <c r="DZ312" s="64"/>
      <c r="EA312" s="64"/>
      <c r="EB312" s="64"/>
      <c r="EC312" s="64"/>
      <c r="ED312" s="64"/>
    </row>
    <row r="313" spans="1:134" ht="15.75" customHeight="1">
      <c r="A313" s="65" t="s">
        <v>850</v>
      </c>
      <c r="B313" s="65" t="s">
        <v>399</v>
      </c>
      <c r="C313" s="65" t="s">
        <v>851</v>
      </c>
      <c r="D313" s="65" t="str">
        <f t="shared" si="1"/>
        <v>RB</v>
      </c>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c r="BU313" s="64"/>
      <c r="BV313" s="64"/>
      <c r="BW313" s="64"/>
      <c r="BX313" s="64"/>
      <c r="BY313" s="64"/>
      <c r="BZ313" s="64"/>
      <c r="CA313" s="64"/>
      <c r="CB313" s="64"/>
      <c r="CC313" s="64"/>
      <c r="CD313" s="64"/>
      <c r="CE313" s="64"/>
      <c r="CF313" s="64"/>
      <c r="CG313" s="64"/>
      <c r="CH313" s="64"/>
      <c r="CI313" s="64"/>
      <c r="CJ313" s="64"/>
      <c r="CK313" s="64"/>
      <c r="CL313" s="64"/>
      <c r="CM313" s="64"/>
      <c r="CN313" s="64"/>
      <c r="CO313" s="64"/>
      <c r="CP313" s="64"/>
      <c r="CQ313" s="64"/>
      <c r="CR313" s="64"/>
      <c r="CS313" s="64"/>
      <c r="CT313" s="64"/>
      <c r="CU313" s="64"/>
      <c r="CV313" s="64"/>
      <c r="CW313" s="64"/>
      <c r="CX313" s="64"/>
      <c r="CY313" s="64"/>
      <c r="CZ313" s="64"/>
      <c r="DA313" s="64"/>
      <c r="DB313" s="64"/>
      <c r="DC313" s="64"/>
      <c r="DD313" s="64"/>
      <c r="DE313" s="64"/>
      <c r="DF313" s="64"/>
      <c r="DG313" s="64"/>
      <c r="DH313" s="64"/>
      <c r="DI313" s="64"/>
      <c r="DJ313" s="64"/>
      <c r="DK313" s="64"/>
      <c r="DL313" s="64"/>
      <c r="DM313" s="64"/>
      <c r="DN313" s="64"/>
      <c r="DO313" s="64"/>
      <c r="DP313" s="64"/>
      <c r="DQ313" s="64"/>
      <c r="DR313" s="64"/>
      <c r="DS313" s="64"/>
      <c r="DT313" s="64"/>
      <c r="DU313" s="64"/>
      <c r="DV313" s="64"/>
      <c r="DW313" s="64"/>
      <c r="DX313" s="64"/>
      <c r="DY313" s="64"/>
      <c r="DZ313" s="64"/>
      <c r="EA313" s="64"/>
      <c r="EB313" s="64"/>
      <c r="EC313" s="64"/>
      <c r="ED313" s="64"/>
    </row>
    <row r="314" spans="1:134" ht="15.75" customHeight="1">
      <c r="A314" s="65" t="s">
        <v>256</v>
      </c>
      <c r="B314" s="65" t="s">
        <v>401</v>
      </c>
      <c r="C314" s="65" t="s">
        <v>852</v>
      </c>
      <c r="D314" s="65" t="str">
        <f t="shared" si="1"/>
        <v>DEF</v>
      </c>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c r="BU314" s="64"/>
      <c r="BV314" s="64"/>
      <c r="BW314" s="64"/>
      <c r="BX314" s="64"/>
      <c r="BY314" s="64"/>
      <c r="BZ314" s="64"/>
      <c r="CA314" s="64"/>
      <c r="CB314" s="64"/>
      <c r="CC314" s="64"/>
      <c r="CD314" s="64"/>
      <c r="CE314" s="64"/>
      <c r="CF314" s="64"/>
      <c r="CG314" s="64"/>
      <c r="CH314" s="64"/>
      <c r="CI314" s="64"/>
      <c r="CJ314" s="64"/>
      <c r="CK314" s="64"/>
      <c r="CL314" s="64"/>
      <c r="CM314" s="64"/>
      <c r="CN314" s="64"/>
      <c r="CO314" s="64"/>
      <c r="CP314" s="64"/>
      <c r="CQ314" s="64"/>
      <c r="CR314" s="64"/>
      <c r="CS314" s="64"/>
      <c r="CT314" s="64"/>
      <c r="CU314" s="64"/>
      <c r="CV314" s="64"/>
      <c r="CW314" s="64"/>
      <c r="CX314" s="64"/>
      <c r="CY314" s="64"/>
      <c r="CZ314" s="64"/>
      <c r="DA314" s="64"/>
      <c r="DB314" s="64"/>
      <c r="DC314" s="64"/>
      <c r="DD314" s="64"/>
      <c r="DE314" s="64"/>
      <c r="DF314" s="64"/>
      <c r="DG314" s="64"/>
      <c r="DH314" s="64"/>
      <c r="DI314" s="64"/>
      <c r="DJ314" s="64"/>
      <c r="DK314" s="64"/>
      <c r="DL314" s="64"/>
      <c r="DM314" s="64"/>
      <c r="DN314" s="64"/>
      <c r="DO314" s="64"/>
      <c r="DP314" s="64"/>
      <c r="DQ314" s="64"/>
      <c r="DR314" s="64"/>
      <c r="DS314" s="64"/>
      <c r="DT314" s="64"/>
      <c r="DU314" s="64"/>
      <c r="DV314" s="64"/>
      <c r="DW314" s="64"/>
      <c r="DX314" s="64"/>
      <c r="DY314" s="64"/>
      <c r="DZ314" s="64"/>
      <c r="EA314" s="64"/>
      <c r="EB314" s="64"/>
      <c r="EC314" s="64"/>
      <c r="ED314" s="64"/>
    </row>
    <row r="315" spans="1:134" ht="15.75" customHeight="1">
      <c r="A315" s="65" t="s">
        <v>272</v>
      </c>
      <c r="B315" s="65" t="s">
        <v>402</v>
      </c>
      <c r="C315" s="65" t="s">
        <v>853</v>
      </c>
      <c r="D315" s="65" t="str">
        <f t="shared" si="1"/>
        <v>DEF</v>
      </c>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c r="BU315" s="64"/>
      <c r="BV315" s="64"/>
      <c r="BW315" s="64"/>
      <c r="BX315" s="64"/>
      <c r="BY315" s="64"/>
      <c r="BZ315" s="64"/>
      <c r="CA315" s="64"/>
      <c r="CB315" s="64"/>
      <c r="CC315" s="64"/>
      <c r="CD315" s="64"/>
      <c r="CE315" s="64"/>
      <c r="CF315" s="64"/>
      <c r="CG315" s="64"/>
      <c r="CH315" s="64"/>
      <c r="CI315" s="64"/>
      <c r="CJ315" s="64"/>
      <c r="CK315" s="64"/>
      <c r="CL315" s="64"/>
      <c r="CM315" s="64"/>
      <c r="CN315" s="64"/>
      <c r="CO315" s="64"/>
      <c r="CP315" s="64"/>
      <c r="CQ315" s="64"/>
      <c r="CR315" s="64"/>
      <c r="CS315" s="64"/>
      <c r="CT315" s="64"/>
      <c r="CU315" s="64"/>
      <c r="CV315" s="64"/>
      <c r="CW315" s="64"/>
      <c r="CX315" s="64"/>
      <c r="CY315" s="64"/>
      <c r="CZ315" s="64"/>
      <c r="DA315" s="64"/>
      <c r="DB315" s="64"/>
      <c r="DC315" s="64"/>
      <c r="DD315" s="64"/>
      <c r="DE315" s="64"/>
      <c r="DF315" s="64"/>
      <c r="DG315" s="64"/>
      <c r="DH315" s="64"/>
      <c r="DI315" s="64"/>
      <c r="DJ315" s="64"/>
      <c r="DK315" s="64"/>
      <c r="DL315" s="64"/>
      <c r="DM315" s="64"/>
      <c r="DN315" s="64"/>
      <c r="DO315" s="64"/>
      <c r="DP315" s="64"/>
      <c r="DQ315" s="64"/>
      <c r="DR315" s="64"/>
      <c r="DS315" s="64"/>
      <c r="DT315" s="64"/>
      <c r="DU315" s="64"/>
      <c r="DV315" s="64"/>
      <c r="DW315" s="64"/>
      <c r="DX315" s="64"/>
      <c r="DY315" s="64"/>
      <c r="DZ315" s="64"/>
      <c r="EA315" s="64"/>
      <c r="EB315" s="64"/>
      <c r="EC315" s="64"/>
      <c r="ED315" s="64"/>
    </row>
    <row r="316" spans="1:134" ht="15.75" customHeight="1">
      <c r="A316" s="65" t="s">
        <v>854</v>
      </c>
      <c r="B316" s="65" t="s">
        <v>405</v>
      </c>
      <c r="C316" s="65" t="s">
        <v>855</v>
      </c>
      <c r="D316" s="65" t="str">
        <f t="shared" si="1"/>
        <v>WR</v>
      </c>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c r="BU316" s="64"/>
      <c r="BV316" s="64"/>
      <c r="BW316" s="64"/>
      <c r="BX316" s="64"/>
      <c r="BY316" s="64"/>
      <c r="BZ316" s="64"/>
      <c r="CA316" s="64"/>
      <c r="CB316" s="64"/>
      <c r="CC316" s="64"/>
      <c r="CD316" s="64"/>
      <c r="CE316" s="64"/>
      <c r="CF316" s="64"/>
      <c r="CG316" s="64"/>
      <c r="CH316" s="64"/>
      <c r="CI316" s="64"/>
      <c r="CJ316" s="64"/>
      <c r="CK316" s="64"/>
      <c r="CL316" s="64"/>
      <c r="CM316" s="64"/>
      <c r="CN316" s="64"/>
      <c r="CO316" s="64"/>
      <c r="CP316" s="64"/>
      <c r="CQ316" s="64"/>
      <c r="CR316" s="64"/>
      <c r="CS316" s="64"/>
      <c r="CT316" s="64"/>
      <c r="CU316" s="64"/>
      <c r="CV316" s="64"/>
      <c r="CW316" s="64"/>
      <c r="CX316" s="64"/>
      <c r="CY316" s="64"/>
      <c r="CZ316" s="64"/>
      <c r="DA316" s="64"/>
      <c r="DB316" s="64"/>
      <c r="DC316" s="64"/>
      <c r="DD316" s="64"/>
      <c r="DE316" s="64"/>
      <c r="DF316" s="64"/>
      <c r="DG316" s="64"/>
      <c r="DH316" s="64"/>
      <c r="DI316" s="64"/>
      <c r="DJ316" s="64"/>
      <c r="DK316" s="64"/>
      <c r="DL316" s="64"/>
      <c r="DM316" s="64"/>
      <c r="DN316" s="64"/>
      <c r="DO316" s="64"/>
      <c r="DP316" s="64"/>
      <c r="DQ316" s="64"/>
      <c r="DR316" s="64"/>
      <c r="DS316" s="64"/>
      <c r="DT316" s="64"/>
      <c r="DU316" s="64"/>
      <c r="DV316" s="64"/>
      <c r="DW316" s="64"/>
      <c r="DX316" s="64"/>
      <c r="DY316" s="64"/>
      <c r="DZ316" s="64"/>
      <c r="EA316" s="64"/>
      <c r="EB316" s="64"/>
      <c r="EC316" s="64"/>
      <c r="ED316" s="64"/>
    </row>
    <row r="317" spans="1:134" ht="15.75" customHeight="1">
      <c r="A317" s="65" t="s">
        <v>856</v>
      </c>
      <c r="B317" s="65" t="s">
        <v>397</v>
      </c>
      <c r="C317" s="65" t="s">
        <v>857</v>
      </c>
      <c r="D317" s="65" t="str">
        <f t="shared" si="1"/>
        <v>TE</v>
      </c>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c r="BU317" s="64"/>
      <c r="BV317" s="64"/>
      <c r="BW317" s="64"/>
      <c r="BX317" s="64"/>
      <c r="BY317" s="64"/>
      <c r="BZ317" s="64"/>
      <c r="CA317" s="64"/>
      <c r="CB317" s="64"/>
      <c r="CC317" s="64"/>
      <c r="CD317" s="64"/>
      <c r="CE317" s="64"/>
      <c r="CF317" s="64"/>
      <c r="CG317" s="64"/>
      <c r="CH317" s="64"/>
      <c r="CI317" s="64"/>
      <c r="CJ317" s="64"/>
      <c r="CK317" s="64"/>
      <c r="CL317" s="64"/>
      <c r="CM317" s="64"/>
      <c r="CN317" s="64"/>
      <c r="CO317" s="64"/>
      <c r="CP317" s="64"/>
      <c r="CQ317" s="64"/>
      <c r="CR317" s="64"/>
      <c r="CS317" s="64"/>
      <c r="CT317" s="64"/>
      <c r="CU317" s="64"/>
      <c r="CV317" s="64"/>
      <c r="CW317" s="64"/>
      <c r="CX317" s="64"/>
      <c r="CY317" s="64"/>
      <c r="CZ317" s="64"/>
      <c r="DA317" s="64"/>
      <c r="DB317" s="64"/>
      <c r="DC317" s="64"/>
      <c r="DD317" s="64"/>
      <c r="DE317" s="64"/>
      <c r="DF317" s="64"/>
      <c r="DG317" s="64"/>
      <c r="DH317" s="64"/>
      <c r="DI317" s="64"/>
      <c r="DJ317" s="64"/>
      <c r="DK317" s="64"/>
      <c r="DL317" s="64"/>
      <c r="DM317" s="64"/>
      <c r="DN317" s="64"/>
      <c r="DO317" s="64"/>
      <c r="DP317" s="64"/>
      <c r="DQ317" s="64"/>
      <c r="DR317" s="64"/>
      <c r="DS317" s="64"/>
      <c r="DT317" s="64"/>
      <c r="DU317" s="64"/>
      <c r="DV317" s="64"/>
      <c r="DW317" s="64"/>
      <c r="DX317" s="64"/>
      <c r="DY317" s="64"/>
      <c r="DZ317" s="64"/>
      <c r="EA317" s="64"/>
      <c r="EB317" s="64"/>
      <c r="EC317" s="64"/>
      <c r="ED317" s="64"/>
    </row>
    <row r="318" spans="1:134" ht="15.75" customHeight="1">
      <c r="A318" s="65" t="s">
        <v>858</v>
      </c>
      <c r="B318" s="65" t="s">
        <v>416</v>
      </c>
      <c r="C318" s="65" t="s">
        <v>859</v>
      </c>
      <c r="D318" s="65" t="str">
        <f t="shared" si="1"/>
        <v>WR</v>
      </c>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c r="BU318" s="64"/>
      <c r="BV318" s="64"/>
      <c r="BW318" s="64"/>
      <c r="BX318" s="64"/>
      <c r="BY318" s="64"/>
      <c r="BZ318" s="64"/>
      <c r="CA318" s="64"/>
      <c r="CB318" s="64"/>
      <c r="CC318" s="64"/>
      <c r="CD318" s="64"/>
      <c r="CE318" s="64"/>
      <c r="CF318" s="64"/>
      <c r="CG318" s="64"/>
      <c r="CH318" s="64"/>
      <c r="CI318" s="64"/>
      <c r="CJ318" s="64"/>
      <c r="CK318" s="64"/>
      <c r="CL318" s="64"/>
      <c r="CM318" s="64"/>
      <c r="CN318" s="64"/>
      <c r="CO318" s="64"/>
      <c r="CP318" s="64"/>
      <c r="CQ318" s="64"/>
      <c r="CR318" s="64"/>
      <c r="CS318" s="64"/>
      <c r="CT318" s="64"/>
      <c r="CU318" s="64"/>
      <c r="CV318" s="64"/>
      <c r="CW318" s="64"/>
      <c r="CX318" s="64"/>
      <c r="CY318" s="64"/>
      <c r="CZ318" s="64"/>
      <c r="DA318" s="64"/>
      <c r="DB318" s="64"/>
      <c r="DC318" s="64"/>
      <c r="DD318" s="64"/>
      <c r="DE318" s="64"/>
      <c r="DF318" s="64"/>
      <c r="DG318" s="64"/>
      <c r="DH318" s="64"/>
      <c r="DI318" s="64"/>
      <c r="DJ318" s="64"/>
      <c r="DK318" s="64"/>
      <c r="DL318" s="64"/>
      <c r="DM318" s="64"/>
      <c r="DN318" s="64"/>
      <c r="DO318" s="64"/>
      <c r="DP318" s="64"/>
      <c r="DQ318" s="64"/>
      <c r="DR318" s="64"/>
      <c r="DS318" s="64"/>
      <c r="DT318" s="64"/>
      <c r="DU318" s="64"/>
      <c r="DV318" s="64"/>
      <c r="DW318" s="64"/>
      <c r="DX318" s="64"/>
      <c r="DY318" s="64"/>
      <c r="DZ318" s="64"/>
      <c r="EA318" s="64"/>
      <c r="EB318" s="64"/>
      <c r="EC318" s="64"/>
      <c r="ED318" s="64"/>
    </row>
    <row r="319" spans="1:134" ht="15.75" customHeight="1">
      <c r="A319" s="65" t="s">
        <v>205</v>
      </c>
      <c r="B319" s="65" t="s">
        <v>396</v>
      </c>
      <c r="C319" s="65" t="s">
        <v>860</v>
      </c>
      <c r="D319" s="65" t="str">
        <f t="shared" si="1"/>
        <v>TE</v>
      </c>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c r="BU319" s="64"/>
      <c r="BV319" s="64"/>
      <c r="BW319" s="64"/>
      <c r="BX319" s="64"/>
      <c r="BY319" s="64"/>
      <c r="BZ319" s="64"/>
      <c r="CA319" s="64"/>
      <c r="CB319" s="64"/>
      <c r="CC319" s="64"/>
      <c r="CD319" s="64"/>
      <c r="CE319" s="64"/>
      <c r="CF319" s="64"/>
      <c r="CG319" s="64"/>
      <c r="CH319" s="64"/>
      <c r="CI319" s="64"/>
      <c r="CJ319" s="64"/>
      <c r="CK319" s="64"/>
      <c r="CL319" s="64"/>
      <c r="CM319" s="64"/>
      <c r="CN319" s="64"/>
      <c r="CO319" s="64"/>
      <c r="CP319" s="64"/>
      <c r="CQ319" s="64"/>
      <c r="CR319" s="64"/>
      <c r="CS319" s="64"/>
      <c r="CT319" s="64"/>
      <c r="CU319" s="64"/>
      <c r="CV319" s="64"/>
      <c r="CW319" s="64"/>
      <c r="CX319" s="64"/>
      <c r="CY319" s="64"/>
      <c r="CZ319" s="64"/>
      <c r="DA319" s="64"/>
      <c r="DB319" s="64"/>
      <c r="DC319" s="64"/>
      <c r="DD319" s="64"/>
      <c r="DE319" s="64"/>
      <c r="DF319" s="64"/>
      <c r="DG319" s="64"/>
      <c r="DH319" s="64"/>
      <c r="DI319" s="64"/>
      <c r="DJ319" s="64"/>
      <c r="DK319" s="64"/>
      <c r="DL319" s="64"/>
      <c r="DM319" s="64"/>
      <c r="DN319" s="64"/>
      <c r="DO319" s="64"/>
      <c r="DP319" s="64"/>
      <c r="DQ319" s="64"/>
      <c r="DR319" s="64"/>
      <c r="DS319" s="64"/>
      <c r="DT319" s="64"/>
      <c r="DU319" s="64"/>
      <c r="DV319" s="64"/>
      <c r="DW319" s="64"/>
      <c r="DX319" s="64"/>
      <c r="DY319" s="64"/>
      <c r="DZ319" s="64"/>
      <c r="EA319" s="64"/>
      <c r="EB319" s="64"/>
      <c r="EC319" s="64"/>
      <c r="ED319" s="64"/>
    </row>
    <row r="320" spans="1:134" ht="15.75" customHeight="1">
      <c r="A320" s="65" t="s">
        <v>861</v>
      </c>
      <c r="B320" s="65" t="s">
        <v>393</v>
      </c>
      <c r="C320" s="65" t="s">
        <v>862</v>
      </c>
      <c r="D320" s="65" t="str">
        <f t="shared" si="1"/>
        <v>TE</v>
      </c>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c r="BU320" s="64"/>
      <c r="BV320" s="64"/>
      <c r="BW320" s="64"/>
      <c r="BX320" s="64"/>
      <c r="BY320" s="64"/>
      <c r="BZ320" s="64"/>
      <c r="CA320" s="64"/>
      <c r="CB320" s="64"/>
      <c r="CC320" s="64"/>
      <c r="CD320" s="64"/>
      <c r="CE320" s="64"/>
      <c r="CF320" s="64"/>
      <c r="CG320" s="64"/>
      <c r="CH320" s="64"/>
      <c r="CI320" s="64"/>
      <c r="CJ320" s="64"/>
      <c r="CK320" s="64"/>
      <c r="CL320" s="64"/>
      <c r="CM320" s="64"/>
      <c r="CN320" s="64"/>
      <c r="CO320" s="64"/>
      <c r="CP320" s="64"/>
      <c r="CQ320" s="64"/>
      <c r="CR320" s="64"/>
      <c r="CS320" s="64"/>
      <c r="CT320" s="64"/>
      <c r="CU320" s="64"/>
      <c r="CV320" s="64"/>
      <c r="CW320" s="64"/>
      <c r="CX320" s="64"/>
      <c r="CY320" s="64"/>
      <c r="CZ320" s="64"/>
      <c r="DA320" s="64"/>
      <c r="DB320" s="64"/>
      <c r="DC320" s="64"/>
      <c r="DD320" s="64"/>
      <c r="DE320" s="64"/>
      <c r="DF320" s="64"/>
      <c r="DG320" s="64"/>
      <c r="DH320" s="64"/>
      <c r="DI320" s="64"/>
      <c r="DJ320" s="64"/>
      <c r="DK320" s="64"/>
      <c r="DL320" s="64"/>
      <c r="DM320" s="64"/>
      <c r="DN320" s="64"/>
      <c r="DO320" s="64"/>
      <c r="DP320" s="64"/>
      <c r="DQ320" s="64"/>
      <c r="DR320" s="64"/>
      <c r="DS320" s="64"/>
      <c r="DT320" s="64"/>
      <c r="DU320" s="64"/>
      <c r="DV320" s="64"/>
      <c r="DW320" s="64"/>
      <c r="DX320" s="64"/>
      <c r="DY320" s="64"/>
      <c r="DZ320" s="64"/>
      <c r="EA320" s="64"/>
      <c r="EB320" s="64"/>
      <c r="EC320" s="64"/>
      <c r="ED320" s="64"/>
    </row>
    <row r="321" spans="1:134" ht="15.75" customHeight="1">
      <c r="A321" s="65" t="s">
        <v>163</v>
      </c>
      <c r="B321" s="65" t="s">
        <v>390</v>
      </c>
      <c r="C321" s="65" t="s">
        <v>863</v>
      </c>
      <c r="D321" s="65" t="str">
        <f t="shared" si="1"/>
        <v>WR</v>
      </c>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c r="BU321" s="64"/>
      <c r="BV321" s="64"/>
      <c r="BW321" s="64"/>
      <c r="BX321" s="64"/>
      <c r="BY321" s="64"/>
      <c r="BZ321" s="64"/>
      <c r="CA321" s="64"/>
      <c r="CB321" s="64"/>
      <c r="CC321" s="64"/>
      <c r="CD321" s="64"/>
      <c r="CE321" s="64"/>
      <c r="CF321" s="64"/>
      <c r="CG321" s="64"/>
      <c r="CH321" s="64"/>
      <c r="CI321" s="64"/>
      <c r="CJ321" s="64"/>
      <c r="CK321" s="64"/>
      <c r="CL321" s="64"/>
      <c r="CM321" s="64"/>
      <c r="CN321" s="64"/>
      <c r="CO321" s="64"/>
      <c r="CP321" s="64"/>
      <c r="CQ321" s="64"/>
      <c r="CR321" s="64"/>
      <c r="CS321" s="64"/>
      <c r="CT321" s="64"/>
      <c r="CU321" s="64"/>
      <c r="CV321" s="64"/>
      <c r="CW321" s="64"/>
      <c r="CX321" s="64"/>
      <c r="CY321" s="64"/>
      <c r="CZ321" s="64"/>
      <c r="DA321" s="64"/>
      <c r="DB321" s="64"/>
      <c r="DC321" s="64"/>
      <c r="DD321" s="64"/>
      <c r="DE321" s="64"/>
      <c r="DF321" s="64"/>
      <c r="DG321" s="64"/>
      <c r="DH321" s="64"/>
      <c r="DI321" s="64"/>
      <c r="DJ321" s="64"/>
      <c r="DK321" s="64"/>
      <c r="DL321" s="64"/>
      <c r="DM321" s="64"/>
      <c r="DN321" s="64"/>
      <c r="DO321" s="64"/>
      <c r="DP321" s="64"/>
      <c r="DQ321" s="64"/>
      <c r="DR321" s="64"/>
      <c r="DS321" s="64"/>
      <c r="DT321" s="64"/>
      <c r="DU321" s="64"/>
      <c r="DV321" s="64"/>
      <c r="DW321" s="64"/>
      <c r="DX321" s="64"/>
      <c r="DY321" s="64"/>
      <c r="DZ321" s="64"/>
      <c r="EA321" s="64"/>
      <c r="EB321" s="64"/>
      <c r="EC321" s="64"/>
      <c r="ED321" s="64"/>
    </row>
    <row r="322" spans="1:134" ht="15.75" customHeight="1">
      <c r="A322" s="65" t="s">
        <v>864</v>
      </c>
      <c r="B322" s="65" t="s">
        <v>413</v>
      </c>
      <c r="C322" s="65" t="s">
        <v>865</v>
      </c>
      <c r="D322" s="65" t="str">
        <f t="shared" si="1"/>
        <v>QB</v>
      </c>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c r="BU322" s="64"/>
      <c r="BV322" s="64"/>
      <c r="BW322" s="64"/>
      <c r="BX322" s="64"/>
      <c r="BY322" s="64"/>
      <c r="BZ322" s="64"/>
      <c r="CA322" s="64"/>
      <c r="CB322" s="64"/>
      <c r="CC322" s="64"/>
      <c r="CD322" s="64"/>
      <c r="CE322" s="64"/>
      <c r="CF322" s="64"/>
      <c r="CG322" s="64"/>
      <c r="CH322" s="64"/>
      <c r="CI322" s="64"/>
      <c r="CJ322" s="64"/>
      <c r="CK322" s="64"/>
      <c r="CL322" s="64"/>
      <c r="CM322" s="64"/>
      <c r="CN322" s="64"/>
      <c r="CO322" s="64"/>
      <c r="CP322" s="64"/>
      <c r="CQ322" s="64"/>
      <c r="CR322" s="64"/>
      <c r="CS322" s="64"/>
      <c r="CT322" s="64"/>
      <c r="CU322" s="64"/>
      <c r="CV322" s="64"/>
      <c r="CW322" s="64"/>
      <c r="CX322" s="64"/>
      <c r="CY322" s="64"/>
      <c r="CZ322" s="64"/>
      <c r="DA322" s="64"/>
      <c r="DB322" s="64"/>
      <c r="DC322" s="64"/>
      <c r="DD322" s="64"/>
      <c r="DE322" s="64"/>
      <c r="DF322" s="64"/>
      <c r="DG322" s="64"/>
      <c r="DH322" s="64"/>
      <c r="DI322" s="64"/>
      <c r="DJ322" s="64"/>
      <c r="DK322" s="64"/>
      <c r="DL322" s="64"/>
      <c r="DM322" s="64"/>
      <c r="DN322" s="64"/>
      <c r="DO322" s="64"/>
      <c r="DP322" s="64"/>
      <c r="DQ322" s="64"/>
      <c r="DR322" s="64"/>
      <c r="DS322" s="64"/>
      <c r="DT322" s="64"/>
      <c r="DU322" s="64"/>
      <c r="DV322" s="64"/>
      <c r="DW322" s="64"/>
      <c r="DX322" s="64"/>
      <c r="DY322" s="64"/>
      <c r="DZ322" s="64"/>
      <c r="EA322" s="64"/>
      <c r="EB322" s="64"/>
      <c r="EC322" s="64"/>
      <c r="ED322" s="64"/>
    </row>
    <row r="323" spans="1:134" ht="15.75" customHeight="1">
      <c r="A323" s="65" t="s">
        <v>866</v>
      </c>
      <c r="B323" s="65" t="s">
        <v>406</v>
      </c>
      <c r="C323" s="65" t="s">
        <v>867</v>
      </c>
      <c r="D323" s="65" t="str">
        <f t="shared" si="1"/>
        <v>WR</v>
      </c>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c r="BU323" s="64"/>
      <c r="BV323" s="64"/>
      <c r="BW323" s="64"/>
      <c r="BX323" s="64"/>
      <c r="BY323" s="64"/>
      <c r="BZ323" s="64"/>
      <c r="CA323" s="64"/>
      <c r="CB323" s="64"/>
      <c r="CC323" s="64"/>
      <c r="CD323" s="64"/>
      <c r="CE323" s="64"/>
      <c r="CF323" s="64"/>
      <c r="CG323" s="64"/>
      <c r="CH323" s="64"/>
      <c r="CI323" s="64"/>
      <c r="CJ323" s="64"/>
      <c r="CK323" s="64"/>
      <c r="CL323" s="64"/>
      <c r="CM323" s="64"/>
      <c r="CN323" s="64"/>
      <c r="CO323" s="64"/>
      <c r="CP323" s="64"/>
      <c r="CQ323" s="64"/>
      <c r="CR323" s="64"/>
      <c r="CS323" s="64"/>
      <c r="CT323" s="64"/>
      <c r="CU323" s="64"/>
      <c r="CV323" s="64"/>
      <c r="CW323" s="64"/>
      <c r="CX323" s="64"/>
      <c r="CY323" s="64"/>
      <c r="CZ323" s="64"/>
      <c r="DA323" s="64"/>
      <c r="DB323" s="64"/>
      <c r="DC323" s="64"/>
      <c r="DD323" s="64"/>
      <c r="DE323" s="64"/>
      <c r="DF323" s="64"/>
      <c r="DG323" s="64"/>
      <c r="DH323" s="64"/>
      <c r="DI323" s="64"/>
      <c r="DJ323" s="64"/>
      <c r="DK323" s="64"/>
      <c r="DL323" s="64"/>
      <c r="DM323" s="64"/>
      <c r="DN323" s="64"/>
      <c r="DO323" s="64"/>
      <c r="DP323" s="64"/>
      <c r="DQ323" s="64"/>
      <c r="DR323" s="64"/>
      <c r="DS323" s="64"/>
      <c r="DT323" s="64"/>
      <c r="DU323" s="64"/>
      <c r="DV323" s="64"/>
      <c r="DW323" s="64"/>
      <c r="DX323" s="64"/>
      <c r="DY323" s="64"/>
      <c r="DZ323" s="64"/>
      <c r="EA323" s="64"/>
      <c r="EB323" s="64"/>
      <c r="EC323" s="64"/>
      <c r="ED323" s="64"/>
    </row>
    <row r="324" spans="1:134" ht="15.75" customHeight="1">
      <c r="A324" s="65" t="s">
        <v>868</v>
      </c>
      <c r="B324" s="65" t="s">
        <v>409</v>
      </c>
      <c r="C324" s="65" t="s">
        <v>869</v>
      </c>
      <c r="D324" s="65" t="str">
        <f t="shared" si="1"/>
        <v>WR</v>
      </c>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c r="BU324" s="64"/>
      <c r="BV324" s="64"/>
      <c r="BW324" s="64"/>
      <c r="BX324" s="64"/>
      <c r="BY324" s="64"/>
      <c r="BZ324" s="64"/>
      <c r="CA324" s="64"/>
      <c r="CB324" s="64"/>
      <c r="CC324" s="64"/>
      <c r="CD324" s="64"/>
      <c r="CE324" s="64"/>
      <c r="CF324" s="64"/>
      <c r="CG324" s="64"/>
      <c r="CH324" s="64"/>
      <c r="CI324" s="64"/>
      <c r="CJ324" s="64"/>
      <c r="CK324" s="64"/>
      <c r="CL324" s="64"/>
      <c r="CM324" s="64"/>
      <c r="CN324" s="64"/>
      <c r="CO324" s="64"/>
      <c r="CP324" s="64"/>
      <c r="CQ324" s="64"/>
      <c r="CR324" s="64"/>
      <c r="CS324" s="64"/>
      <c r="CT324" s="64"/>
      <c r="CU324" s="64"/>
      <c r="CV324" s="64"/>
      <c r="CW324" s="64"/>
      <c r="CX324" s="64"/>
      <c r="CY324" s="64"/>
      <c r="CZ324" s="64"/>
      <c r="DA324" s="64"/>
      <c r="DB324" s="64"/>
      <c r="DC324" s="64"/>
      <c r="DD324" s="64"/>
      <c r="DE324" s="64"/>
      <c r="DF324" s="64"/>
      <c r="DG324" s="64"/>
      <c r="DH324" s="64"/>
      <c r="DI324" s="64"/>
      <c r="DJ324" s="64"/>
      <c r="DK324" s="64"/>
      <c r="DL324" s="64"/>
      <c r="DM324" s="64"/>
      <c r="DN324" s="64"/>
      <c r="DO324" s="64"/>
      <c r="DP324" s="64"/>
      <c r="DQ324" s="64"/>
      <c r="DR324" s="64"/>
      <c r="DS324" s="64"/>
      <c r="DT324" s="64"/>
      <c r="DU324" s="64"/>
      <c r="DV324" s="64"/>
      <c r="DW324" s="64"/>
      <c r="DX324" s="64"/>
      <c r="DY324" s="64"/>
      <c r="DZ324" s="64"/>
      <c r="EA324" s="64"/>
      <c r="EB324" s="64"/>
      <c r="EC324" s="64"/>
      <c r="ED324" s="64"/>
    </row>
    <row r="325" spans="1:134" ht="15.75" customHeight="1">
      <c r="A325" s="65" t="s">
        <v>30</v>
      </c>
      <c r="B325" s="65" t="s">
        <v>408</v>
      </c>
      <c r="C325" s="65" t="s">
        <v>870</v>
      </c>
      <c r="D325" s="65" t="str">
        <f t="shared" si="1"/>
        <v>WR</v>
      </c>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c r="BU325" s="64"/>
      <c r="BV325" s="64"/>
      <c r="BW325" s="64"/>
      <c r="BX325" s="64"/>
      <c r="BY325" s="64"/>
      <c r="BZ325" s="64"/>
      <c r="CA325" s="64"/>
      <c r="CB325" s="64"/>
      <c r="CC325" s="64"/>
      <c r="CD325" s="64"/>
      <c r="CE325" s="64"/>
      <c r="CF325" s="64"/>
      <c r="CG325" s="64"/>
      <c r="CH325" s="64"/>
      <c r="CI325" s="64"/>
      <c r="CJ325" s="64"/>
      <c r="CK325" s="64"/>
      <c r="CL325" s="64"/>
      <c r="CM325" s="64"/>
      <c r="CN325" s="64"/>
      <c r="CO325" s="64"/>
      <c r="CP325" s="64"/>
      <c r="CQ325" s="64"/>
      <c r="CR325" s="64"/>
      <c r="CS325" s="64"/>
      <c r="CT325" s="64"/>
      <c r="CU325" s="64"/>
      <c r="CV325" s="64"/>
      <c r="CW325" s="64"/>
      <c r="CX325" s="64"/>
      <c r="CY325" s="64"/>
      <c r="CZ325" s="64"/>
      <c r="DA325" s="64"/>
      <c r="DB325" s="64"/>
      <c r="DC325" s="64"/>
      <c r="DD325" s="64"/>
      <c r="DE325" s="64"/>
      <c r="DF325" s="64"/>
      <c r="DG325" s="64"/>
      <c r="DH325" s="64"/>
      <c r="DI325" s="64"/>
      <c r="DJ325" s="64"/>
      <c r="DK325" s="64"/>
      <c r="DL325" s="64"/>
      <c r="DM325" s="64"/>
      <c r="DN325" s="64"/>
      <c r="DO325" s="64"/>
      <c r="DP325" s="64"/>
      <c r="DQ325" s="64"/>
      <c r="DR325" s="64"/>
      <c r="DS325" s="64"/>
      <c r="DT325" s="64"/>
      <c r="DU325" s="64"/>
      <c r="DV325" s="64"/>
      <c r="DW325" s="64"/>
      <c r="DX325" s="64"/>
      <c r="DY325" s="64"/>
      <c r="DZ325" s="64"/>
      <c r="EA325" s="64"/>
      <c r="EB325" s="64"/>
      <c r="EC325" s="64"/>
      <c r="ED325" s="64"/>
    </row>
    <row r="326" spans="1:134" ht="15.75" customHeight="1">
      <c r="A326" s="65" t="s">
        <v>871</v>
      </c>
      <c r="B326" s="65" t="s">
        <v>404</v>
      </c>
      <c r="C326" s="65" t="s">
        <v>872</v>
      </c>
      <c r="D326" s="65" t="str">
        <f t="shared" si="1"/>
        <v>WR</v>
      </c>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c r="BU326" s="64"/>
      <c r="BV326" s="64"/>
      <c r="BW326" s="64"/>
      <c r="BX326" s="64"/>
      <c r="BY326" s="64"/>
      <c r="BZ326" s="64"/>
      <c r="CA326" s="64"/>
      <c r="CB326" s="64"/>
      <c r="CC326" s="64"/>
      <c r="CD326" s="64"/>
      <c r="CE326" s="64"/>
      <c r="CF326" s="64"/>
      <c r="CG326" s="64"/>
      <c r="CH326" s="64"/>
      <c r="CI326" s="64"/>
      <c r="CJ326" s="64"/>
      <c r="CK326" s="64"/>
      <c r="CL326" s="64"/>
      <c r="CM326" s="64"/>
      <c r="CN326" s="64"/>
      <c r="CO326" s="64"/>
      <c r="CP326" s="64"/>
      <c r="CQ326" s="64"/>
      <c r="CR326" s="64"/>
      <c r="CS326" s="64"/>
      <c r="CT326" s="64"/>
      <c r="CU326" s="64"/>
      <c r="CV326" s="64"/>
      <c r="CW326" s="64"/>
      <c r="CX326" s="64"/>
      <c r="CY326" s="64"/>
      <c r="CZ326" s="64"/>
      <c r="DA326" s="64"/>
      <c r="DB326" s="64"/>
      <c r="DC326" s="64"/>
      <c r="DD326" s="64"/>
      <c r="DE326" s="64"/>
      <c r="DF326" s="64"/>
      <c r="DG326" s="64"/>
      <c r="DH326" s="64"/>
      <c r="DI326" s="64"/>
      <c r="DJ326" s="64"/>
      <c r="DK326" s="64"/>
      <c r="DL326" s="64"/>
      <c r="DM326" s="64"/>
      <c r="DN326" s="64"/>
      <c r="DO326" s="64"/>
      <c r="DP326" s="64"/>
      <c r="DQ326" s="64"/>
      <c r="DR326" s="64"/>
      <c r="DS326" s="64"/>
      <c r="DT326" s="64"/>
      <c r="DU326" s="64"/>
      <c r="DV326" s="64"/>
      <c r="DW326" s="64"/>
      <c r="DX326" s="64"/>
      <c r="DY326" s="64"/>
      <c r="DZ326" s="64"/>
      <c r="EA326" s="64"/>
      <c r="EB326" s="64"/>
      <c r="EC326" s="64"/>
      <c r="ED326" s="64"/>
    </row>
    <row r="327" spans="1:134" ht="15.75" customHeight="1">
      <c r="A327" s="65" t="s">
        <v>873</v>
      </c>
      <c r="B327" s="65" t="s">
        <v>396</v>
      </c>
      <c r="C327" s="65" t="s">
        <v>874</v>
      </c>
      <c r="D327" s="65" t="str">
        <f t="shared" si="1"/>
        <v>QB</v>
      </c>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c r="BU327" s="64"/>
      <c r="BV327" s="64"/>
      <c r="BW327" s="64"/>
      <c r="BX327" s="64"/>
      <c r="BY327" s="64"/>
      <c r="BZ327" s="64"/>
      <c r="CA327" s="64"/>
      <c r="CB327" s="64"/>
      <c r="CC327" s="64"/>
      <c r="CD327" s="64"/>
      <c r="CE327" s="64"/>
      <c r="CF327" s="64"/>
      <c r="CG327" s="64"/>
      <c r="CH327" s="64"/>
      <c r="CI327" s="64"/>
      <c r="CJ327" s="64"/>
      <c r="CK327" s="64"/>
      <c r="CL327" s="64"/>
      <c r="CM327" s="64"/>
      <c r="CN327" s="64"/>
      <c r="CO327" s="64"/>
      <c r="CP327" s="64"/>
      <c r="CQ327" s="64"/>
      <c r="CR327" s="64"/>
      <c r="CS327" s="64"/>
      <c r="CT327" s="64"/>
      <c r="CU327" s="64"/>
      <c r="CV327" s="64"/>
      <c r="CW327" s="64"/>
      <c r="CX327" s="64"/>
      <c r="CY327" s="64"/>
      <c r="CZ327" s="64"/>
      <c r="DA327" s="64"/>
      <c r="DB327" s="64"/>
      <c r="DC327" s="64"/>
      <c r="DD327" s="64"/>
      <c r="DE327" s="64"/>
      <c r="DF327" s="64"/>
      <c r="DG327" s="64"/>
      <c r="DH327" s="64"/>
      <c r="DI327" s="64"/>
      <c r="DJ327" s="64"/>
      <c r="DK327" s="64"/>
      <c r="DL327" s="64"/>
      <c r="DM327" s="64"/>
      <c r="DN327" s="64"/>
      <c r="DO327" s="64"/>
      <c r="DP327" s="64"/>
      <c r="DQ327" s="64"/>
      <c r="DR327" s="64"/>
      <c r="DS327" s="64"/>
      <c r="DT327" s="64"/>
      <c r="DU327" s="64"/>
      <c r="DV327" s="64"/>
      <c r="DW327" s="64"/>
      <c r="DX327" s="64"/>
      <c r="DY327" s="64"/>
      <c r="DZ327" s="64"/>
      <c r="EA327" s="64"/>
      <c r="EB327" s="64"/>
      <c r="EC327" s="64"/>
      <c r="ED327" s="64"/>
    </row>
    <row r="328" spans="1:134" ht="15.75" customHeight="1">
      <c r="A328" s="65" t="s">
        <v>875</v>
      </c>
      <c r="B328" s="65" t="s">
        <v>416</v>
      </c>
      <c r="C328" s="65" t="s">
        <v>876</v>
      </c>
      <c r="D328" s="65" t="str">
        <f t="shared" si="1"/>
        <v>QB</v>
      </c>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c r="BU328" s="64"/>
      <c r="BV328" s="64"/>
      <c r="BW328" s="64"/>
      <c r="BX328" s="64"/>
      <c r="BY328" s="64"/>
      <c r="BZ328" s="64"/>
      <c r="CA328" s="64"/>
      <c r="CB328" s="64"/>
      <c r="CC328" s="64"/>
      <c r="CD328" s="64"/>
      <c r="CE328" s="64"/>
      <c r="CF328" s="64"/>
      <c r="CG328" s="64"/>
      <c r="CH328" s="64"/>
      <c r="CI328" s="64"/>
      <c r="CJ328" s="64"/>
      <c r="CK328" s="64"/>
      <c r="CL328" s="64"/>
      <c r="CM328" s="64"/>
      <c r="CN328" s="64"/>
      <c r="CO328" s="64"/>
      <c r="CP328" s="64"/>
      <c r="CQ328" s="64"/>
      <c r="CR328" s="64"/>
      <c r="CS328" s="64"/>
      <c r="CT328" s="64"/>
      <c r="CU328" s="64"/>
      <c r="CV328" s="64"/>
      <c r="CW328" s="64"/>
      <c r="CX328" s="64"/>
      <c r="CY328" s="64"/>
      <c r="CZ328" s="64"/>
      <c r="DA328" s="64"/>
      <c r="DB328" s="64"/>
      <c r="DC328" s="64"/>
      <c r="DD328" s="64"/>
      <c r="DE328" s="64"/>
      <c r="DF328" s="64"/>
      <c r="DG328" s="64"/>
      <c r="DH328" s="64"/>
      <c r="DI328" s="64"/>
      <c r="DJ328" s="64"/>
      <c r="DK328" s="64"/>
      <c r="DL328" s="64"/>
      <c r="DM328" s="64"/>
      <c r="DN328" s="64"/>
      <c r="DO328" s="64"/>
      <c r="DP328" s="64"/>
      <c r="DQ328" s="64"/>
      <c r="DR328" s="64"/>
      <c r="DS328" s="64"/>
      <c r="DT328" s="64"/>
      <c r="DU328" s="64"/>
      <c r="DV328" s="64"/>
      <c r="DW328" s="64"/>
      <c r="DX328" s="64"/>
      <c r="DY328" s="64"/>
      <c r="DZ328" s="64"/>
      <c r="EA328" s="64"/>
      <c r="EB328" s="64"/>
      <c r="EC328" s="64"/>
      <c r="ED328" s="64"/>
    </row>
    <row r="329" spans="1:134" ht="15.75" customHeight="1">
      <c r="A329" s="65" t="s">
        <v>877</v>
      </c>
      <c r="B329" s="65" t="s">
        <v>407</v>
      </c>
      <c r="C329" s="65" t="s">
        <v>878</v>
      </c>
      <c r="D329" s="65" t="str">
        <f t="shared" si="1"/>
        <v>RB</v>
      </c>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c r="CI329" s="64"/>
      <c r="CJ329" s="64"/>
      <c r="CK329" s="64"/>
      <c r="CL329" s="64"/>
      <c r="CM329" s="64"/>
      <c r="CN329" s="64"/>
      <c r="CO329" s="64"/>
      <c r="CP329" s="64"/>
      <c r="CQ329" s="64"/>
      <c r="CR329" s="64"/>
      <c r="CS329" s="64"/>
      <c r="CT329" s="64"/>
      <c r="CU329" s="64"/>
      <c r="CV329" s="64"/>
      <c r="CW329" s="64"/>
      <c r="CX329" s="64"/>
      <c r="CY329" s="64"/>
      <c r="CZ329" s="64"/>
      <c r="DA329" s="64"/>
      <c r="DB329" s="64"/>
      <c r="DC329" s="64"/>
      <c r="DD329" s="64"/>
      <c r="DE329" s="64"/>
      <c r="DF329" s="64"/>
      <c r="DG329" s="64"/>
      <c r="DH329" s="64"/>
      <c r="DI329" s="64"/>
      <c r="DJ329" s="64"/>
      <c r="DK329" s="64"/>
      <c r="DL329" s="64"/>
      <c r="DM329" s="64"/>
      <c r="DN329" s="64"/>
      <c r="DO329" s="64"/>
      <c r="DP329" s="64"/>
      <c r="DQ329" s="64"/>
      <c r="DR329" s="64"/>
      <c r="DS329" s="64"/>
      <c r="DT329" s="64"/>
      <c r="DU329" s="64"/>
      <c r="DV329" s="64"/>
      <c r="DW329" s="64"/>
      <c r="DX329" s="64"/>
      <c r="DY329" s="64"/>
      <c r="DZ329" s="64"/>
      <c r="EA329" s="64"/>
      <c r="EB329" s="64"/>
      <c r="EC329" s="64"/>
      <c r="ED329" s="64"/>
    </row>
    <row r="330" spans="1:134" ht="15.75" customHeight="1">
      <c r="A330" s="65" t="s">
        <v>99</v>
      </c>
      <c r="B330" s="65" t="s">
        <v>387</v>
      </c>
      <c r="C330" s="65" t="s">
        <v>879</v>
      </c>
      <c r="D330" s="65" t="str">
        <f t="shared" si="1"/>
        <v>TE</v>
      </c>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c r="BU330" s="64"/>
      <c r="BV330" s="64"/>
      <c r="BW330" s="64"/>
      <c r="BX330" s="64"/>
      <c r="BY330" s="64"/>
      <c r="BZ330" s="64"/>
      <c r="CA330" s="64"/>
      <c r="CB330" s="64"/>
      <c r="CC330" s="64"/>
      <c r="CD330" s="64"/>
      <c r="CE330" s="64"/>
      <c r="CF330" s="64"/>
      <c r="CG330" s="64"/>
      <c r="CH330" s="64"/>
      <c r="CI330" s="64"/>
      <c r="CJ330" s="64"/>
      <c r="CK330" s="64"/>
      <c r="CL330" s="64"/>
      <c r="CM330" s="64"/>
      <c r="CN330" s="64"/>
      <c r="CO330" s="64"/>
      <c r="CP330" s="64"/>
      <c r="CQ330" s="64"/>
      <c r="CR330" s="64"/>
      <c r="CS330" s="64"/>
      <c r="CT330" s="64"/>
      <c r="CU330" s="64"/>
      <c r="CV330" s="64"/>
      <c r="CW330" s="64"/>
      <c r="CX330" s="64"/>
      <c r="CY330" s="64"/>
      <c r="CZ330" s="64"/>
      <c r="DA330" s="64"/>
      <c r="DB330" s="64"/>
      <c r="DC330" s="64"/>
      <c r="DD330" s="64"/>
      <c r="DE330" s="64"/>
      <c r="DF330" s="64"/>
      <c r="DG330" s="64"/>
      <c r="DH330" s="64"/>
      <c r="DI330" s="64"/>
      <c r="DJ330" s="64"/>
      <c r="DK330" s="64"/>
      <c r="DL330" s="64"/>
      <c r="DM330" s="64"/>
      <c r="DN330" s="64"/>
      <c r="DO330" s="64"/>
      <c r="DP330" s="64"/>
      <c r="DQ330" s="64"/>
      <c r="DR330" s="64"/>
      <c r="DS330" s="64"/>
      <c r="DT330" s="64"/>
      <c r="DU330" s="64"/>
      <c r="DV330" s="64"/>
      <c r="DW330" s="64"/>
      <c r="DX330" s="64"/>
      <c r="DY330" s="64"/>
      <c r="DZ330" s="64"/>
      <c r="EA330" s="64"/>
      <c r="EB330" s="64"/>
      <c r="EC330" s="64"/>
      <c r="ED330" s="64"/>
    </row>
    <row r="331" spans="1:134" ht="15.75" customHeight="1">
      <c r="A331" s="65" t="s">
        <v>880</v>
      </c>
      <c r="B331" s="65" t="s">
        <v>412</v>
      </c>
      <c r="C331" s="65" t="s">
        <v>881</v>
      </c>
      <c r="D331" s="65" t="str">
        <f t="shared" si="1"/>
        <v>WR</v>
      </c>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c r="BU331" s="64"/>
      <c r="BV331" s="64"/>
      <c r="BW331" s="64"/>
      <c r="BX331" s="64"/>
      <c r="BY331" s="64"/>
      <c r="BZ331" s="64"/>
      <c r="CA331" s="64"/>
      <c r="CB331" s="64"/>
      <c r="CC331" s="64"/>
      <c r="CD331" s="64"/>
      <c r="CE331" s="64"/>
      <c r="CF331" s="64"/>
      <c r="CG331" s="64"/>
      <c r="CH331" s="64"/>
      <c r="CI331" s="64"/>
      <c r="CJ331" s="64"/>
      <c r="CK331" s="64"/>
      <c r="CL331" s="64"/>
      <c r="CM331" s="64"/>
      <c r="CN331" s="64"/>
      <c r="CO331" s="64"/>
      <c r="CP331" s="64"/>
      <c r="CQ331" s="64"/>
      <c r="CR331" s="64"/>
      <c r="CS331" s="64"/>
      <c r="CT331" s="64"/>
      <c r="CU331" s="64"/>
      <c r="CV331" s="64"/>
      <c r="CW331" s="64"/>
      <c r="CX331" s="64"/>
      <c r="CY331" s="64"/>
      <c r="CZ331" s="64"/>
      <c r="DA331" s="64"/>
      <c r="DB331" s="64"/>
      <c r="DC331" s="64"/>
      <c r="DD331" s="64"/>
      <c r="DE331" s="64"/>
      <c r="DF331" s="64"/>
      <c r="DG331" s="64"/>
      <c r="DH331" s="64"/>
      <c r="DI331" s="64"/>
      <c r="DJ331" s="64"/>
      <c r="DK331" s="64"/>
      <c r="DL331" s="64"/>
      <c r="DM331" s="64"/>
      <c r="DN331" s="64"/>
      <c r="DO331" s="64"/>
      <c r="DP331" s="64"/>
      <c r="DQ331" s="64"/>
      <c r="DR331" s="64"/>
      <c r="DS331" s="64"/>
      <c r="DT331" s="64"/>
      <c r="DU331" s="64"/>
      <c r="DV331" s="64"/>
      <c r="DW331" s="64"/>
      <c r="DX331" s="64"/>
      <c r="DY331" s="64"/>
      <c r="DZ331" s="64"/>
      <c r="EA331" s="64"/>
      <c r="EB331" s="64"/>
      <c r="EC331" s="64"/>
      <c r="ED331" s="64"/>
    </row>
    <row r="332" spans="1:134" ht="15.75" customHeight="1">
      <c r="A332" s="65" t="s">
        <v>203</v>
      </c>
      <c r="B332" s="65" t="s">
        <v>400</v>
      </c>
      <c r="C332" s="65" t="s">
        <v>882</v>
      </c>
      <c r="D332" s="65" t="str">
        <f t="shared" si="1"/>
        <v>WR</v>
      </c>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c r="BU332" s="64"/>
      <c r="BV332" s="64"/>
      <c r="BW332" s="64"/>
      <c r="BX332" s="64"/>
      <c r="BY332" s="64"/>
      <c r="BZ332" s="64"/>
      <c r="CA332" s="64"/>
      <c r="CB332" s="64"/>
      <c r="CC332" s="64"/>
      <c r="CD332" s="64"/>
      <c r="CE332" s="64"/>
      <c r="CF332" s="64"/>
      <c r="CG332" s="64"/>
      <c r="CH332" s="64"/>
      <c r="CI332" s="64"/>
      <c r="CJ332" s="64"/>
      <c r="CK332" s="64"/>
      <c r="CL332" s="64"/>
      <c r="CM332" s="64"/>
      <c r="CN332" s="64"/>
      <c r="CO332" s="64"/>
      <c r="CP332" s="64"/>
      <c r="CQ332" s="64"/>
      <c r="CR332" s="64"/>
      <c r="CS332" s="64"/>
      <c r="CT332" s="64"/>
      <c r="CU332" s="64"/>
      <c r="CV332" s="64"/>
      <c r="CW332" s="64"/>
      <c r="CX332" s="64"/>
      <c r="CY332" s="64"/>
      <c r="CZ332" s="64"/>
      <c r="DA332" s="64"/>
      <c r="DB332" s="64"/>
      <c r="DC332" s="64"/>
      <c r="DD332" s="64"/>
      <c r="DE332" s="64"/>
      <c r="DF332" s="64"/>
      <c r="DG332" s="64"/>
      <c r="DH332" s="64"/>
      <c r="DI332" s="64"/>
      <c r="DJ332" s="64"/>
      <c r="DK332" s="64"/>
      <c r="DL332" s="64"/>
      <c r="DM332" s="64"/>
      <c r="DN332" s="64"/>
      <c r="DO332" s="64"/>
      <c r="DP332" s="64"/>
      <c r="DQ332" s="64"/>
      <c r="DR332" s="64"/>
      <c r="DS332" s="64"/>
      <c r="DT332" s="64"/>
      <c r="DU332" s="64"/>
      <c r="DV332" s="64"/>
      <c r="DW332" s="64"/>
      <c r="DX332" s="64"/>
      <c r="DY332" s="64"/>
      <c r="DZ332" s="64"/>
      <c r="EA332" s="64"/>
      <c r="EB332" s="64"/>
      <c r="EC332" s="64"/>
      <c r="ED332" s="64"/>
    </row>
    <row r="333" spans="1:134" ht="15.75" customHeight="1">
      <c r="A333" s="65" t="s">
        <v>227</v>
      </c>
      <c r="B333" s="65" t="s">
        <v>396</v>
      </c>
      <c r="C333" s="65" t="s">
        <v>883</v>
      </c>
      <c r="D333" s="65" t="str">
        <f t="shared" si="1"/>
        <v>RB</v>
      </c>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c r="BU333" s="64"/>
      <c r="BV333" s="64"/>
      <c r="BW333" s="64"/>
      <c r="BX333" s="64"/>
      <c r="BY333" s="64"/>
      <c r="BZ333" s="64"/>
      <c r="CA333" s="64"/>
      <c r="CB333" s="64"/>
      <c r="CC333" s="64"/>
      <c r="CD333" s="64"/>
      <c r="CE333" s="64"/>
      <c r="CF333" s="64"/>
      <c r="CG333" s="64"/>
      <c r="CH333" s="64"/>
      <c r="CI333" s="64"/>
      <c r="CJ333" s="64"/>
      <c r="CK333" s="64"/>
      <c r="CL333" s="64"/>
      <c r="CM333" s="64"/>
      <c r="CN333" s="64"/>
      <c r="CO333" s="64"/>
      <c r="CP333" s="64"/>
      <c r="CQ333" s="64"/>
      <c r="CR333" s="64"/>
      <c r="CS333" s="64"/>
      <c r="CT333" s="64"/>
      <c r="CU333" s="64"/>
      <c r="CV333" s="64"/>
      <c r="CW333" s="64"/>
      <c r="CX333" s="64"/>
      <c r="CY333" s="64"/>
      <c r="CZ333" s="64"/>
      <c r="DA333" s="64"/>
      <c r="DB333" s="64"/>
      <c r="DC333" s="64"/>
      <c r="DD333" s="64"/>
      <c r="DE333" s="64"/>
      <c r="DF333" s="64"/>
      <c r="DG333" s="64"/>
      <c r="DH333" s="64"/>
      <c r="DI333" s="64"/>
      <c r="DJ333" s="64"/>
      <c r="DK333" s="64"/>
      <c r="DL333" s="64"/>
      <c r="DM333" s="64"/>
      <c r="DN333" s="64"/>
      <c r="DO333" s="64"/>
      <c r="DP333" s="64"/>
      <c r="DQ333" s="64"/>
      <c r="DR333" s="64"/>
      <c r="DS333" s="64"/>
      <c r="DT333" s="64"/>
      <c r="DU333" s="64"/>
      <c r="DV333" s="64"/>
      <c r="DW333" s="64"/>
      <c r="DX333" s="64"/>
      <c r="DY333" s="64"/>
      <c r="DZ333" s="64"/>
      <c r="EA333" s="64"/>
      <c r="EB333" s="64"/>
      <c r="EC333" s="64"/>
      <c r="ED333" s="64"/>
    </row>
    <row r="334" spans="1:134" ht="15.75" customHeight="1">
      <c r="A334" s="65" t="s">
        <v>69</v>
      </c>
      <c r="B334" s="65" t="s">
        <v>385</v>
      </c>
      <c r="C334" s="65" t="s">
        <v>884</v>
      </c>
      <c r="D334" s="65" t="str">
        <f t="shared" si="1"/>
        <v>WR</v>
      </c>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c r="BU334" s="64"/>
      <c r="BV334" s="64"/>
      <c r="BW334" s="64"/>
      <c r="BX334" s="64"/>
      <c r="BY334" s="64"/>
      <c r="BZ334" s="64"/>
      <c r="CA334" s="64"/>
      <c r="CB334" s="64"/>
      <c r="CC334" s="64"/>
      <c r="CD334" s="64"/>
      <c r="CE334" s="64"/>
      <c r="CF334" s="64"/>
      <c r="CG334" s="64"/>
      <c r="CH334" s="64"/>
      <c r="CI334" s="64"/>
      <c r="CJ334" s="64"/>
      <c r="CK334" s="64"/>
      <c r="CL334" s="64"/>
      <c r="CM334" s="64"/>
      <c r="CN334" s="64"/>
      <c r="CO334" s="64"/>
      <c r="CP334" s="64"/>
      <c r="CQ334" s="64"/>
      <c r="CR334" s="64"/>
      <c r="CS334" s="64"/>
      <c r="CT334" s="64"/>
      <c r="CU334" s="64"/>
      <c r="CV334" s="64"/>
      <c r="CW334" s="64"/>
      <c r="CX334" s="64"/>
      <c r="CY334" s="64"/>
      <c r="CZ334" s="64"/>
      <c r="DA334" s="64"/>
      <c r="DB334" s="64"/>
      <c r="DC334" s="64"/>
      <c r="DD334" s="64"/>
      <c r="DE334" s="64"/>
      <c r="DF334" s="64"/>
      <c r="DG334" s="64"/>
      <c r="DH334" s="64"/>
      <c r="DI334" s="64"/>
      <c r="DJ334" s="64"/>
      <c r="DK334" s="64"/>
      <c r="DL334" s="64"/>
      <c r="DM334" s="64"/>
      <c r="DN334" s="64"/>
      <c r="DO334" s="64"/>
      <c r="DP334" s="64"/>
      <c r="DQ334" s="64"/>
      <c r="DR334" s="64"/>
      <c r="DS334" s="64"/>
      <c r="DT334" s="64"/>
      <c r="DU334" s="64"/>
      <c r="DV334" s="64"/>
      <c r="DW334" s="64"/>
      <c r="DX334" s="64"/>
      <c r="DY334" s="64"/>
      <c r="DZ334" s="64"/>
      <c r="EA334" s="64"/>
      <c r="EB334" s="64"/>
      <c r="EC334" s="64"/>
      <c r="ED334" s="64"/>
    </row>
    <row r="335" spans="1:134" ht="15.75" customHeight="1">
      <c r="A335" s="65" t="s">
        <v>188</v>
      </c>
      <c r="B335" s="65" t="s">
        <v>394</v>
      </c>
      <c r="C335" s="65" t="s">
        <v>885</v>
      </c>
      <c r="D335" s="65" t="str">
        <f t="shared" si="1"/>
        <v>WR</v>
      </c>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c r="BU335" s="64"/>
      <c r="BV335" s="64"/>
      <c r="BW335" s="64"/>
      <c r="BX335" s="64"/>
      <c r="BY335" s="64"/>
      <c r="BZ335" s="64"/>
      <c r="CA335" s="64"/>
      <c r="CB335" s="64"/>
      <c r="CC335" s="64"/>
      <c r="CD335" s="64"/>
      <c r="CE335" s="64"/>
      <c r="CF335" s="64"/>
      <c r="CG335" s="64"/>
      <c r="CH335" s="64"/>
      <c r="CI335" s="64"/>
      <c r="CJ335" s="64"/>
      <c r="CK335" s="64"/>
      <c r="CL335" s="64"/>
      <c r="CM335" s="64"/>
      <c r="CN335" s="64"/>
      <c r="CO335" s="64"/>
      <c r="CP335" s="64"/>
      <c r="CQ335" s="64"/>
      <c r="CR335" s="64"/>
      <c r="CS335" s="64"/>
      <c r="CT335" s="64"/>
      <c r="CU335" s="64"/>
      <c r="CV335" s="64"/>
      <c r="CW335" s="64"/>
      <c r="CX335" s="64"/>
      <c r="CY335" s="64"/>
      <c r="CZ335" s="64"/>
      <c r="DA335" s="64"/>
      <c r="DB335" s="64"/>
      <c r="DC335" s="64"/>
      <c r="DD335" s="64"/>
      <c r="DE335" s="64"/>
      <c r="DF335" s="64"/>
      <c r="DG335" s="64"/>
      <c r="DH335" s="64"/>
      <c r="DI335" s="64"/>
      <c r="DJ335" s="64"/>
      <c r="DK335" s="64"/>
      <c r="DL335" s="64"/>
      <c r="DM335" s="64"/>
      <c r="DN335" s="64"/>
      <c r="DO335" s="64"/>
      <c r="DP335" s="64"/>
      <c r="DQ335" s="64"/>
      <c r="DR335" s="64"/>
      <c r="DS335" s="64"/>
      <c r="DT335" s="64"/>
      <c r="DU335" s="64"/>
      <c r="DV335" s="64"/>
      <c r="DW335" s="64"/>
      <c r="DX335" s="64"/>
      <c r="DY335" s="64"/>
      <c r="DZ335" s="64"/>
      <c r="EA335" s="64"/>
      <c r="EB335" s="64"/>
      <c r="EC335" s="64"/>
      <c r="ED335" s="64"/>
    </row>
    <row r="336" spans="1:134" ht="15.75" customHeight="1">
      <c r="A336" s="65" t="s">
        <v>886</v>
      </c>
      <c r="B336" s="65" t="s">
        <v>411</v>
      </c>
      <c r="C336" s="65" t="s">
        <v>887</v>
      </c>
      <c r="D336" s="65" t="str">
        <f t="shared" si="1"/>
        <v>QB</v>
      </c>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c r="BU336" s="64"/>
      <c r="BV336" s="64"/>
      <c r="BW336" s="64"/>
      <c r="BX336" s="64"/>
      <c r="BY336" s="64"/>
      <c r="BZ336" s="64"/>
      <c r="CA336" s="64"/>
      <c r="CB336" s="64"/>
      <c r="CC336" s="64"/>
      <c r="CD336" s="64"/>
      <c r="CE336" s="64"/>
      <c r="CF336" s="64"/>
      <c r="CG336" s="64"/>
      <c r="CH336" s="64"/>
      <c r="CI336" s="64"/>
      <c r="CJ336" s="64"/>
      <c r="CK336" s="64"/>
      <c r="CL336" s="64"/>
      <c r="CM336" s="64"/>
      <c r="CN336" s="64"/>
      <c r="CO336" s="64"/>
      <c r="CP336" s="64"/>
      <c r="CQ336" s="64"/>
      <c r="CR336" s="64"/>
      <c r="CS336" s="64"/>
      <c r="CT336" s="64"/>
      <c r="CU336" s="64"/>
      <c r="CV336" s="64"/>
      <c r="CW336" s="64"/>
      <c r="CX336" s="64"/>
      <c r="CY336" s="64"/>
      <c r="CZ336" s="64"/>
      <c r="DA336" s="64"/>
      <c r="DB336" s="64"/>
      <c r="DC336" s="64"/>
      <c r="DD336" s="64"/>
      <c r="DE336" s="64"/>
      <c r="DF336" s="64"/>
      <c r="DG336" s="64"/>
      <c r="DH336" s="64"/>
      <c r="DI336" s="64"/>
      <c r="DJ336" s="64"/>
      <c r="DK336" s="64"/>
      <c r="DL336" s="64"/>
      <c r="DM336" s="64"/>
      <c r="DN336" s="64"/>
      <c r="DO336" s="64"/>
      <c r="DP336" s="64"/>
      <c r="DQ336" s="64"/>
      <c r="DR336" s="64"/>
      <c r="DS336" s="64"/>
      <c r="DT336" s="64"/>
      <c r="DU336" s="64"/>
      <c r="DV336" s="64"/>
      <c r="DW336" s="64"/>
      <c r="DX336" s="64"/>
      <c r="DY336" s="64"/>
      <c r="DZ336" s="64"/>
      <c r="EA336" s="64"/>
      <c r="EB336" s="64"/>
      <c r="EC336" s="64"/>
      <c r="ED336" s="64"/>
    </row>
    <row r="337" spans="1:134" ht="15.75" customHeight="1">
      <c r="A337" s="65" t="s">
        <v>235</v>
      </c>
      <c r="B337" s="65" t="s">
        <v>409</v>
      </c>
      <c r="C337" s="65" t="s">
        <v>888</v>
      </c>
      <c r="D337" s="65" t="str">
        <f t="shared" si="1"/>
        <v>TE</v>
      </c>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c r="BU337" s="64"/>
      <c r="BV337" s="64"/>
      <c r="BW337" s="64"/>
      <c r="BX337" s="64"/>
      <c r="BY337" s="64"/>
      <c r="BZ337" s="64"/>
      <c r="CA337" s="64"/>
      <c r="CB337" s="64"/>
      <c r="CC337" s="64"/>
      <c r="CD337" s="64"/>
      <c r="CE337" s="64"/>
      <c r="CF337" s="64"/>
      <c r="CG337" s="64"/>
      <c r="CH337" s="64"/>
      <c r="CI337" s="64"/>
      <c r="CJ337" s="64"/>
      <c r="CK337" s="64"/>
      <c r="CL337" s="64"/>
      <c r="CM337" s="64"/>
      <c r="CN337" s="64"/>
      <c r="CO337" s="64"/>
      <c r="CP337" s="64"/>
      <c r="CQ337" s="64"/>
      <c r="CR337" s="64"/>
      <c r="CS337" s="64"/>
      <c r="CT337" s="64"/>
      <c r="CU337" s="64"/>
      <c r="CV337" s="64"/>
      <c r="CW337" s="64"/>
      <c r="CX337" s="64"/>
      <c r="CY337" s="64"/>
      <c r="CZ337" s="64"/>
      <c r="DA337" s="64"/>
      <c r="DB337" s="64"/>
      <c r="DC337" s="64"/>
      <c r="DD337" s="64"/>
      <c r="DE337" s="64"/>
      <c r="DF337" s="64"/>
      <c r="DG337" s="64"/>
      <c r="DH337" s="64"/>
      <c r="DI337" s="64"/>
      <c r="DJ337" s="64"/>
      <c r="DK337" s="64"/>
      <c r="DL337" s="64"/>
      <c r="DM337" s="64"/>
      <c r="DN337" s="64"/>
      <c r="DO337" s="64"/>
      <c r="DP337" s="64"/>
      <c r="DQ337" s="64"/>
      <c r="DR337" s="64"/>
      <c r="DS337" s="64"/>
      <c r="DT337" s="64"/>
      <c r="DU337" s="64"/>
      <c r="DV337" s="64"/>
      <c r="DW337" s="64"/>
      <c r="DX337" s="64"/>
      <c r="DY337" s="64"/>
      <c r="DZ337" s="64"/>
      <c r="EA337" s="64"/>
      <c r="EB337" s="64"/>
      <c r="EC337" s="64"/>
      <c r="ED337" s="64"/>
    </row>
    <row r="338" spans="1:134" ht="15.75" customHeight="1">
      <c r="A338" s="65" t="s">
        <v>309</v>
      </c>
      <c r="B338" s="65" t="s">
        <v>416</v>
      </c>
      <c r="C338" s="65" t="s">
        <v>889</v>
      </c>
      <c r="D338" s="65" t="str">
        <f t="shared" si="1"/>
        <v>K</v>
      </c>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c r="BU338" s="64"/>
      <c r="BV338" s="64"/>
      <c r="BW338" s="64"/>
      <c r="BX338" s="64"/>
      <c r="BY338" s="64"/>
      <c r="BZ338" s="64"/>
      <c r="CA338" s="64"/>
      <c r="CB338" s="64"/>
      <c r="CC338" s="64"/>
      <c r="CD338" s="64"/>
      <c r="CE338" s="64"/>
      <c r="CF338" s="64"/>
      <c r="CG338" s="64"/>
      <c r="CH338" s="64"/>
      <c r="CI338" s="64"/>
      <c r="CJ338" s="64"/>
      <c r="CK338" s="64"/>
      <c r="CL338" s="64"/>
      <c r="CM338" s="64"/>
      <c r="CN338" s="64"/>
      <c r="CO338" s="64"/>
      <c r="CP338" s="64"/>
      <c r="CQ338" s="64"/>
      <c r="CR338" s="64"/>
      <c r="CS338" s="64"/>
      <c r="CT338" s="64"/>
      <c r="CU338" s="64"/>
      <c r="CV338" s="64"/>
      <c r="CW338" s="64"/>
      <c r="CX338" s="64"/>
      <c r="CY338" s="64"/>
      <c r="CZ338" s="64"/>
      <c r="DA338" s="64"/>
      <c r="DB338" s="64"/>
      <c r="DC338" s="64"/>
      <c r="DD338" s="64"/>
      <c r="DE338" s="64"/>
      <c r="DF338" s="64"/>
      <c r="DG338" s="64"/>
      <c r="DH338" s="64"/>
      <c r="DI338" s="64"/>
      <c r="DJ338" s="64"/>
      <c r="DK338" s="64"/>
      <c r="DL338" s="64"/>
      <c r="DM338" s="64"/>
      <c r="DN338" s="64"/>
      <c r="DO338" s="64"/>
      <c r="DP338" s="64"/>
      <c r="DQ338" s="64"/>
      <c r="DR338" s="64"/>
      <c r="DS338" s="64"/>
      <c r="DT338" s="64"/>
      <c r="DU338" s="64"/>
      <c r="DV338" s="64"/>
      <c r="DW338" s="64"/>
      <c r="DX338" s="64"/>
      <c r="DY338" s="64"/>
      <c r="DZ338" s="64"/>
      <c r="EA338" s="64"/>
      <c r="EB338" s="64"/>
      <c r="EC338" s="64"/>
      <c r="ED338" s="64"/>
    </row>
    <row r="339" spans="1:134" ht="15.75" customHeight="1">
      <c r="A339" s="65" t="s">
        <v>890</v>
      </c>
      <c r="B339" s="65" t="s">
        <v>417</v>
      </c>
      <c r="C339" s="65" t="s">
        <v>891</v>
      </c>
      <c r="D339" s="65" t="str">
        <f t="shared" si="1"/>
        <v>K</v>
      </c>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c r="BU339" s="64"/>
      <c r="BV339" s="64"/>
      <c r="BW339" s="64"/>
      <c r="BX339" s="64"/>
      <c r="BY339" s="64"/>
      <c r="BZ339" s="64"/>
      <c r="CA339" s="64"/>
      <c r="CB339" s="64"/>
      <c r="CC339" s="64"/>
      <c r="CD339" s="64"/>
      <c r="CE339" s="64"/>
      <c r="CF339" s="64"/>
      <c r="CG339" s="64"/>
      <c r="CH339" s="64"/>
      <c r="CI339" s="64"/>
      <c r="CJ339" s="64"/>
      <c r="CK339" s="64"/>
      <c r="CL339" s="64"/>
      <c r="CM339" s="64"/>
      <c r="CN339" s="64"/>
      <c r="CO339" s="64"/>
      <c r="CP339" s="64"/>
      <c r="CQ339" s="64"/>
      <c r="CR339" s="64"/>
      <c r="CS339" s="64"/>
      <c r="CT339" s="64"/>
      <c r="CU339" s="64"/>
      <c r="CV339" s="64"/>
      <c r="CW339" s="64"/>
      <c r="CX339" s="64"/>
      <c r="CY339" s="64"/>
      <c r="CZ339" s="64"/>
      <c r="DA339" s="64"/>
      <c r="DB339" s="64"/>
      <c r="DC339" s="64"/>
      <c r="DD339" s="64"/>
      <c r="DE339" s="64"/>
      <c r="DF339" s="64"/>
      <c r="DG339" s="64"/>
      <c r="DH339" s="64"/>
      <c r="DI339" s="64"/>
      <c r="DJ339" s="64"/>
      <c r="DK339" s="64"/>
      <c r="DL339" s="64"/>
      <c r="DM339" s="64"/>
      <c r="DN339" s="64"/>
      <c r="DO339" s="64"/>
      <c r="DP339" s="64"/>
      <c r="DQ339" s="64"/>
      <c r="DR339" s="64"/>
      <c r="DS339" s="64"/>
      <c r="DT339" s="64"/>
      <c r="DU339" s="64"/>
      <c r="DV339" s="64"/>
      <c r="DW339" s="64"/>
      <c r="DX339" s="64"/>
      <c r="DY339" s="64"/>
      <c r="DZ339" s="64"/>
      <c r="EA339" s="64"/>
      <c r="EB339" s="64"/>
      <c r="EC339" s="64"/>
      <c r="ED339" s="64"/>
    </row>
    <row r="340" spans="1:134" ht="15.75" customHeight="1">
      <c r="A340" s="65" t="s">
        <v>124</v>
      </c>
      <c r="B340" s="65" t="s">
        <v>396</v>
      </c>
      <c r="C340" s="65" t="s">
        <v>892</v>
      </c>
      <c r="D340" s="65" t="str">
        <f t="shared" si="1"/>
        <v>WR</v>
      </c>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c r="BU340" s="64"/>
      <c r="BV340" s="64"/>
      <c r="BW340" s="64"/>
      <c r="BX340" s="64"/>
      <c r="BY340" s="64"/>
      <c r="BZ340" s="64"/>
      <c r="CA340" s="64"/>
      <c r="CB340" s="64"/>
      <c r="CC340" s="64"/>
      <c r="CD340" s="64"/>
      <c r="CE340" s="64"/>
      <c r="CF340" s="64"/>
      <c r="CG340" s="64"/>
      <c r="CH340" s="64"/>
      <c r="CI340" s="64"/>
      <c r="CJ340" s="64"/>
      <c r="CK340" s="64"/>
      <c r="CL340" s="64"/>
      <c r="CM340" s="64"/>
      <c r="CN340" s="64"/>
      <c r="CO340" s="64"/>
      <c r="CP340" s="64"/>
      <c r="CQ340" s="64"/>
      <c r="CR340" s="64"/>
      <c r="CS340" s="64"/>
      <c r="CT340" s="64"/>
      <c r="CU340" s="64"/>
      <c r="CV340" s="64"/>
      <c r="CW340" s="64"/>
      <c r="CX340" s="64"/>
      <c r="CY340" s="64"/>
      <c r="CZ340" s="64"/>
      <c r="DA340" s="64"/>
      <c r="DB340" s="64"/>
      <c r="DC340" s="64"/>
      <c r="DD340" s="64"/>
      <c r="DE340" s="64"/>
      <c r="DF340" s="64"/>
      <c r="DG340" s="64"/>
      <c r="DH340" s="64"/>
      <c r="DI340" s="64"/>
      <c r="DJ340" s="64"/>
      <c r="DK340" s="64"/>
      <c r="DL340" s="64"/>
      <c r="DM340" s="64"/>
      <c r="DN340" s="64"/>
      <c r="DO340" s="64"/>
      <c r="DP340" s="64"/>
      <c r="DQ340" s="64"/>
      <c r="DR340" s="64"/>
      <c r="DS340" s="64"/>
      <c r="DT340" s="64"/>
      <c r="DU340" s="64"/>
      <c r="DV340" s="64"/>
      <c r="DW340" s="64"/>
      <c r="DX340" s="64"/>
      <c r="DY340" s="64"/>
      <c r="DZ340" s="64"/>
      <c r="EA340" s="64"/>
      <c r="EB340" s="64"/>
      <c r="EC340" s="64"/>
      <c r="ED340" s="64"/>
    </row>
    <row r="341" spans="1:134" ht="15.75" customHeight="1">
      <c r="A341" s="65" t="s">
        <v>231</v>
      </c>
      <c r="B341" s="65" t="s">
        <v>402</v>
      </c>
      <c r="C341" s="65" t="s">
        <v>893</v>
      </c>
      <c r="D341" s="65" t="str">
        <f t="shared" si="1"/>
        <v>QB</v>
      </c>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c r="BU341" s="64"/>
      <c r="BV341" s="64"/>
      <c r="BW341" s="64"/>
      <c r="BX341" s="64"/>
      <c r="BY341" s="64"/>
      <c r="BZ341" s="64"/>
      <c r="CA341" s="64"/>
      <c r="CB341" s="64"/>
      <c r="CC341" s="64"/>
      <c r="CD341" s="64"/>
      <c r="CE341" s="64"/>
      <c r="CF341" s="64"/>
      <c r="CG341" s="64"/>
      <c r="CH341" s="64"/>
      <c r="CI341" s="64"/>
      <c r="CJ341" s="64"/>
      <c r="CK341" s="64"/>
      <c r="CL341" s="64"/>
      <c r="CM341" s="64"/>
      <c r="CN341" s="64"/>
      <c r="CO341" s="64"/>
      <c r="CP341" s="64"/>
      <c r="CQ341" s="64"/>
      <c r="CR341" s="64"/>
      <c r="CS341" s="64"/>
      <c r="CT341" s="64"/>
      <c r="CU341" s="64"/>
      <c r="CV341" s="64"/>
      <c r="CW341" s="64"/>
      <c r="CX341" s="64"/>
      <c r="CY341" s="64"/>
      <c r="CZ341" s="64"/>
      <c r="DA341" s="64"/>
      <c r="DB341" s="64"/>
      <c r="DC341" s="64"/>
      <c r="DD341" s="64"/>
      <c r="DE341" s="64"/>
      <c r="DF341" s="64"/>
      <c r="DG341" s="64"/>
      <c r="DH341" s="64"/>
      <c r="DI341" s="64"/>
      <c r="DJ341" s="64"/>
      <c r="DK341" s="64"/>
      <c r="DL341" s="64"/>
      <c r="DM341" s="64"/>
      <c r="DN341" s="64"/>
      <c r="DO341" s="64"/>
      <c r="DP341" s="64"/>
      <c r="DQ341" s="64"/>
      <c r="DR341" s="64"/>
      <c r="DS341" s="64"/>
      <c r="DT341" s="64"/>
      <c r="DU341" s="64"/>
      <c r="DV341" s="64"/>
      <c r="DW341" s="64"/>
      <c r="DX341" s="64"/>
      <c r="DY341" s="64"/>
      <c r="DZ341" s="64"/>
      <c r="EA341" s="64"/>
      <c r="EB341" s="64"/>
      <c r="EC341" s="64"/>
      <c r="ED341" s="64"/>
    </row>
    <row r="342" spans="1:134" ht="15.75" customHeight="1">
      <c r="A342" s="65" t="s">
        <v>894</v>
      </c>
      <c r="B342" s="65" t="s">
        <v>396</v>
      </c>
      <c r="C342" s="65" t="s">
        <v>895</v>
      </c>
      <c r="D342" s="65" t="str">
        <f t="shared" si="1"/>
        <v>WR</v>
      </c>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c r="CI342" s="64"/>
      <c r="CJ342" s="64"/>
      <c r="CK342" s="64"/>
      <c r="CL342" s="64"/>
      <c r="CM342" s="64"/>
      <c r="CN342" s="64"/>
      <c r="CO342" s="64"/>
      <c r="CP342" s="64"/>
      <c r="CQ342" s="64"/>
      <c r="CR342" s="64"/>
      <c r="CS342" s="64"/>
      <c r="CT342" s="64"/>
      <c r="CU342" s="64"/>
      <c r="CV342" s="64"/>
      <c r="CW342" s="64"/>
      <c r="CX342" s="64"/>
      <c r="CY342" s="64"/>
      <c r="CZ342" s="64"/>
      <c r="DA342" s="64"/>
      <c r="DB342" s="64"/>
      <c r="DC342" s="64"/>
      <c r="DD342" s="64"/>
      <c r="DE342" s="64"/>
      <c r="DF342" s="64"/>
      <c r="DG342" s="64"/>
      <c r="DH342" s="64"/>
      <c r="DI342" s="64"/>
      <c r="DJ342" s="64"/>
      <c r="DK342" s="64"/>
      <c r="DL342" s="64"/>
      <c r="DM342" s="64"/>
      <c r="DN342" s="64"/>
      <c r="DO342" s="64"/>
      <c r="DP342" s="64"/>
      <c r="DQ342" s="64"/>
      <c r="DR342" s="64"/>
      <c r="DS342" s="64"/>
      <c r="DT342" s="64"/>
      <c r="DU342" s="64"/>
      <c r="DV342" s="64"/>
      <c r="DW342" s="64"/>
      <c r="DX342" s="64"/>
      <c r="DY342" s="64"/>
      <c r="DZ342" s="64"/>
      <c r="EA342" s="64"/>
      <c r="EB342" s="64"/>
      <c r="EC342" s="64"/>
      <c r="ED342" s="64"/>
    </row>
    <row r="343" spans="1:134" ht="15.75" customHeight="1">
      <c r="A343" s="65" t="s">
        <v>896</v>
      </c>
      <c r="B343" s="65" t="s">
        <v>404</v>
      </c>
      <c r="C343" s="65" t="s">
        <v>897</v>
      </c>
      <c r="D343" s="65" t="str">
        <f t="shared" si="1"/>
        <v>DEF</v>
      </c>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c r="BU343" s="64"/>
      <c r="BV343" s="64"/>
      <c r="BW343" s="64"/>
      <c r="BX343" s="64"/>
      <c r="BY343" s="64"/>
      <c r="BZ343" s="64"/>
      <c r="CA343" s="64"/>
      <c r="CB343" s="64"/>
      <c r="CC343" s="64"/>
      <c r="CD343" s="64"/>
      <c r="CE343" s="64"/>
      <c r="CF343" s="64"/>
      <c r="CG343" s="64"/>
      <c r="CH343" s="64"/>
      <c r="CI343" s="64"/>
      <c r="CJ343" s="64"/>
      <c r="CK343" s="64"/>
      <c r="CL343" s="64"/>
      <c r="CM343" s="64"/>
      <c r="CN343" s="64"/>
      <c r="CO343" s="64"/>
      <c r="CP343" s="64"/>
      <c r="CQ343" s="64"/>
      <c r="CR343" s="64"/>
      <c r="CS343" s="64"/>
      <c r="CT343" s="64"/>
      <c r="CU343" s="64"/>
      <c r="CV343" s="64"/>
      <c r="CW343" s="64"/>
      <c r="CX343" s="64"/>
      <c r="CY343" s="64"/>
      <c r="CZ343" s="64"/>
      <c r="DA343" s="64"/>
      <c r="DB343" s="64"/>
      <c r="DC343" s="64"/>
      <c r="DD343" s="64"/>
      <c r="DE343" s="64"/>
      <c r="DF343" s="64"/>
      <c r="DG343" s="64"/>
      <c r="DH343" s="64"/>
      <c r="DI343" s="64"/>
      <c r="DJ343" s="64"/>
      <c r="DK343" s="64"/>
      <c r="DL343" s="64"/>
      <c r="DM343" s="64"/>
      <c r="DN343" s="64"/>
      <c r="DO343" s="64"/>
      <c r="DP343" s="64"/>
      <c r="DQ343" s="64"/>
      <c r="DR343" s="64"/>
      <c r="DS343" s="64"/>
      <c r="DT343" s="64"/>
      <c r="DU343" s="64"/>
      <c r="DV343" s="64"/>
      <c r="DW343" s="64"/>
      <c r="DX343" s="64"/>
      <c r="DY343" s="64"/>
      <c r="DZ343" s="64"/>
      <c r="EA343" s="64"/>
      <c r="EB343" s="64"/>
      <c r="EC343" s="64"/>
      <c r="ED343" s="64"/>
    </row>
    <row r="344" spans="1:134" ht="15.75" customHeight="1">
      <c r="A344" s="65" t="s">
        <v>898</v>
      </c>
      <c r="B344" s="65" t="s">
        <v>385</v>
      </c>
      <c r="C344" s="65" t="s">
        <v>899</v>
      </c>
      <c r="D344" s="65" t="str">
        <f t="shared" si="1"/>
        <v>RB</v>
      </c>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c r="BU344" s="64"/>
      <c r="BV344" s="64"/>
      <c r="BW344" s="64"/>
      <c r="BX344" s="64"/>
      <c r="BY344" s="64"/>
      <c r="BZ344" s="64"/>
      <c r="CA344" s="64"/>
      <c r="CB344" s="64"/>
      <c r="CC344" s="64"/>
      <c r="CD344" s="64"/>
      <c r="CE344" s="64"/>
      <c r="CF344" s="64"/>
      <c r="CG344" s="64"/>
      <c r="CH344" s="64"/>
      <c r="CI344" s="64"/>
      <c r="CJ344" s="64"/>
      <c r="CK344" s="64"/>
      <c r="CL344" s="64"/>
      <c r="CM344" s="64"/>
      <c r="CN344" s="64"/>
      <c r="CO344" s="64"/>
      <c r="CP344" s="64"/>
      <c r="CQ344" s="64"/>
      <c r="CR344" s="64"/>
      <c r="CS344" s="64"/>
      <c r="CT344" s="64"/>
      <c r="CU344" s="64"/>
      <c r="CV344" s="64"/>
      <c r="CW344" s="64"/>
      <c r="CX344" s="64"/>
      <c r="CY344" s="64"/>
      <c r="CZ344" s="64"/>
      <c r="DA344" s="64"/>
      <c r="DB344" s="64"/>
      <c r="DC344" s="64"/>
      <c r="DD344" s="64"/>
      <c r="DE344" s="64"/>
      <c r="DF344" s="64"/>
      <c r="DG344" s="64"/>
      <c r="DH344" s="64"/>
      <c r="DI344" s="64"/>
      <c r="DJ344" s="64"/>
      <c r="DK344" s="64"/>
      <c r="DL344" s="64"/>
      <c r="DM344" s="64"/>
      <c r="DN344" s="64"/>
      <c r="DO344" s="64"/>
      <c r="DP344" s="64"/>
      <c r="DQ344" s="64"/>
      <c r="DR344" s="64"/>
      <c r="DS344" s="64"/>
      <c r="DT344" s="64"/>
      <c r="DU344" s="64"/>
      <c r="DV344" s="64"/>
      <c r="DW344" s="64"/>
      <c r="DX344" s="64"/>
      <c r="DY344" s="64"/>
      <c r="DZ344" s="64"/>
      <c r="EA344" s="64"/>
      <c r="EB344" s="64"/>
      <c r="EC344" s="64"/>
      <c r="ED344" s="64"/>
    </row>
    <row r="345" spans="1:134" ht="15.75" customHeight="1">
      <c r="A345" s="65" t="s">
        <v>900</v>
      </c>
      <c r="B345" s="65" t="s">
        <v>416</v>
      </c>
      <c r="C345" s="65" t="s">
        <v>901</v>
      </c>
      <c r="D345" s="65" t="str">
        <f t="shared" si="1"/>
        <v>WR</v>
      </c>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c r="BU345" s="64"/>
      <c r="BV345" s="64"/>
      <c r="BW345" s="64"/>
      <c r="BX345" s="64"/>
      <c r="BY345" s="64"/>
      <c r="BZ345" s="64"/>
      <c r="CA345" s="64"/>
      <c r="CB345" s="64"/>
      <c r="CC345" s="64"/>
      <c r="CD345" s="64"/>
      <c r="CE345" s="64"/>
      <c r="CF345" s="64"/>
      <c r="CG345" s="64"/>
      <c r="CH345" s="64"/>
      <c r="CI345" s="64"/>
      <c r="CJ345" s="64"/>
      <c r="CK345" s="64"/>
      <c r="CL345" s="64"/>
      <c r="CM345" s="64"/>
      <c r="CN345" s="64"/>
      <c r="CO345" s="64"/>
      <c r="CP345" s="64"/>
      <c r="CQ345" s="64"/>
      <c r="CR345" s="64"/>
      <c r="CS345" s="64"/>
      <c r="CT345" s="64"/>
      <c r="CU345" s="64"/>
      <c r="CV345" s="64"/>
      <c r="CW345" s="64"/>
      <c r="CX345" s="64"/>
      <c r="CY345" s="64"/>
      <c r="CZ345" s="64"/>
      <c r="DA345" s="64"/>
      <c r="DB345" s="64"/>
      <c r="DC345" s="64"/>
      <c r="DD345" s="64"/>
      <c r="DE345" s="64"/>
      <c r="DF345" s="64"/>
      <c r="DG345" s="64"/>
      <c r="DH345" s="64"/>
      <c r="DI345" s="64"/>
      <c r="DJ345" s="64"/>
      <c r="DK345" s="64"/>
      <c r="DL345" s="64"/>
      <c r="DM345" s="64"/>
      <c r="DN345" s="64"/>
      <c r="DO345" s="64"/>
      <c r="DP345" s="64"/>
      <c r="DQ345" s="64"/>
      <c r="DR345" s="64"/>
      <c r="DS345" s="64"/>
      <c r="DT345" s="64"/>
      <c r="DU345" s="64"/>
      <c r="DV345" s="64"/>
      <c r="DW345" s="64"/>
      <c r="DX345" s="64"/>
      <c r="DY345" s="64"/>
      <c r="DZ345" s="64"/>
      <c r="EA345" s="64"/>
      <c r="EB345" s="64"/>
      <c r="EC345" s="64"/>
      <c r="ED345" s="64"/>
    </row>
    <row r="346" spans="1:134" ht="15.75" customHeight="1">
      <c r="A346" s="65" t="s">
        <v>902</v>
      </c>
      <c r="B346" s="65" t="s">
        <v>403</v>
      </c>
      <c r="C346" s="65" t="s">
        <v>903</v>
      </c>
      <c r="D346" s="65" t="str">
        <f t="shared" si="1"/>
        <v>TE</v>
      </c>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c r="BU346" s="64"/>
      <c r="BV346" s="64"/>
      <c r="BW346" s="64"/>
      <c r="BX346" s="64"/>
      <c r="BY346" s="64"/>
      <c r="BZ346" s="64"/>
      <c r="CA346" s="64"/>
      <c r="CB346" s="64"/>
      <c r="CC346" s="64"/>
      <c r="CD346" s="64"/>
      <c r="CE346" s="64"/>
      <c r="CF346" s="64"/>
      <c r="CG346" s="64"/>
      <c r="CH346" s="64"/>
      <c r="CI346" s="64"/>
      <c r="CJ346" s="64"/>
      <c r="CK346" s="64"/>
      <c r="CL346" s="64"/>
      <c r="CM346" s="64"/>
      <c r="CN346" s="64"/>
      <c r="CO346" s="64"/>
      <c r="CP346" s="64"/>
      <c r="CQ346" s="64"/>
      <c r="CR346" s="64"/>
      <c r="CS346" s="64"/>
      <c r="CT346" s="64"/>
      <c r="CU346" s="64"/>
      <c r="CV346" s="64"/>
      <c r="CW346" s="64"/>
      <c r="CX346" s="64"/>
      <c r="CY346" s="64"/>
      <c r="CZ346" s="64"/>
      <c r="DA346" s="64"/>
      <c r="DB346" s="64"/>
      <c r="DC346" s="64"/>
      <c r="DD346" s="64"/>
      <c r="DE346" s="64"/>
      <c r="DF346" s="64"/>
      <c r="DG346" s="64"/>
      <c r="DH346" s="64"/>
      <c r="DI346" s="64"/>
      <c r="DJ346" s="64"/>
      <c r="DK346" s="64"/>
      <c r="DL346" s="64"/>
      <c r="DM346" s="64"/>
      <c r="DN346" s="64"/>
      <c r="DO346" s="64"/>
      <c r="DP346" s="64"/>
      <c r="DQ346" s="64"/>
      <c r="DR346" s="64"/>
      <c r="DS346" s="64"/>
      <c r="DT346" s="64"/>
      <c r="DU346" s="64"/>
      <c r="DV346" s="64"/>
      <c r="DW346" s="64"/>
      <c r="DX346" s="64"/>
      <c r="DY346" s="64"/>
      <c r="DZ346" s="64"/>
      <c r="EA346" s="64"/>
      <c r="EB346" s="64"/>
      <c r="EC346" s="64"/>
      <c r="ED346" s="64"/>
    </row>
    <row r="347" spans="1:134" ht="15.75" customHeight="1">
      <c r="A347" s="65" t="s">
        <v>199</v>
      </c>
      <c r="B347" s="65" t="s">
        <v>386</v>
      </c>
      <c r="C347" s="65" t="s">
        <v>904</v>
      </c>
      <c r="D347" s="65" t="str">
        <f t="shared" si="1"/>
        <v>QB</v>
      </c>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c r="DF347" s="64"/>
      <c r="DG347" s="64"/>
      <c r="DH347" s="64"/>
      <c r="DI347" s="64"/>
      <c r="DJ347" s="64"/>
      <c r="DK347" s="64"/>
      <c r="DL347" s="64"/>
      <c r="DM347" s="64"/>
      <c r="DN347" s="64"/>
      <c r="DO347" s="64"/>
      <c r="DP347" s="64"/>
      <c r="DQ347" s="64"/>
      <c r="DR347" s="64"/>
      <c r="DS347" s="64"/>
      <c r="DT347" s="64"/>
      <c r="DU347" s="64"/>
      <c r="DV347" s="64"/>
      <c r="DW347" s="64"/>
      <c r="DX347" s="64"/>
      <c r="DY347" s="64"/>
      <c r="DZ347" s="64"/>
      <c r="EA347" s="64"/>
      <c r="EB347" s="64"/>
      <c r="EC347" s="64"/>
      <c r="ED347" s="64"/>
    </row>
    <row r="348" spans="1:134" ht="15.75" customHeight="1">
      <c r="A348" s="65" t="s">
        <v>161</v>
      </c>
      <c r="B348" s="65" t="s">
        <v>398</v>
      </c>
      <c r="C348" s="65" t="s">
        <v>905</v>
      </c>
      <c r="D348" s="65" t="str">
        <f t="shared" si="1"/>
        <v>WR</v>
      </c>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c r="BU348" s="64"/>
      <c r="BV348" s="64"/>
      <c r="BW348" s="64"/>
      <c r="BX348" s="64"/>
      <c r="BY348" s="64"/>
      <c r="BZ348" s="64"/>
      <c r="CA348" s="64"/>
      <c r="CB348" s="64"/>
      <c r="CC348" s="64"/>
      <c r="CD348" s="64"/>
      <c r="CE348" s="64"/>
      <c r="CF348" s="64"/>
      <c r="CG348" s="64"/>
      <c r="CH348" s="64"/>
      <c r="CI348" s="64"/>
      <c r="CJ348" s="64"/>
      <c r="CK348" s="64"/>
      <c r="CL348" s="64"/>
      <c r="CM348" s="64"/>
      <c r="CN348" s="64"/>
      <c r="CO348" s="64"/>
      <c r="CP348" s="64"/>
      <c r="CQ348" s="64"/>
      <c r="CR348" s="64"/>
      <c r="CS348" s="64"/>
      <c r="CT348" s="64"/>
      <c r="CU348" s="64"/>
      <c r="CV348" s="64"/>
      <c r="CW348" s="64"/>
      <c r="CX348" s="64"/>
      <c r="CY348" s="64"/>
      <c r="CZ348" s="64"/>
      <c r="DA348" s="64"/>
      <c r="DB348" s="64"/>
      <c r="DC348" s="64"/>
      <c r="DD348" s="64"/>
      <c r="DE348" s="64"/>
      <c r="DF348" s="64"/>
      <c r="DG348" s="64"/>
      <c r="DH348" s="64"/>
      <c r="DI348" s="64"/>
      <c r="DJ348" s="64"/>
      <c r="DK348" s="64"/>
      <c r="DL348" s="64"/>
      <c r="DM348" s="64"/>
      <c r="DN348" s="64"/>
      <c r="DO348" s="64"/>
      <c r="DP348" s="64"/>
      <c r="DQ348" s="64"/>
      <c r="DR348" s="64"/>
      <c r="DS348" s="64"/>
      <c r="DT348" s="64"/>
      <c r="DU348" s="64"/>
      <c r="DV348" s="64"/>
      <c r="DW348" s="64"/>
      <c r="DX348" s="64"/>
      <c r="DY348" s="64"/>
      <c r="DZ348" s="64"/>
      <c r="EA348" s="64"/>
      <c r="EB348" s="64"/>
      <c r="EC348" s="64"/>
      <c r="ED348" s="64"/>
    </row>
    <row r="349" spans="1:134" ht="15.75" customHeight="1">
      <c r="A349" s="65" t="s">
        <v>244</v>
      </c>
      <c r="B349" s="65" t="s">
        <v>385</v>
      </c>
      <c r="C349" s="65" t="s">
        <v>906</v>
      </c>
      <c r="D349" s="65" t="str">
        <f t="shared" si="1"/>
        <v>WR</v>
      </c>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c r="BU349" s="64"/>
      <c r="BV349" s="64"/>
      <c r="BW349" s="64"/>
      <c r="BX349" s="64"/>
      <c r="BY349" s="64"/>
      <c r="BZ349" s="64"/>
      <c r="CA349" s="64"/>
      <c r="CB349" s="64"/>
      <c r="CC349" s="64"/>
      <c r="CD349" s="64"/>
      <c r="CE349" s="64"/>
      <c r="CF349" s="64"/>
      <c r="CG349" s="64"/>
      <c r="CH349" s="64"/>
      <c r="CI349" s="64"/>
      <c r="CJ349" s="64"/>
      <c r="CK349" s="64"/>
      <c r="CL349" s="64"/>
      <c r="CM349" s="64"/>
      <c r="CN349" s="64"/>
      <c r="CO349" s="64"/>
      <c r="CP349" s="64"/>
      <c r="CQ349" s="64"/>
      <c r="CR349" s="64"/>
      <c r="CS349" s="64"/>
      <c r="CT349" s="64"/>
      <c r="CU349" s="64"/>
      <c r="CV349" s="64"/>
      <c r="CW349" s="64"/>
      <c r="CX349" s="64"/>
      <c r="CY349" s="64"/>
      <c r="CZ349" s="64"/>
      <c r="DA349" s="64"/>
      <c r="DB349" s="64"/>
      <c r="DC349" s="64"/>
      <c r="DD349" s="64"/>
      <c r="DE349" s="64"/>
      <c r="DF349" s="64"/>
      <c r="DG349" s="64"/>
      <c r="DH349" s="64"/>
      <c r="DI349" s="64"/>
      <c r="DJ349" s="64"/>
      <c r="DK349" s="64"/>
      <c r="DL349" s="64"/>
      <c r="DM349" s="64"/>
      <c r="DN349" s="64"/>
      <c r="DO349" s="64"/>
      <c r="DP349" s="64"/>
      <c r="DQ349" s="64"/>
      <c r="DR349" s="64"/>
      <c r="DS349" s="64"/>
      <c r="DT349" s="64"/>
      <c r="DU349" s="64"/>
      <c r="DV349" s="64"/>
      <c r="DW349" s="64"/>
      <c r="DX349" s="64"/>
      <c r="DY349" s="64"/>
      <c r="DZ349" s="64"/>
      <c r="EA349" s="64"/>
      <c r="EB349" s="64"/>
      <c r="EC349" s="64"/>
      <c r="ED349" s="64"/>
    </row>
    <row r="350" spans="1:134" ht="15.75" customHeight="1">
      <c r="A350" s="65" t="s">
        <v>45</v>
      </c>
      <c r="B350" s="65" t="s">
        <v>414</v>
      </c>
      <c r="C350" s="65" t="s">
        <v>907</v>
      </c>
      <c r="D350" s="65" t="str">
        <f t="shared" si="1"/>
        <v>WR</v>
      </c>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c r="CY350" s="64"/>
      <c r="CZ350" s="64"/>
      <c r="DA350" s="64"/>
      <c r="DB350" s="64"/>
      <c r="DC350" s="64"/>
      <c r="DD350" s="64"/>
      <c r="DE350" s="64"/>
      <c r="DF350" s="64"/>
      <c r="DG350" s="64"/>
      <c r="DH350" s="64"/>
      <c r="DI350" s="64"/>
      <c r="DJ350" s="64"/>
      <c r="DK350" s="64"/>
      <c r="DL350" s="64"/>
      <c r="DM350" s="64"/>
      <c r="DN350" s="64"/>
      <c r="DO350" s="64"/>
      <c r="DP350" s="64"/>
      <c r="DQ350" s="64"/>
      <c r="DR350" s="64"/>
      <c r="DS350" s="64"/>
      <c r="DT350" s="64"/>
      <c r="DU350" s="64"/>
      <c r="DV350" s="64"/>
      <c r="DW350" s="64"/>
      <c r="DX350" s="64"/>
      <c r="DY350" s="64"/>
      <c r="DZ350" s="64"/>
      <c r="EA350" s="64"/>
      <c r="EB350" s="64"/>
      <c r="EC350" s="64"/>
      <c r="ED350" s="64"/>
    </row>
    <row r="351" spans="1:134" ht="15.75" customHeight="1">
      <c r="A351" s="65" t="s">
        <v>202</v>
      </c>
      <c r="B351" s="65" t="s">
        <v>391</v>
      </c>
      <c r="C351" s="65" t="s">
        <v>908</v>
      </c>
      <c r="D351" s="65" t="str">
        <f t="shared" si="1"/>
        <v>TE</v>
      </c>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c r="BU351" s="64"/>
      <c r="BV351" s="64"/>
      <c r="BW351" s="64"/>
      <c r="BX351" s="64"/>
      <c r="BY351" s="64"/>
      <c r="BZ351" s="64"/>
      <c r="CA351" s="64"/>
      <c r="CB351" s="64"/>
      <c r="CC351" s="64"/>
      <c r="CD351" s="64"/>
      <c r="CE351" s="64"/>
      <c r="CF351" s="64"/>
      <c r="CG351" s="64"/>
      <c r="CH351" s="64"/>
      <c r="CI351" s="64"/>
      <c r="CJ351" s="64"/>
      <c r="CK351" s="64"/>
      <c r="CL351" s="64"/>
      <c r="CM351" s="64"/>
      <c r="CN351" s="64"/>
      <c r="CO351" s="64"/>
      <c r="CP351" s="64"/>
      <c r="CQ351" s="64"/>
      <c r="CR351" s="64"/>
      <c r="CS351" s="64"/>
      <c r="CT351" s="64"/>
      <c r="CU351" s="64"/>
      <c r="CV351" s="64"/>
      <c r="CW351" s="64"/>
      <c r="CX351" s="64"/>
      <c r="CY351" s="64"/>
      <c r="CZ351" s="64"/>
      <c r="DA351" s="64"/>
      <c r="DB351" s="64"/>
      <c r="DC351" s="64"/>
      <c r="DD351" s="64"/>
      <c r="DE351" s="64"/>
      <c r="DF351" s="64"/>
      <c r="DG351" s="64"/>
      <c r="DH351" s="64"/>
      <c r="DI351" s="64"/>
      <c r="DJ351" s="64"/>
      <c r="DK351" s="64"/>
      <c r="DL351" s="64"/>
      <c r="DM351" s="64"/>
      <c r="DN351" s="64"/>
      <c r="DO351" s="64"/>
      <c r="DP351" s="64"/>
      <c r="DQ351" s="64"/>
      <c r="DR351" s="64"/>
      <c r="DS351" s="64"/>
      <c r="DT351" s="64"/>
      <c r="DU351" s="64"/>
      <c r="DV351" s="64"/>
      <c r="DW351" s="64"/>
      <c r="DX351" s="64"/>
      <c r="DY351" s="64"/>
      <c r="DZ351" s="64"/>
      <c r="EA351" s="64"/>
      <c r="EB351" s="64"/>
      <c r="EC351" s="64"/>
      <c r="ED351" s="64"/>
    </row>
    <row r="352" spans="1:134" ht="15.75" customHeight="1">
      <c r="A352" s="65" t="s">
        <v>909</v>
      </c>
      <c r="B352" s="65" t="s">
        <v>393</v>
      </c>
      <c r="C352" s="65" t="s">
        <v>910</v>
      </c>
      <c r="D352" s="65" t="str">
        <f t="shared" si="1"/>
        <v>RB</v>
      </c>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c r="BU352" s="64"/>
      <c r="BV352" s="64"/>
      <c r="BW352" s="64"/>
      <c r="BX352" s="64"/>
      <c r="BY352" s="64"/>
      <c r="BZ352" s="64"/>
      <c r="CA352" s="64"/>
      <c r="CB352" s="64"/>
      <c r="CC352" s="64"/>
      <c r="CD352" s="64"/>
      <c r="CE352" s="64"/>
      <c r="CF352" s="64"/>
      <c r="CG352" s="64"/>
      <c r="CH352" s="64"/>
      <c r="CI352" s="64"/>
      <c r="CJ352" s="64"/>
      <c r="CK352" s="64"/>
      <c r="CL352" s="64"/>
      <c r="CM352" s="64"/>
      <c r="CN352" s="64"/>
      <c r="CO352" s="64"/>
      <c r="CP352" s="64"/>
      <c r="CQ352" s="64"/>
      <c r="CR352" s="64"/>
      <c r="CS352" s="64"/>
      <c r="CT352" s="64"/>
      <c r="CU352" s="64"/>
      <c r="CV352" s="64"/>
      <c r="CW352" s="64"/>
      <c r="CX352" s="64"/>
      <c r="CY352" s="64"/>
      <c r="CZ352" s="64"/>
      <c r="DA352" s="64"/>
      <c r="DB352" s="64"/>
      <c r="DC352" s="64"/>
      <c r="DD352" s="64"/>
      <c r="DE352" s="64"/>
      <c r="DF352" s="64"/>
      <c r="DG352" s="64"/>
      <c r="DH352" s="64"/>
      <c r="DI352" s="64"/>
      <c r="DJ352" s="64"/>
      <c r="DK352" s="64"/>
      <c r="DL352" s="64"/>
      <c r="DM352" s="64"/>
      <c r="DN352" s="64"/>
      <c r="DO352" s="64"/>
      <c r="DP352" s="64"/>
      <c r="DQ352" s="64"/>
      <c r="DR352" s="64"/>
      <c r="DS352" s="64"/>
      <c r="DT352" s="64"/>
      <c r="DU352" s="64"/>
      <c r="DV352" s="64"/>
      <c r="DW352" s="64"/>
      <c r="DX352" s="64"/>
      <c r="DY352" s="64"/>
      <c r="DZ352" s="64"/>
      <c r="EA352" s="64"/>
      <c r="EB352" s="64"/>
      <c r="EC352" s="64"/>
      <c r="ED352" s="64"/>
    </row>
    <row r="353" spans="1:134" ht="15.75" customHeight="1">
      <c r="A353" s="65" t="s">
        <v>201</v>
      </c>
      <c r="B353" s="65" t="s">
        <v>405</v>
      </c>
      <c r="C353" s="65" t="s">
        <v>911</v>
      </c>
      <c r="D353" s="65" t="str">
        <f t="shared" si="1"/>
        <v>DEF</v>
      </c>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c r="BU353" s="64"/>
      <c r="BV353" s="64"/>
      <c r="BW353" s="64"/>
      <c r="BX353" s="64"/>
      <c r="BY353" s="64"/>
      <c r="BZ353" s="64"/>
      <c r="CA353" s="64"/>
      <c r="CB353" s="64"/>
      <c r="CC353" s="64"/>
      <c r="CD353" s="64"/>
      <c r="CE353" s="64"/>
      <c r="CF353" s="64"/>
      <c r="CG353" s="64"/>
      <c r="CH353" s="64"/>
      <c r="CI353" s="64"/>
      <c r="CJ353" s="64"/>
      <c r="CK353" s="64"/>
      <c r="CL353" s="64"/>
      <c r="CM353" s="64"/>
      <c r="CN353" s="64"/>
      <c r="CO353" s="64"/>
      <c r="CP353" s="64"/>
      <c r="CQ353" s="64"/>
      <c r="CR353" s="64"/>
      <c r="CS353" s="64"/>
      <c r="CT353" s="64"/>
      <c r="CU353" s="64"/>
      <c r="CV353" s="64"/>
      <c r="CW353" s="64"/>
      <c r="CX353" s="64"/>
      <c r="CY353" s="64"/>
      <c r="CZ353" s="64"/>
      <c r="DA353" s="64"/>
      <c r="DB353" s="64"/>
      <c r="DC353" s="64"/>
      <c r="DD353" s="64"/>
      <c r="DE353" s="64"/>
      <c r="DF353" s="64"/>
      <c r="DG353" s="64"/>
      <c r="DH353" s="64"/>
      <c r="DI353" s="64"/>
      <c r="DJ353" s="64"/>
      <c r="DK353" s="64"/>
      <c r="DL353" s="64"/>
      <c r="DM353" s="64"/>
      <c r="DN353" s="64"/>
      <c r="DO353" s="64"/>
      <c r="DP353" s="64"/>
      <c r="DQ353" s="64"/>
      <c r="DR353" s="64"/>
      <c r="DS353" s="64"/>
      <c r="DT353" s="64"/>
      <c r="DU353" s="64"/>
      <c r="DV353" s="64"/>
      <c r="DW353" s="64"/>
      <c r="DX353" s="64"/>
      <c r="DY353" s="64"/>
      <c r="DZ353" s="64"/>
      <c r="EA353" s="64"/>
      <c r="EB353" s="64"/>
      <c r="EC353" s="64"/>
      <c r="ED353" s="64"/>
    </row>
    <row r="354" spans="1:134" ht="15.75" customHeight="1">
      <c r="A354" s="65" t="s">
        <v>912</v>
      </c>
      <c r="B354" s="65" t="s">
        <v>389</v>
      </c>
      <c r="C354" s="65" t="s">
        <v>913</v>
      </c>
      <c r="D354" s="65" t="str">
        <f t="shared" si="1"/>
        <v>TE</v>
      </c>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c r="BU354" s="64"/>
      <c r="BV354" s="64"/>
      <c r="BW354" s="64"/>
      <c r="BX354" s="64"/>
      <c r="BY354" s="64"/>
      <c r="BZ354" s="64"/>
      <c r="CA354" s="64"/>
      <c r="CB354" s="64"/>
      <c r="CC354" s="64"/>
      <c r="CD354" s="64"/>
      <c r="CE354" s="64"/>
      <c r="CF354" s="64"/>
      <c r="CG354" s="64"/>
      <c r="CH354" s="64"/>
      <c r="CI354" s="64"/>
      <c r="CJ354" s="64"/>
      <c r="CK354" s="64"/>
      <c r="CL354" s="64"/>
      <c r="CM354" s="64"/>
      <c r="CN354" s="64"/>
      <c r="CO354" s="64"/>
      <c r="CP354" s="64"/>
      <c r="CQ354" s="64"/>
      <c r="CR354" s="64"/>
      <c r="CS354" s="64"/>
      <c r="CT354" s="64"/>
      <c r="CU354" s="64"/>
      <c r="CV354" s="64"/>
      <c r="CW354" s="64"/>
      <c r="CX354" s="64"/>
      <c r="CY354" s="64"/>
      <c r="CZ354" s="64"/>
      <c r="DA354" s="64"/>
      <c r="DB354" s="64"/>
      <c r="DC354" s="64"/>
      <c r="DD354" s="64"/>
      <c r="DE354" s="64"/>
      <c r="DF354" s="64"/>
      <c r="DG354" s="64"/>
      <c r="DH354" s="64"/>
      <c r="DI354" s="64"/>
      <c r="DJ354" s="64"/>
      <c r="DK354" s="64"/>
      <c r="DL354" s="64"/>
      <c r="DM354" s="64"/>
      <c r="DN354" s="64"/>
      <c r="DO354" s="64"/>
      <c r="DP354" s="64"/>
      <c r="DQ354" s="64"/>
      <c r="DR354" s="64"/>
      <c r="DS354" s="64"/>
      <c r="DT354" s="64"/>
      <c r="DU354" s="64"/>
      <c r="DV354" s="64"/>
      <c r="DW354" s="64"/>
      <c r="DX354" s="64"/>
      <c r="DY354" s="64"/>
      <c r="DZ354" s="64"/>
      <c r="EA354" s="64"/>
      <c r="EB354" s="64"/>
      <c r="EC354" s="64"/>
      <c r="ED354" s="64"/>
    </row>
    <row r="355" spans="1:134" ht="15.75" customHeight="1">
      <c r="A355" s="65" t="s">
        <v>139</v>
      </c>
      <c r="B355" s="65" t="s">
        <v>401</v>
      </c>
      <c r="C355" s="65" t="s">
        <v>914</v>
      </c>
      <c r="D355" s="65" t="str">
        <f t="shared" si="1"/>
        <v>RB</v>
      </c>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c r="BU355" s="64"/>
      <c r="BV355" s="64"/>
      <c r="BW355" s="64"/>
      <c r="BX355" s="64"/>
      <c r="BY355" s="64"/>
      <c r="BZ355" s="64"/>
      <c r="CA355" s="64"/>
      <c r="CB355" s="64"/>
      <c r="CC355" s="64"/>
      <c r="CD355" s="64"/>
      <c r="CE355" s="64"/>
      <c r="CF355" s="64"/>
      <c r="CG355" s="64"/>
      <c r="CH355" s="64"/>
      <c r="CI355" s="64"/>
      <c r="CJ355" s="64"/>
      <c r="CK355" s="64"/>
      <c r="CL355" s="64"/>
      <c r="CM355" s="64"/>
      <c r="CN355" s="64"/>
      <c r="CO355" s="64"/>
      <c r="CP355" s="64"/>
      <c r="CQ355" s="64"/>
      <c r="CR355" s="64"/>
      <c r="CS355" s="64"/>
      <c r="CT355" s="64"/>
      <c r="CU355" s="64"/>
      <c r="CV355" s="64"/>
      <c r="CW355" s="64"/>
      <c r="CX355" s="64"/>
      <c r="CY355" s="64"/>
      <c r="CZ355" s="64"/>
      <c r="DA355" s="64"/>
      <c r="DB355" s="64"/>
      <c r="DC355" s="64"/>
      <c r="DD355" s="64"/>
      <c r="DE355" s="64"/>
      <c r="DF355" s="64"/>
      <c r="DG355" s="64"/>
      <c r="DH355" s="64"/>
      <c r="DI355" s="64"/>
      <c r="DJ355" s="64"/>
      <c r="DK355" s="64"/>
      <c r="DL355" s="64"/>
      <c r="DM355" s="64"/>
      <c r="DN355" s="64"/>
      <c r="DO355" s="64"/>
      <c r="DP355" s="64"/>
      <c r="DQ355" s="64"/>
      <c r="DR355" s="64"/>
      <c r="DS355" s="64"/>
      <c r="DT355" s="64"/>
      <c r="DU355" s="64"/>
      <c r="DV355" s="64"/>
      <c r="DW355" s="64"/>
      <c r="DX355" s="64"/>
      <c r="DY355" s="64"/>
      <c r="DZ355" s="64"/>
      <c r="EA355" s="64"/>
      <c r="EB355" s="64"/>
      <c r="EC355" s="64"/>
      <c r="ED355" s="64"/>
    </row>
    <row r="356" spans="1:134" ht="15.75" customHeight="1">
      <c r="A356" s="65" t="s">
        <v>321</v>
      </c>
      <c r="B356" s="65" t="s">
        <v>406</v>
      </c>
      <c r="C356" s="65" t="s">
        <v>915</v>
      </c>
      <c r="D356" s="65" t="str">
        <f t="shared" si="1"/>
        <v>DEF</v>
      </c>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c r="BU356" s="64"/>
      <c r="BV356" s="64"/>
      <c r="BW356" s="64"/>
      <c r="BX356" s="64"/>
      <c r="BY356" s="64"/>
      <c r="BZ356" s="64"/>
      <c r="CA356" s="64"/>
      <c r="CB356" s="64"/>
      <c r="CC356" s="64"/>
      <c r="CD356" s="64"/>
      <c r="CE356" s="64"/>
      <c r="CF356" s="64"/>
      <c r="CG356" s="64"/>
      <c r="CH356" s="64"/>
      <c r="CI356" s="64"/>
      <c r="CJ356" s="64"/>
      <c r="CK356" s="64"/>
      <c r="CL356" s="64"/>
      <c r="CM356" s="64"/>
      <c r="CN356" s="64"/>
      <c r="CO356" s="64"/>
      <c r="CP356" s="64"/>
      <c r="CQ356" s="64"/>
      <c r="CR356" s="64"/>
      <c r="CS356" s="64"/>
      <c r="CT356" s="64"/>
      <c r="CU356" s="64"/>
      <c r="CV356" s="64"/>
      <c r="CW356" s="64"/>
      <c r="CX356" s="64"/>
      <c r="CY356" s="64"/>
      <c r="CZ356" s="64"/>
      <c r="DA356" s="64"/>
      <c r="DB356" s="64"/>
      <c r="DC356" s="64"/>
      <c r="DD356" s="64"/>
      <c r="DE356" s="64"/>
      <c r="DF356" s="64"/>
      <c r="DG356" s="64"/>
      <c r="DH356" s="64"/>
      <c r="DI356" s="64"/>
      <c r="DJ356" s="64"/>
      <c r="DK356" s="64"/>
      <c r="DL356" s="64"/>
      <c r="DM356" s="64"/>
      <c r="DN356" s="64"/>
      <c r="DO356" s="64"/>
      <c r="DP356" s="64"/>
      <c r="DQ356" s="64"/>
      <c r="DR356" s="64"/>
      <c r="DS356" s="64"/>
      <c r="DT356" s="64"/>
      <c r="DU356" s="64"/>
      <c r="DV356" s="64"/>
      <c r="DW356" s="64"/>
      <c r="DX356" s="64"/>
      <c r="DY356" s="64"/>
      <c r="DZ356" s="64"/>
      <c r="EA356" s="64"/>
      <c r="EB356" s="64"/>
      <c r="EC356" s="64"/>
      <c r="ED356" s="64"/>
    </row>
    <row r="357" spans="1:134" ht="15.75" customHeight="1">
      <c r="A357" s="65" t="s">
        <v>916</v>
      </c>
      <c r="B357" s="65" t="s">
        <v>407</v>
      </c>
      <c r="C357" s="65" t="s">
        <v>917</v>
      </c>
      <c r="D357" s="65" t="str">
        <f t="shared" si="1"/>
        <v>DEF</v>
      </c>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c r="BU357" s="64"/>
      <c r="BV357" s="64"/>
      <c r="BW357" s="64"/>
      <c r="BX357" s="64"/>
      <c r="BY357" s="64"/>
      <c r="BZ357" s="64"/>
      <c r="CA357" s="64"/>
      <c r="CB357" s="64"/>
      <c r="CC357" s="64"/>
      <c r="CD357" s="64"/>
      <c r="CE357" s="64"/>
      <c r="CF357" s="64"/>
      <c r="CG357" s="64"/>
      <c r="CH357" s="64"/>
      <c r="CI357" s="64"/>
      <c r="CJ357" s="64"/>
      <c r="CK357" s="64"/>
      <c r="CL357" s="64"/>
      <c r="CM357" s="64"/>
      <c r="CN357" s="64"/>
      <c r="CO357" s="64"/>
      <c r="CP357" s="64"/>
      <c r="CQ357" s="64"/>
      <c r="CR357" s="64"/>
      <c r="CS357" s="64"/>
      <c r="CT357" s="64"/>
      <c r="CU357" s="64"/>
      <c r="CV357" s="64"/>
      <c r="CW357" s="64"/>
      <c r="CX357" s="64"/>
      <c r="CY357" s="64"/>
      <c r="CZ357" s="64"/>
      <c r="DA357" s="64"/>
      <c r="DB357" s="64"/>
      <c r="DC357" s="64"/>
      <c r="DD357" s="64"/>
      <c r="DE357" s="64"/>
      <c r="DF357" s="64"/>
      <c r="DG357" s="64"/>
      <c r="DH357" s="64"/>
      <c r="DI357" s="64"/>
      <c r="DJ357" s="64"/>
      <c r="DK357" s="64"/>
      <c r="DL357" s="64"/>
      <c r="DM357" s="64"/>
      <c r="DN357" s="64"/>
      <c r="DO357" s="64"/>
      <c r="DP357" s="64"/>
      <c r="DQ357" s="64"/>
      <c r="DR357" s="64"/>
      <c r="DS357" s="64"/>
      <c r="DT357" s="64"/>
      <c r="DU357" s="64"/>
      <c r="DV357" s="64"/>
      <c r="DW357" s="64"/>
      <c r="DX357" s="64"/>
      <c r="DY357" s="64"/>
      <c r="DZ357" s="64"/>
      <c r="EA357" s="64"/>
      <c r="EB357" s="64"/>
      <c r="EC357" s="64"/>
      <c r="ED357" s="64"/>
    </row>
    <row r="358" spans="1:134" ht="15.75" customHeight="1">
      <c r="A358" s="65" t="s">
        <v>328</v>
      </c>
      <c r="B358" s="65" t="s">
        <v>408</v>
      </c>
      <c r="C358" s="65" t="s">
        <v>918</v>
      </c>
      <c r="D358" s="65" t="str">
        <f t="shared" si="1"/>
        <v>DEF</v>
      </c>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c r="BU358" s="64"/>
      <c r="BV358" s="64"/>
      <c r="BW358" s="64"/>
      <c r="BX358" s="64"/>
      <c r="BY358" s="64"/>
      <c r="BZ358" s="64"/>
      <c r="CA358" s="64"/>
      <c r="CB358" s="64"/>
      <c r="CC358" s="64"/>
      <c r="CD358" s="64"/>
      <c r="CE358" s="64"/>
      <c r="CF358" s="64"/>
      <c r="CG358" s="64"/>
      <c r="CH358" s="64"/>
      <c r="CI358" s="64"/>
      <c r="CJ358" s="64"/>
      <c r="CK358" s="64"/>
      <c r="CL358" s="64"/>
      <c r="CM358" s="64"/>
      <c r="CN358" s="64"/>
      <c r="CO358" s="64"/>
      <c r="CP358" s="64"/>
      <c r="CQ358" s="64"/>
      <c r="CR358" s="64"/>
      <c r="CS358" s="64"/>
      <c r="CT358" s="64"/>
      <c r="CU358" s="64"/>
      <c r="CV358" s="64"/>
      <c r="CW358" s="64"/>
      <c r="CX358" s="64"/>
      <c r="CY358" s="64"/>
      <c r="CZ358" s="64"/>
      <c r="DA358" s="64"/>
      <c r="DB358" s="64"/>
      <c r="DC358" s="64"/>
      <c r="DD358" s="64"/>
      <c r="DE358" s="64"/>
      <c r="DF358" s="64"/>
      <c r="DG358" s="64"/>
      <c r="DH358" s="64"/>
      <c r="DI358" s="64"/>
      <c r="DJ358" s="64"/>
      <c r="DK358" s="64"/>
      <c r="DL358" s="64"/>
      <c r="DM358" s="64"/>
      <c r="DN358" s="64"/>
      <c r="DO358" s="64"/>
      <c r="DP358" s="64"/>
      <c r="DQ358" s="64"/>
      <c r="DR358" s="64"/>
      <c r="DS358" s="64"/>
      <c r="DT358" s="64"/>
      <c r="DU358" s="64"/>
      <c r="DV358" s="64"/>
      <c r="DW358" s="64"/>
      <c r="DX358" s="64"/>
      <c r="DY358" s="64"/>
      <c r="DZ358" s="64"/>
      <c r="EA358" s="64"/>
      <c r="EB358" s="64"/>
      <c r="EC358" s="64"/>
      <c r="ED358" s="64"/>
    </row>
    <row r="359" spans="1:134" ht="15.75" customHeight="1">
      <c r="A359" s="65" t="s">
        <v>301</v>
      </c>
      <c r="B359" s="65" t="s">
        <v>409</v>
      </c>
      <c r="C359" s="65" t="s">
        <v>919</v>
      </c>
      <c r="D359" s="65" t="str">
        <f t="shared" si="1"/>
        <v>DEF</v>
      </c>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c r="BU359" s="64"/>
      <c r="BV359" s="64"/>
      <c r="BW359" s="64"/>
      <c r="BX359" s="64"/>
      <c r="BY359" s="64"/>
      <c r="BZ359" s="64"/>
      <c r="CA359" s="64"/>
      <c r="CB359" s="64"/>
      <c r="CC359" s="64"/>
      <c r="CD359" s="64"/>
      <c r="CE359" s="64"/>
      <c r="CF359" s="64"/>
      <c r="CG359" s="64"/>
      <c r="CH359" s="64"/>
      <c r="CI359" s="64"/>
      <c r="CJ359" s="64"/>
      <c r="CK359" s="64"/>
      <c r="CL359" s="64"/>
      <c r="CM359" s="64"/>
      <c r="CN359" s="64"/>
      <c r="CO359" s="64"/>
      <c r="CP359" s="64"/>
      <c r="CQ359" s="64"/>
      <c r="CR359" s="64"/>
      <c r="CS359" s="64"/>
      <c r="CT359" s="64"/>
      <c r="CU359" s="64"/>
      <c r="CV359" s="64"/>
      <c r="CW359" s="64"/>
      <c r="CX359" s="64"/>
      <c r="CY359" s="64"/>
      <c r="CZ359" s="64"/>
      <c r="DA359" s="64"/>
      <c r="DB359" s="64"/>
      <c r="DC359" s="64"/>
      <c r="DD359" s="64"/>
      <c r="DE359" s="64"/>
      <c r="DF359" s="64"/>
      <c r="DG359" s="64"/>
      <c r="DH359" s="64"/>
      <c r="DI359" s="64"/>
      <c r="DJ359" s="64"/>
      <c r="DK359" s="64"/>
      <c r="DL359" s="64"/>
      <c r="DM359" s="64"/>
      <c r="DN359" s="64"/>
      <c r="DO359" s="64"/>
      <c r="DP359" s="64"/>
      <c r="DQ359" s="64"/>
      <c r="DR359" s="64"/>
      <c r="DS359" s="64"/>
      <c r="DT359" s="64"/>
      <c r="DU359" s="64"/>
      <c r="DV359" s="64"/>
      <c r="DW359" s="64"/>
      <c r="DX359" s="64"/>
      <c r="DY359" s="64"/>
      <c r="DZ359" s="64"/>
      <c r="EA359" s="64"/>
      <c r="EB359" s="64"/>
      <c r="EC359" s="64"/>
      <c r="ED359" s="64"/>
    </row>
    <row r="360" spans="1:134" ht="15.75" customHeight="1">
      <c r="A360" s="65" t="s">
        <v>144</v>
      </c>
      <c r="B360" s="65" t="s">
        <v>397</v>
      </c>
      <c r="C360" s="65" t="s">
        <v>920</v>
      </c>
      <c r="D360" s="65" t="str">
        <f t="shared" si="1"/>
        <v>RB</v>
      </c>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c r="BU360" s="64"/>
      <c r="BV360" s="64"/>
      <c r="BW360" s="64"/>
      <c r="BX360" s="64"/>
      <c r="BY360" s="64"/>
      <c r="BZ360" s="64"/>
      <c r="CA360" s="64"/>
      <c r="CB360" s="64"/>
      <c r="CC360" s="64"/>
      <c r="CD360" s="64"/>
      <c r="CE360" s="64"/>
      <c r="CF360" s="64"/>
      <c r="CG360" s="64"/>
      <c r="CH360" s="64"/>
      <c r="CI360" s="64"/>
      <c r="CJ360" s="64"/>
      <c r="CK360" s="64"/>
      <c r="CL360" s="64"/>
      <c r="CM360" s="64"/>
      <c r="CN360" s="64"/>
      <c r="CO360" s="64"/>
      <c r="CP360" s="64"/>
      <c r="CQ360" s="64"/>
      <c r="CR360" s="64"/>
      <c r="CS360" s="64"/>
      <c r="CT360" s="64"/>
      <c r="CU360" s="64"/>
      <c r="CV360" s="64"/>
      <c r="CW360" s="64"/>
      <c r="CX360" s="64"/>
      <c r="CY360" s="64"/>
      <c r="CZ360" s="64"/>
      <c r="DA360" s="64"/>
      <c r="DB360" s="64"/>
      <c r="DC360" s="64"/>
      <c r="DD360" s="64"/>
      <c r="DE360" s="64"/>
      <c r="DF360" s="64"/>
      <c r="DG360" s="64"/>
      <c r="DH360" s="64"/>
      <c r="DI360" s="64"/>
      <c r="DJ360" s="64"/>
      <c r="DK360" s="64"/>
      <c r="DL360" s="64"/>
      <c r="DM360" s="64"/>
      <c r="DN360" s="64"/>
      <c r="DO360" s="64"/>
      <c r="DP360" s="64"/>
      <c r="DQ360" s="64"/>
      <c r="DR360" s="64"/>
      <c r="DS360" s="64"/>
      <c r="DT360" s="64"/>
      <c r="DU360" s="64"/>
      <c r="DV360" s="64"/>
      <c r="DW360" s="64"/>
      <c r="DX360" s="64"/>
      <c r="DY360" s="64"/>
      <c r="DZ360" s="64"/>
      <c r="EA360" s="64"/>
      <c r="EB360" s="64"/>
      <c r="EC360" s="64"/>
      <c r="ED360" s="64"/>
    </row>
    <row r="361" spans="1:134" ht="15.75" customHeight="1">
      <c r="A361" s="65" t="s">
        <v>921</v>
      </c>
      <c r="B361" s="65" t="s">
        <v>409</v>
      </c>
      <c r="C361" s="65" t="s">
        <v>922</v>
      </c>
      <c r="D361" s="65" t="str">
        <f t="shared" si="1"/>
        <v>K</v>
      </c>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c r="BU361" s="64"/>
      <c r="BV361" s="64"/>
      <c r="BW361" s="64"/>
      <c r="BX361" s="64"/>
      <c r="BY361" s="64"/>
      <c r="BZ361" s="64"/>
      <c r="CA361" s="64"/>
      <c r="CB361" s="64"/>
      <c r="CC361" s="64"/>
      <c r="CD361" s="64"/>
      <c r="CE361" s="64"/>
      <c r="CF361" s="64"/>
      <c r="CG361" s="64"/>
      <c r="CH361" s="64"/>
      <c r="CI361" s="64"/>
      <c r="CJ361" s="64"/>
      <c r="CK361" s="64"/>
      <c r="CL361" s="64"/>
      <c r="CM361" s="64"/>
      <c r="CN361" s="64"/>
      <c r="CO361" s="64"/>
      <c r="CP361" s="64"/>
      <c r="CQ361" s="64"/>
      <c r="CR361" s="64"/>
      <c r="CS361" s="64"/>
      <c r="CT361" s="64"/>
      <c r="CU361" s="64"/>
      <c r="CV361" s="64"/>
      <c r="CW361" s="64"/>
      <c r="CX361" s="64"/>
      <c r="CY361" s="64"/>
      <c r="CZ361" s="64"/>
      <c r="DA361" s="64"/>
      <c r="DB361" s="64"/>
      <c r="DC361" s="64"/>
      <c r="DD361" s="64"/>
      <c r="DE361" s="64"/>
      <c r="DF361" s="64"/>
      <c r="DG361" s="64"/>
      <c r="DH361" s="64"/>
      <c r="DI361" s="64"/>
      <c r="DJ361" s="64"/>
      <c r="DK361" s="64"/>
      <c r="DL361" s="64"/>
      <c r="DM361" s="64"/>
      <c r="DN361" s="64"/>
      <c r="DO361" s="64"/>
      <c r="DP361" s="64"/>
      <c r="DQ361" s="64"/>
      <c r="DR361" s="64"/>
      <c r="DS361" s="64"/>
      <c r="DT361" s="64"/>
      <c r="DU361" s="64"/>
      <c r="DV361" s="64"/>
      <c r="DW361" s="64"/>
      <c r="DX361" s="64"/>
      <c r="DY361" s="64"/>
      <c r="DZ361" s="64"/>
      <c r="EA361" s="64"/>
      <c r="EB361" s="64"/>
      <c r="EC361" s="64"/>
      <c r="ED361" s="64"/>
    </row>
    <row r="362" spans="1:134" ht="15.75" customHeight="1">
      <c r="A362" s="65" t="s">
        <v>923</v>
      </c>
      <c r="B362" s="65" t="s">
        <v>404</v>
      </c>
      <c r="C362" s="65" t="s">
        <v>924</v>
      </c>
      <c r="D362" s="65" t="str">
        <f t="shared" si="1"/>
        <v>WR</v>
      </c>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c r="BU362" s="64"/>
      <c r="BV362" s="64"/>
      <c r="BW362" s="64"/>
      <c r="BX362" s="64"/>
      <c r="BY362" s="64"/>
      <c r="BZ362" s="64"/>
      <c r="CA362" s="64"/>
      <c r="CB362" s="64"/>
      <c r="CC362" s="64"/>
      <c r="CD362" s="64"/>
      <c r="CE362" s="64"/>
      <c r="CF362" s="64"/>
      <c r="CG362" s="64"/>
      <c r="CH362" s="64"/>
      <c r="CI362" s="64"/>
      <c r="CJ362" s="64"/>
      <c r="CK362" s="64"/>
      <c r="CL362" s="64"/>
      <c r="CM362" s="64"/>
      <c r="CN362" s="64"/>
      <c r="CO362" s="64"/>
      <c r="CP362" s="64"/>
      <c r="CQ362" s="64"/>
      <c r="CR362" s="64"/>
      <c r="CS362" s="64"/>
      <c r="CT362" s="64"/>
      <c r="CU362" s="64"/>
      <c r="CV362" s="64"/>
      <c r="CW362" s="64"/>
      <c r="CX362" s="64"/>
      <c r="CY362" s="64"/>
      <c r="CZ362" s="64"/>
      <c r="DA362" s="64"/>
      <c r="DB362" s="64"/>
      <c r="DC362" s="64"/>
      <c r="DD362" s="64"/>
      <c r="DE362" s="64"/>
      <c r="DF362" s="64"/>
      <c r="DG362" s="64"/>
      <c r="DH362" s="64"/>
      <c r="DI362" s="64"/>
      <c r="DJ362" s="64"/>
      <c r="DK362" s="64"/>
      <c r="DL362" s="64"/>
      <c r="DM362" s="64"/>
      <c r="DN362" s="64"/>
      <c r="DO362" s="64"/>
      <c r="DP362" s="64"/>
      <c r="DQ362" s="64"/>
      <c r="DR362" s="64"/>
      <c r="DS362" s="64"/>
      <c r="DT362" s="64"/>
      <c r="DU362" s="64"/>
      <c r="DV362" s="64"/>
      <c r="DW362" s="64"/>
      <c r="DX362" s="64"/>
      <c r="DY362" s="64"/>
      <c r="DZ362" s="64"/>
      <c r="EA362" s="64"/>
      <c r="EB362" s="64"/>
      <c r="EC362" s="64"/>
      <c r="ED362" s="64"/>
    </row>
    <row r="363" spans="1:134" ht="15.75" customHeight="1">
      <c r="A363" s="65" t="s">
        <v>31</v>
      </c>
      <c r="B363" s="65" t="s">
        <v>397</v>
      </c>
      <c r="C363" s="65" t="s">
        <v>925</v>
      </c>
      <c r="D363" s="65" t="str">
        <f t="shared" si="1"/>
        <v>WR</v>
      </c>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c r="BU363" s="64"/>
      <c r="BV363" s="64"/>
      <c r="BW363" s="64"/>
      <c r="BX363" s="64"/>
      <c r="BY363" s="64"/>
      <c r="BZ363" s="64"/>
      <c r="CA363" s="64"/>
      <c r="CB363" s="64"/>
      <c r="CC363" s="64"/>
      <c r="CD363" s="64"/>
      <c r="CE363" s="64"/>
      <c r="CF363" s="64"/>
      <c r="CG363" s="64"/>
      <c r="CH363" s="64"/>
      <c r="CI363" s="64"/>
      <c r="CJ363" s="64"/>
      <c r="CK363" s="64"/>
      <c r="CL363" s="64"/>
      <c r="CM363" s="64"/>
      <c r="CN363" s="64"/>
      <c r="CO363" s="64"/>
      <c r="CP363" s="64"/>
      <c r="CQ363" s="64"/>
      <c r="CR363" s="64"/>
      <c r="CS363" s="64"/>
      <c r="CT363" s="64"/>
      <c r="CU363" s="64"/>
      <c r="CV363" s="64"/>
      <c r="CW363" s="64"/>
      <c r="CX363" s="64"/>
      <c r="CY363" s="64"/>
      <c r="CZ363" s="64"/>
      <c r="DA363" s="64"/>
      <c r="DB363" s="64"/>
      <c r="DC363" s="64"/>
      <c r="DD363" s="64"/>
      <c r="DE363" s="64"/>
      <c r="DF363" s="64"/>
      <c r="DG363" s="64"/>
      <c r="DH363" s="64"/>
      <c r="DI363" s="64"/>
      <c r="DJ363" s="64"/>
      <c r="DK363" s="64"/>
      <c r="DL363" s="64"/>
      <c r="DM363" s="64"/>
      <c r="DN363" s="64"/>
      <c r="DO363" s="64"/>
      <c r="DP363" s="64"/>
      <c r="DQ363" s="64"/>
      <c r="DR363" s="64"/>
      <c r="DS363" s="64"/>
      <c r="DT363" s="64"/>
      <c r="DU363" s="64"/>
      <c r="DV363" s="64"/>
      <c r="DW363" s="64"/>
      <c r="DX363" s="64"/>
      <c r="DY363" s="64"/>
      <c r="DZ363" s="64"/>
      <c r="EA363" s="64"/>
      <c r="EB363" s="64"/>
      <c r="EC363" s="64"/>
      <c r="ED363" s="64"/>
    </row>
    <row r="364" spans="1:134" ht="15.75" customHeight="1">
      <c r="A364" s="65" t="s">
        <v>926</v>
      </c>
      <c r="B364" s="65" t="s">
        <v>416</v>
      </c>
      <c r="C364" s="65" t="s">
        <v>927</v>
      </c>
      <c r="D364" s="65" t="str">
        <f t="shared" si="1"/>
        <v>WR</v>
      </c>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c r="BU364" s="64"/>
      <c r="BV364" s="64"/>
      <c r="BW364" s="64"/>
      <c r="BX364" s="64"/>
      <c r="BY364" s="64"/>
      <c r="BZ364" s="64"/>
      <c r="CA364" s="64"/>
      <c r="CB364" s="64"/>
      <c r="CC364" s="64"/>
      <c r="CD364" s="64"/>
      <c r="CE364" s="64"/>
      <c r="CF364" s="64"/>
      <c r="CG364" s="64"/>
      <c r="CH364" s="64"/>
      <c r="CI364" s="64"/>
      <c r="CJ364" s="64"/>
      <c r="CK364" s="64"/>
      <c r="CL364" s="64"/>
      <c r="CM364" s="64"/>
      <c r="CN364" s="64"/>
      <c r="CO364" s="64"/>
      <c r="CP364" s="64"/>
      <c r="CQ364" s="64"/>
      <c r="CR364" s="64"/>
      <c r="CS364" s="64"/>
      <c r="CT364" s="64"/>
      <c r="CU364" s="64"/>
      <c r="CV364" s="64"/>
      <c r="CW364" s="64"/>
      <c r="CX364" s="64"/>
      <c r="CY364" s="64"/>
      <c r="CZ364" s="64"/>
      <c r="DA364" s="64"/>
      <c r="DB364" s="64"/>
      <c r="DC364" s="64"/>
      <c r="DD364" s="64"/>
      <c r="DE364" s="64"/>
      <c r="DF364" s="64"/>
      <c r="DG364" s="64"/>
      <c r="DH364" s="64"/>
      <c r="DI364" s="64"/>
      <c r="DJ364" s="64"/>
      <c r="DK364" s="64"/>
      <c r="DL364" s="64"/>
      <c r="DM364" s="64"/>
      <c r="DN364" s="64"/>
      <c r="DO364" s="64"/>
      <c r="DP364" s="64"/>
      <c r="DQ364" s="64"/>
      <c r="DR364" s="64"/>
      <c r="DS364" s="64"/>
      <c r="DT364" s="64"/>
      <c r="DU364" s="64"/>
      <c r="DV364" s="64"/>
      <c r="DW364" s="64"/>
      <c r="DX364" s="64"/>
      <c r="DY364" s="64"/>
      <c r="DZ364" s="64"/>
      <c r="EA364" s="64"/>
      <c r="EB364" s="64"/>
      <c r="EC364" s="64"/>
      <c r="ED364" s="64"/>
    </row>
    <row r="365" spans="1:134" ht="15.75" customHeight="1">
      <c r="A365" s="65" t="s">
        <v>307</v>
      </c>
      <c r="B365" s="65" t="s">
        <v>391</v>
      </c>
      <c r="C365" s="65" t="s">
        <v>928</v>
      </c>
      <c r="D365" s="65" t="str">
        <f t="shared" si="1"/>
        <v>TE</v>
      </c>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c r="BU365" s="64"/>
      <c r="BV365" s="64"/>
      <c r="BW365" s="64"/>
      <c r="BX365" s="64"/>
      <c r="BY365" s="64"/>
      <c r="BZ365" s="64"/>
      <c r="CA365" s="64"/>
      <c r="CB365" s="64"/>
      <c r="CC365" s="64"/>
      <c r="CD365" s="64"/>
      <c r="CE365" s="64"/>
      <c r="CF365" s="64"/>
      <c r="CG365" s="64"/>
      <c r="CH365" s="64"/>
      <c r="CI365" s="64"/>
      <c r="CJ365" s="64"/>
      <c r="CK365" s="64"/>
      <c r="CL365" s="64"/>
      <c r="CM365" s="64"/>
      <c r="CN365" s="64"/>
      <c r="CO365" s="64"/>
      <c r="CP365" s="64"/>
      <c r="CQ365" s="64"/>
      <c r="CR365" s="64"/>
      <c r="CS365" s="64"/>
      <c r="CT365" s="64"/>
      <c r="CU365" s="64"/>
      <c r="CV365" s="64"/>
      <c r="CW365" s="64"/>
      <c r="CX365" s="64"/>
      <c r="CY365" s="64"/>
      <c r="CZ365" s="64"/>
      <c r="DA365" s="64"/>
      <c r="DB365" s="64"/>
      <c r="DC365" s="64"/>
      <c r="DD365" s="64"/>
      <c r="DE365" s="64"/>
      <c r="DF365" s="64"/>
      <c r="DG365" s="64"/>
      <c r="DH365" s="64"/>
      <c r="DI365" s="64"/>
      <c r="DJ365" s="64"/>
      <c r="DK365" s="64"/>
      <c r="DL365" s="64"/>
      <c r="DM365" s="64"/>
      <c r="DN365" s="64"/>
      <c r="DO365" s="64"/>
      <c r="DP365" s="64"/>
      <c r="DQ365" s="64"/>
      <c r="DR365" s="64"/>
      <c r="DS365" s="64"/>
      <c r="DT365" s="64"/>
      <c r="DU365" s="64"/>
      <c r="DV365" s="64"/>
      <c r="DW365" s="64"/>
      <c r="DX365" s="64"/>
      <c r="DY365" s="64"/>
      <c r="DZ365" s="64"/>
      <c r="EA365" s="64"/>
      <c r="EB365" s="64"/>
      <c r="EC365" s="64"/>
      <c r="ED365" s="64"/>
    </row>
    <row r="366" spans="1:134" ht="15.75" customHeight="1">
      <c r="A366" s="65" t="s">
        <v>292</v>
      </c>
      <c r="B366" s="65" t="s">
        <v>400</v>
      </c>
      <c r="C366" s="65" t="s">
        <v>929</v>
      </c>
      <c r="D366" s="65" t="str">
        <f t="shared" si="1"/>
        <v>TE</v>
      </c>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c r="BU366" s="64"/>
      <c r="BV366" s="64"/>
      <c r="BW366" s="64"/>
      <c r="BX366" s="64"/>
      <c r="BY366" s="64"/>
      <c r="BZ366" s="64"/>
      <c r="CA366" s="64"/>
      <c r="CB366" s="64"/>
      <c r="CC366" s="64"/>
      <c r="CD366" s="64"/>
      <c r="CE366" s="64"/>
      <c r="CF366" s="64"/>
      <c r="CG366" s="64"/>
      <c r="CH366" s="64"/>
      <c r="CI366" s="64"/>
      <c r="CJ366" s="64"/>
      <c r="CK366" s="64"/>
      <c r="CL366" s="64"/>
      <c r="CM366" s="64"/>
      <c r="CN366" s="64"/>
      <c r="CO366" s="64"/>
      <c r="CP366" s="64"/>
      <c r="CQ366" s="64"/>
      <c r="CR366" s="64"/>
      <c r="CS366" s="64"/>
      <c r="CT366" s="64"/>
      <c r="CU366" s="64"/>
      <c r="CV366" s="64"/>
      <c r="CW366" s="64"/>
      <c r="CX366" s="64"/>
      <c r="CY366" s="64"/>
      <c r="CZ366" s="64"/>
      <c r="DA366" s="64"/>
      <c r="DB366" s="64"/>
      <c r="DC366" s="64"/>
      <c r="DD366" s="64"/>
      <c r="DE366" s="64"/>
      <c r="DF366" s="64"/>
      <c r="DG366" s="64"/>
      <c r="DH366" s="64"/>
      <c r="DI366" s="64"/>
      <c r="DJ366" s="64"/>
      <c r="DK366" s="64"/>
      <c r="DL366" s="64"/>
      <c r="DM366" s="64"/>
      <c r="DN366" s="64"/>
      <c r="DO366" s="64"/>
      <c r="DP366" s="64"/>
      <c r="DQ366" s="64"/>
      <c r="DR366" s="64"/>
      <c r="DS366" s="64"/>
      <c r="DT366" s="64"/>
      <c r="DU366" s="64"/>
      <c r="DV366" s="64"/>
      <c r="DW366" s="64"/>
      <c r="DX366" s="64"/>
      <c r="DY366" s="64"/>
      <c r="DZ366" s="64"/>
      <c r="EA366" s="64"/>
      <c r="EB366" s="64"/>
      <c r="EC366" s="64"/>
      <c r="ED366" s="64"/>
    </row>
    <row r="367" spans="1:134" ht="15.75" customHeight="1">
      <c r="A367" s="65" t="s">
        <v>930</v>
      </c>
      <c r="B367" s="65" t="s">
        <v>390</v>
      </c>
      <c r="C367" s="65" t="s">
        <v>931</v>
      </c>
      <c r="D367" s="65" t="str">
        <f t="shared" si="1"/>
        <v>WR</v>
      </c>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c r="BU367" s="64"/>
      <c r="BV367" s="64"/>
      <c r="BW367" s="64"/>
      <c r="BX367" s="64"/>
      <c r="BY367" s="64"/>
      <c r="BZ367" s="64"/>
      <c r="CA367" s="64"/>
      <c r="CB367" s="64"/>
      <c r="CC367" s="64"/>
      <c r="CD367" s="64"/>
      <c r="CE367" s="64"/>
      <c r="CF367" s="64"/>
      <c r="CG367" s="64"/>
      <c r="CH367" s="64"/>
      <c r="CI367" s="64"/>
      <c r="CJ367" s="64"/>
      <c r="CK367" s="64"/>
      <c r="CL367" s="64"/>
      <c r="CM367" s="64"/>
      <c r="CN367" s="64"/>
      <c r="CO367" s="64"/>
      <c r="CP367" s="64"/>
      <c r="CQ367" s="64"/>
      <c r="CR367" s="64"/>
      <c r="CS367" s="64"/>
      <c r="CT367" s="64"/>
      <c r="CU367" s="64"/>
      <c r="CV367" s="64"/>
      <c r="CW367" s="64"/>
      <c r="CX367" s="64"/>
      <c r="CY367" s="64"/>
      <c r="CZ367" s="64"/>
      <c r="DA367" s="64"/>
      <c r="DB367" s="64"/>
      <c r="DC367" s="64"/>
      <c r="DD367" s="64"/>
      <c r="DE367" s="64"/>
      <c r="DF367" s="64"/>
      <c r="DG367" s="64"/>
      <c r="DH367" s="64"/>
      <c r="DI367" s="64"/>
      <c r="DJ367" s="64"/>
      <c r="DK367" s="64"/>
      <c r="DL367" s="64"/>
      <c r="DM367" s="64"/>
      <c r="DN367" s="64"/>
      <c r="DO367" s="64"/>
      <c r="DP367" s="64"/>
      <c r="DQ367" s="64"/>
      <c r="DR367" s="64"/>
      <c r="DS367" s="64"/>
      <c r="DT367" s="64"/>
      <c r="DU367" s="64"/>
      <c r="DV367" s="64"/>
      <c r="DW367" s="64"/>
      <c r="DX367" s="64"/>
      <c r="DY367" s="64"/>
      <c r="DZ367" s="64"/>
      <c r="EA367" s="64"/>
      <c r="EB367" s="64"/>
      <c r="EC367" s="64"/>
      <c r="ED367" s="64"/>
    </row>
    <row r="368" spans="1:134" ht="15.75" customHeight="1">
      <c r="A368" s="65" t="s">
        <v>270</v>
      </c>
      <c r="B368" s="65" t="s">
        <v>404</v>
      </c>
      <c r="C368" s="65" t="s">
        <v>932</v>
      </c>
      <c r="D368" s="65" t="str">
        <f t="shared" si="1"/>
        <v>RB</v>
      </c>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c r="BU368" s="64"/>
      <c r="BV368" s="64"/>
      <c r="BW368" s="64"/>
      <c r="BX368" s="64"/>
      <c r="BY368" s="64"/>
      <c r="BZ368" s="64"/>
      <c r="CA368" s="64"/>
      <c r="CB368" s="64"/>
      <c r="CC368" s="64"/>
      <c r="CD368" s="64"/>
      <c r="CE368" s="64"/>
      <c r="CF368" s="64"/>
      <c r="CG368" s="64"/>
      <c r="CH368" s="64"/>
      <c r="CI368" s="64"/>
      <c r="CJ368" s="64"/>
      <c r="CK368" s="64"/>
      <c r="CL368" s="64"/>
      <c r="CM368" s="64"/>
      <c r="CN368" s="64"/>
      <c r="CO368" s="64"/>
      <c r="CP368" s="64"/>
      <c r="CQ368" s="64"/>
      <c r="CR368" s="64"/>
      <c r="CS368" s="64"/>
      <c r="CT368" s="64"/>
      <c r="CU368" s="64"/>
      <c r="CV368" s="64"/>
      <c r="CW368" s="64"/>
      <c r="CX368" s="64"/>
      <c r="CY368" s="64"/>
      <c r="CZ368" s="64"/>
      <c r="DA368" s="64"/>
      <c r="DB368" s="64"/>
      <c r="DC368" s="64"/>
      <c r="DD368" s="64"/>
      <c r="DE368" s="64"/>
      <c r="DF368" s="64"/>
      <c r="DG368" s="64"/>
      <c r="DH368" s="64"/>
      <c r="DI368" s="64"/>
      <c r="DJ368" s="64"/>
      <c r="DK368" s="64"/>
      <c r="DL368" s="64"/>
      <c r="DM368" s="64"/>
      <c r="DN368" s="64"/>
      <c r="DO368" s="64"/>
      <c r="DP368" s="64"/>
      <c r="DQ368" s="64"/>
      <c r="DR368" s="64"/>
      <c r="DS368" s="64"/>
      <c r="DT368" s="64"/>
      <c r="DU368" s="64"/>
      <c r="DV368" s="64"/>
      <c r="DW368" s="64"/>
      <c r="DX368" s="64"/>
      <c r="DY368" s="64"/>
      <c r="DZ368" s="64"/>
      <c r="EA368" s="64"/>
      <c r="EB368" s="64"/>
      <c r="EC368" s="64"/>
      <c r="ED368" s="64"/>
    </row>
    <row r="369" spans="1:134" ht="15.75" customHeight="1">
      <c r="A369" s="65" t="s">
        <v>52</v>
      </c>
      <c r="B369" s="65" t="s">
        <v>401</v>
      </c>
      <c r="C369" s="65" t="s">
        <v>933</v>
      </c>
      <c r="D369" s="65" t="str">
        <f t="shared" si="1"/>
        <v>RB</v>
      </c>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c r="BU369" s="64"/>
      <c r="BV369" s="64"/>
      <c r="BW369" s="64"/>
      <c r="BX369" s="64"/>
      <c r="BY369" s="64"/>
      <c r="BZ369" s="64"/>
      <c r="CA369" s="64"/>
      <c r="CB369" s="64"/>
      <c r="CC369" s="64"/>
      <c r="CD369" s="64"/>
      <c r="CE369" s="64"/>
      <c r="CF369" s="64"/>
      <c r="CG369" s="64"/>
      <c r="CH369" s="64"/>
      <c r="CI369" s="64"/>
      <c r="CJ369" s="64"/>
      <c r="CK369" s="64"/>
      <c r="CL369" s="64"/>
      <c r="CM369" s="64"/>
      <c r="CN369" s="64"/>
      <c r="CO369" s="64"/>
      <c r="CP369" s="64"/>
      <c r="CQ369" s="64"/>
      <c r="CR369" s="64"/>
      <c r="CS369" s="64"/>
      <c r="CT369" s="64"/>
      <c r="CU369" s="64"/>
      <c r="CV369" s="64"/>
      <c r="CW369" s="64"/>
      <c r="CX369" s="64"/>
      <c r="CY369" s="64"/>
      <c r="CZ369" s="64"/>
      <c r="DA369" s="64"/>
      <c r="DB369" s="64"/>
      <c r="DC369" s="64"/>
      <c r="DD369" s="64"/>
      <c r="DE369" s="64"/>
      <c r="DF369" s="64"/>
      <c r="DG369" s="64"/>
      <c r="DH369" s="64"/>
      <c r="DI369" s="64"/>
      <c r="DJ369" s="64"/>
      <c r="DK369" s="64"/>
      <c r="DL369" s="64"/>
      <c r="DM369" s="64"/>
      <c r="DN369" s="64"/>
      <c r="DO369" s="64"/>
      <c r="DP369" s="64"/>
      <c r="DQ369" s="64"/>
      <c r="DR369" s="64"/>
      <c r="DS369" s="64"/>
      <c r="DT369" s="64"/>
      <c r="DU369" s="64"/>
      <c r="DV369" s="64"/>
      <c r="DW369" s="64"/>
      <c r="DX369" s="64"/>
      <c r="DY369" s="64"/>
      <c r="DZ369" s="64"/>
      <c r="EA369" s="64"/>
      <c r="EB369" s="64"/>
      <c r="EC369" s="64"/>
      <c r="ED369" s="64"/>
    </row>
    <row r="370" spans="1:134" ht="15.75" customHeight="1">
      <c r="A370" s="65" t="s">
        <v>934</v>
      </c>
      <c r="B370" s="65" t="s">
        <v>401</v>
      </c>
      <c r="C370" s="65" t="s">
        <v>935</v>
      </c>
      <c r="D370" s="65" t="str">
        <f t="shared" si="1"/>
        <v>TE</v>
      </c>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c r="BU370" s="64"/>
      <c r="BV370" s="64"/>
      <c r="BW370" s="64"/>
      <c r="BX370" s="64"/>
      <c r="BY370" s="64"/>
      <c r="BZ370" s="64"/>
      <c r="CA370" s="64"/>
      <c r="CB370" s="64"/>
      <c r="CC370" s="64"/>
      <c r="CD370" s="64"/>
      <c r="CE370" s="64"/>
      <c r="CF370" s="64"/>
      <c r="CG370" s="64"/>
      <c r="CH370" s="64"/>
      <c r="CI370" s="64"/>
      <c r="CJ370" s="64"/>
      <c r="CK370" s="64"/>
      <c r="CL370" s="64"/>
      <c r="CM370" s="64"/>
      <c r="CN370" s="64"/>
      <c r="CO370" s="64"/>
      <c r="CP370" s="64"/>
      <c r="CQ370" s="64"/>
      <c r="CR370" s="64"/>
      <c r="CS370" s="64"/>
      <c r="CT370" s="64"/>
      <c r="CU370" s="64"/>
      <c r="CV370" s="64"/>
      <c r="CW370" s="64"/>
      <c r="CX370" s="64"/>
      <c r="CY370" s="64"/>
      <c r="CZ370" s="64"/>
      <c r="DA370" s="64"/>
      <c r="DB370" s="64"/>
      <c r="DC370" s="64"/>
      <c r="DD370" s="64"/>
      <c r="DE370" s="64"/>
      <c r="DF370" s="64"/>
      <c r="DG370" s="64"/>
      <c r="DH370" s="64"/>
      <c r="DI370" s="64"/>
      <c r="DJ370" s="64"/>
      <c r="DK370" s="64"/>
      <c r="DL370" s="64"/>
      <c r="DM370" s="64"/>
      <c r="DN370" s="64"/>
      <c r="DO370" s="64"/>
      <c r="DP370" s="64"/>
      <c r="DQ370" s="64"/>
      <c r="DR370" s="64"/>
      <c r="DS370" s="64"/>
      <c r="DT370" s="64"/>
      <c r="DU370" s="64"/>
      <c r="DV370" s="64"/>
      <c r="DW370" s="64"/>
      <c r="DX370" s="64"/>
      <c r="DY370" s="64"/>
      <c r="DZ370" s="64"/>
      <c r="EA370" s="64"/>
      <c r="EB370" s="64"/>
      <c r="EC370" s="64"/>
      <c r="ED370" s="64"/>
    </row>
    <row r="371" spans="1:134" ht="15.75" customHeight="1">
      <c r="A371" s="65" t="s">
        <v>936</v>
      </c>
      <c r="B371" s="65" t="s">
        <v>399</v>
      </c>
      <c r="C371" s="65" t="s">
        <v>937</v>
      </c>
      <c r="D371" s="65" t="str">
        <f t="shared" si="1"/>
        <v>WR</v>
      </c>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c r="BU371" s="64"/>
      <c r="BV371" s="64"/>
      <c r="BW371" s="64"/>
      <c r="BX371" s="64"/>
      <c r="BY371" s="64"/>
      <c r="BZ371" s="64"/>
      <c r="CA371" s="64"/>
      <c r="CB371" s="64"/>
      <c r="CC371" s="64"/>
      <c r="CD371" s="64"/>
      <c r="CE371" s="64"/>
      <c r="CF371" s="64"/>
      <c r="CG371" s="64"/>
      <c r="CH371" s="64"/>
      <c r="CI371" s="64"/>
      <c r="CJ371" s="64"/>
      <c r="CK371" s="64"/>
      <c r="CL371" s="64"/>
      <c r="CM371" s="64"/>
      <c r="CN371" s="64"/>
      <c r="CO371" s="64"/>
      <c r="CP371" s="64"/>
      <c r="CQ371" s="64"/>
      <c r="CR371" s="64"/>
      <c r="CS371" s="64"/>
      <c r="CT371" s="64"/>
      <c r="CU371" s="64"/>
      <c r="CV371" s="64"/>
      <c r="CW371" s="64"/>
      <c r="CX371" s="64"/>
      <c r="CY371" s="64"/>
      <c r="CZ371" s="64"/>
      <c r="DA371" s="64"/>
      <c r="DB371" s="64"/>
      <c r="DC371" s="64"/>
      <c r="DD371" s="64"/>
      <c r="DE371" s="64"/>
      <c r="DF371" s="64"/>
      <c r="DG371" s="64"/>
      <c r="DH371" s="64"/>
      <c r="DI371" s="64"/>
      <c r="DJ371" s="64"/>
      <c r="DK371" s="64"/>
      <c r="DL371" s="64"/>
      <c r="DM371" s="64"/>
      <c r="DN371" s="64"/>
      <c r="DO371" s="64"/>
      <c r="DP371" s="64"/>
      <c r="DQ371" s="64"/>
      <c r="DR371" s="64"/>
      <c r="DS371" s="64"/>
      <c r="DT371" s="64"/>
      <c r="DU371" s="64"/>
      <c r="DV371" s="64"/>
      <c r="DW371" s="64"/>
      <c r="DX371" s="64"/>
      <c r="DY371" s="64"/>
      <c r="DZ371" s="64"/>
      <c r="EA371" s="64"/>
      <c r="EB371" s="64"/>
      <c r="EC371" s="64"/>
      <c r="ED371" s="64"/>
    </row>
    <row r="372" spans="1:134" ht="15.75" customHeight="1">
      <c r="A372" s="65" t="s">
        <v>303</v>
      </c>
      <c r="B372" s="65" t="s">
        <v>394</v>
      </c>
      <c r="C372" s="65" t="s">
        <v>938</v>
      </c>
      <c r="D372" s="65" t="str">
        <f t="shared" si="1"/>
        <v>WR</v>
      </c>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c r="BU372" s="64"/>
      <c r="BV372" s="64"/>
      <c r="BW372" s="64"/>
      <c r="BX372" s="64"/>
      <c r="BY372" s="64"/>
      <c r="BZ372" s="64"/>
      <c r="CA372" s="64"/>
      <c r="CB372" s="64"/>
      <c r="CC372" s="64"/>
      <c r="CD372" s="64"/>
      <c r="CE372" s="64"/>
      <c r="CF372" s="64"/>
      <c r="CG372" s="64"/>
      <c r="CH372" s="64"/>
      <c r="CI372" s="64"/>
      <c r="CJ372" s="64"/>
      <c r="CK372" s="64"/>
      <c r="CL372" s="64"/>
      <c r="CM372" s="64"/>
      <c r="CN372" s="64"/>
      <c r="CO372" s="64"/>
      <c r="CP372" s="64"/>
      <c r="CQ372" s="64"/>
      <c r="CR372" s="64"/>
      <c r="CS372" s="64"/>
      <c r="CT372" s="64"/>
      <c r="CU372" s="64"/>
      <c r="CV372" s="64"/>
      <c r="CW372" s="64"/>
      <c r="CX372" s="64"/>
      <c r="CY372" s="64"/>
      <c r="CZ372" s="64"/>
      <c r="DA372" s="64"/>
      <c r="DB372" s="64"/>
      <c r="DC372" s="64"/>
      <c r="DD372" s="64"/>
      <c r="DE372" s="64"/>
      <c r="DF372" s="64"/>
      <c r="DG372" s="64"/>
      <c r="DH372" s="64"/>
      <c r="DI372" s="64"/>
      <c r="DJ372" s="64"/>
      <c r="DK372" s="64"/>
      <c r="DL372" s="64"/>
      <c r="DM372" s="64"/>
      <c r="DN372" s="64"/>
      <c r="DO372" s="64"/>
      <c r="DP372" s="64"/>
      <c r="DQ372" s="64"/>
      <c r="DR372" s="64"/>
      <c r="DS372" s="64"/>
      <c r="DT372" s="64"/>
      <c r="DU372" s="64"/>
      <c r="DV372" s="64"/>
      <c r="DW372" s="64"/>
      <c r="DX372" s="64"/>
      <c r="DY372" s="64"/>
      <c r="DZ372" s="64"/>
      <c r="EA372" s="64"/>
      <c r="EB372" s="64"/>
      <c r="EC372" s="64"/>
      <c r="ED372" s="64"/>
    </row>
    <row r="373" spans="1:134" ht="15.75" customHeight="1">
      <c r="A373" s="65" t="s">
        <v>236</v>
      </c>
      <c r="B373" s="65" t="s">
        <v>411</v>
      </c>
      <c r="C373" s="65" t="s">
        <v>939</v>
      </c>
      <c r="D373" s="65" t="str">
        <f t="shared" si="1"/>
        <v>TE</v>
      </c>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c r="BU373" s="64"/>
      <c r="BV373" s="64"/>
      <c r="BW373" s="64"/>
      <c r="BX373" s="64"/>
      <c r="BY373" s="64"/>
      <c r="BZ373" s="64"/>
      <c r="CA373" s="64"/>
      <c r="CB373" s="64"/>
      <c r="CC373" s="64"/>
      <c r="CD373" s="64"/>
      <c r="CE373" s="64"/>
      <c r="CF373" s="64"/>
      <c r="CG373" s="64"/>
      <c r="CH373" s="64"/>
      <c r="CI373" s="64"/>
      <c r="CJ373" s="64"/>
      <c r="CK373" s="64"/>
      <c r="CL373" s="64"/>
      <c r="CM373" s="64"/>
      <c r="CN373" s="64"/>
      <c r="CO373" s="64"/>
      <c r="CP373" s="64"/>
      <c r="CQ373" s="64"/>
      <c r="CR373" s="64"/>
      <c r="CS373" s="64"/>
      <c r="CT373" s="64"/>
      <c r="CU373" s="64"/>
      <c r="CV373" s="64"/>
      <c r="CW373" s="64"/>
      <c r="CX373" s="64"/>
      <c r="CY373" s="64"/>
      <c r="CZ373" s="64"/>
      <c r="DA373" s="64"/>
      <c r="DB373" s="64"/>
      <c r="DC373" s="64"/>
      <c r="DD373" s="64"/>
      <c r="DE373" s="64"/>
      <c r="DF373" s="64"/>
      <c r="DG373" s="64"/>
      <c r="DH373" s="64"/>
      <c r="DI373" s="64"/>
      <c r="DJ373" s="64"/>
      <c r="DK373" s="64"/>
      <c r="DL373" s="64"/>
      <c r="DM373" s="64"/>
      <c r="DN373" s="64"/>
      <c r="DO373" s="64"/>
      <c r="DP373" s="64"/>
      <c r="DQ373" s="64"/>
      <c r="DR373" s="64"/>
      <c r="DS373" s="64"/>
      <c r="DT373" s="64"/>
      <c r="DU373" s="64"/>
      <c r="DV373" s="64"/>
      <c r="DW373" s="64"/>
      <c r="DX373" s="64"/>
      <c r="DY373" s="64"/>
      <c r="DZ373" s="64"/>
      <c r="EA373" s="64"/>
      <c r="EB373" s="64"/>
      <c r="EC373" s="64"/>
      <c r="ED373" s="64"/>
    </row>
    <row r="374" spans="1:134" ht="15.75" customHeight="1">
      <c r="A374" s="65" t="s">
        <v>112</v>
      </c>
      <c r="B374" s="65" t="s">
        <v>400</v>
      </c>
      <c r="C374" s="65" t="s">
        <v>940</v>
      </c>
      <c r="D374" s="65" t="str">
        <f t="shared" si="1"/>
        <v>QB</v>
      </c>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c r="BU374" s="64"/>
      <c r="BV374" s="64"/>
      <c r="BW374" s="64"/>
      <c r="BX374" s="64"/>
      <c r="BY374" s="64"/>
      <c r="BZ374" s="64"/>
      <c r="CA374" s="64"/>
      <c r="CB374" s="64"/>
      <c r="CC374" s="64"/>
      <c r="CD374" s="64"/>
      <c r="CE374" s="64"/>
      <c r="CF374" s="64"/>
      <c r="CG374" s="64"/>
      <c r="CH374" s="64"/>
      <c r="CI374" s="64"/>
      <c r="CJ374" s="64"/>
      <c r="CK374" s="64"/>
      <c r="CL374" s="64"/>
      <c r="CM374" s="64"/>
      <c r="CN374" s="64"/>
      <c r="CO374" s="64"/>
      <c r="CP374" s="64"/>
      <c r="CQ374" s="64"/>
      <c r="CR374" s="64"/>
      <c r="CS374" s="64"/>
      <c r="CT374" s="64"/>
      <c r="CU374" s="64"/>
      <c r="CV374" s="64"/>
      <c r="CW374" s="64"/>
      <c r="CX374" s="64"/>
      <c r="CY374" s="64"/>
      <c r="CZ374" s="64"/>
      <c r="DA374" s="64"/>
      <c r="DB374" s="64"/>
      <c r="DC374" s="64"/>
      <c r="DD374" s="64"/>
      <c r="DE374" s="64"/>
      <c r="DF374" s="64"/>
      <c r="DG374" s="64"/>
      <c r="DH374" s="64"/>
      <c r="DI374" s="64"/>
      <c r="DJ374" s="64"/>
      <c r="DK374" s="64"/>
      <c r="DL374" s="64"/>
      <c r="DM374" s="64"/>
      <c r="DN374" s="64"/>
      <c r="DO374" s="64"/>
      <c r="DP374" s="64"/>
      <c r="DQ374" s="64"/>
      <c r="DR374" s="64"/>
      <c r="DS374" s="64"/>
      <c r="DT374" s="64"/>
      <c r="DU374" s="64"/>
      <c r="DV374" s="64"/>
      <c r="DW374" s="64"/>
      <c r="DX374" s="64"/>
      <c r="DY374" s="64"/>
      <c r="DZ374" s="64"/>
      <c r="EA374" s="64"/>
      <c r="EB374" s="64"/>
      <c r="EC374" s="64"/>
      <c r="ED374" s="64"/>
    </row>
    <row r="375" spans="1:134" ht="15.75" customHeight="1">
      <c r="A375" s="65" t="s">
        <v>941</v>
      </c>
      <c r="B375" s="65" t="s">
        <v>393</v>
      </c>
      <c r="C375" s="65" t="s">
        <v>942</v>
      </c>
      <c r="D375" s="65" t="str">
        <f t="shared" si="1"/>
        <v>RB</v>
      </c>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c r="BU375" s="64"/>
      <c r="BV375" s="64"/>
      <c r="BW375" s="64"/>
      <c r="BX375" s="64"/>
      <c r="BY375" s="64"/>
      <c r="BZ375" s="64"/>
      <c r="CA375" s="64"/>
      <c r="CB375" s="64"/>
      <c r="CC375" s="64"/>
      <c r="CD375" s="64"/>
      <c r="CE375" s="64"/>
      <c r="CF375" s="64"/>
      <c r="CG375" s="64"/>
      <c r="CH375" s="64"/>
      <c r="CI375" s="64"/>
      <c r="CJ375" s="64"/>
      <c r="CK375" s="64"/>
      <c r="CL375" s="64"/>
      <c r="CM375" s="64"/>
      <c r="CN375" s="64"/>
      <c r="CO375" s="64"/>
      <c r="CP375" s="64"/>
      <c r="CQ375" s="64"/>
      <c r="CR375" s="64"/>
      <c r="CS375" s="64"/>
      <c r="CT375" s="64"/>
      <c r="CU375" s="64"/>
      <c r="CV375" s="64"/>
      <c r="CW375" s="64"/>
      <c r="CX375" s="64"/>
      <c r="CY375" s="64"/>
      <c r="CZ375" s="64"/>
      <c r="DA375" s="64"/>
      <c r="DB375" s="64"/>
      <c r="DC375" s="64"/>
      <c r="DD375" s="64"/>
      <c r="DE375" s="64"/>
      <c r="DF375" s="64"/>
      <c r="DG375" s="64"/>
      <c r="DH375" s="64"/>
      <c r="DI375" s="64"/>
      <c r="DJ375" s="64"/>
      <c r="DK375" s="64"/>
      <c r="DL375" s="64"/>
      <c r="DM375" s="64"/>
      <c r="DN375" s="64"/>
      <c r="DO375" s="64"/>
      <c r="DP375" s="64"/>
      <c r="DQ375" s="64"/>
      <c r="DR375" s="64"/>
      <c r="DS375" s="64"/>
      <c r="DT375" s="64"/>
      <c r="DU375" s="64"/>
      <c r="DV375" s="64"/>
      <c r="DW375" s="64"/>
      <c r="DX375" s="64"/>
      <c r="DY375" s="64"/>
      <c r="DZ375" s="64"/>
      <c r="EA375" s="64"/>
      <c r="EB375" s="64"/>
      <c r="EC375" s="64"/>
      <c r="ED375" s="64"/>
    </row>
    <row r="376" spans="1:134" ht="15.75" customHeight="1">
      <c r="A376" s="65" t="s">
        <v>189</v>
      </c>
      <c r="B376" s="65" t="s">
        <v>410</v>
      </c>
      <c r="C376" s="65" t="s">
        <v>943</v>
      </c>
      <c r="D376" s="65" t="str">
        <f t="shared" si="1"/>
        <v>DEF</v>
      </c>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c r="BU376" s="64"/>
      <c r="BV376" s="64"/>
      <c r="BW376" s="64"/>
      <c r="BX376" s="64"/>
      <c r="BY376" s="64"/>
      <c r="BZ376" s="64"/>
      <c r="CA376" s="64"/>
      <c r="CB376" s="64"/>
      <c r="CC376" s="64"/>
      <c r="CD376" s="64"/>
      <c r="CE376" s="64"/>
      <c r="CF376" s="64"/>
      <c r="CG376" s="64"/>
      <c r="CH376" s="64"/>
      <c r="CI376" s="64"/>
      <c r="CJ376" s="64"/>
      <c r="CK376" s="64"/>
      <c r="CL376" s="64"/>
      <c r="CM376" s="64"/>
      <c r="CN376" s="64"/>
      <c r="CO376" s="64"/>
      <c r="CP376" s="64"/>
      <c r="CQ376" s="64"/>
      <c r="CR376" s="64"/>
      <c r="CS376" s="64"/>
      <c r="CT376" s="64"/>
      <c r="CU376" s="64"/>
      <c r="CV376" s="64"/>
      <c r="CW376" s="64"/>
      <c r="CX376" s="64"/>
      <c r="CY376" s="64"/>
      <c r="CZ376" s="64"/>
      <c r="DA376" s="64"/>
      <c r="DB376" s="64"/>
      <c r="DC376" s="64"/>
      <c r="DD376" s="64"/>
      <c r="DE376" s="64"/>
      <c r="DF376" s="64"/>
      <c r="DG376" s="64"/>
      <c r="DH376" s="64"/>
      <c r="DI376" s="64"/>
      <c r="DJ376" s="64"/>
      <c r="DK376" s="64"/>
      <c r="DL376" s="64"/>
      <c r="DM376" s="64"/>
      <c r="DN376" s="64"/>
      <c r="DO376" s="64"/>
      <c r="DP376" s="64"/>
      <c r="DQ376" s="64"/>
      <c r="DR376" s="64"/>
      <c r="DS376" s="64"/>
      <c r="DT376" s="64"/>
      <c r="DU376" s="64"/>
      <c r="DV376" s="64"/>
      <c r="DW376" s="64"/>
      <c r="DX376" s="64"/>
      <c r="DY376" s="64"/>
      <c r="DZ376" s="64"/>
      <c r="EA376" s="64"/>
      <c r="EB376" s="64"/>
      <c r="EC376" s="64"/>
      <c r="ED376" s="64"/>
    </row>
    <row r="377" spans="1:134" ht="15.75" customHeight="1">
      <c r="A377" s="65" t="s">
        <v>944</v>
      </c>
      <c r="B377" s="65" t="s">
        <v>392</v>
      </c>
      <c r="C377" s="65" t="s">
        <v>945</v>
      </c>
      <c r="D377" s="65" t="str">
        <f t="shared" si="1"/>
        <v>RB</v>
      </c>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c r="BU377" s="64"/>
      <c r="BV377" s="64"/>
      <c r="BW377" s="64"/>
      <c r="BX377" s="64"/>
      <c r="BY377" s="64"/>
      <c r="BZ377" s="64"/>
      <c r="CA377" s="64"/>
      <c r="CB377" s="64"/>
      <c r="CC377" s="64"/>
      <c r="CD377" s="64"/>
      <c r="CE377" s="64"/>
      <c r="CF377" s="64"/>
      <c r="CG377" s="64"/>
      <c r="CH377" s="64"/>
      <c r="CI377" s="64"/>
      <c r="CJ377" s="64"/>
      <c r="CK377" s="64"/>
      <c r="CL377" s="64"/>
      <c r="CM377" s="64"/>
      <c r="CN377" s="64"/>
      <c r="CO377" s="64"/>
      <c r="CP377" s="64"/>
      <c r="CQ377" s="64"/>
      <c r="CR377" s="64"/>
      <c r="CS377" s="64"/>
      <c r="CT377" s="64"/>
      <c r="CU377" s="64"/>
      <c r="CV377" s="64"/>
      <c r="CW377" s="64"/>
      <c r="CX377" s="64"/>
      <c r="CY377" s="64"/>
      <c r="CZ377" s="64"/>
      <c r="DA377" s="64"/>
      <c r="DB377" s="64"/>
      <c r="DC377" s="64"/>
      <c r="DD377" s="64"/>
      <c r="DE377" s="64"/>
      <c r="DF377" s="64"/>
      <c r="DG377" s="64"/>
      <c r="DH377" s="64"/>
      <c r="DI377" s="64"/>
      <c r="DJ377" s="64"/>
      <c r="DK377" s="64"/>
      <c r="DL377" s="64"/>
      <c r="DM377" s="64"/>
      <c r="DN377" s="64"/>
      <c r="DO377" s="64"/>
      <c r="DP377" s="64"/>
      <c r="DQ377" s="64"/>
      <c r="DR377" s="64"/>
      <c r="DS377" s="64"/>
      <c r="DT377" s="64"/>
      <c r="DU377" s="64"/>
      <c r="DV377" s="64"/>
      <c r="DW377" s="64"/>
      <c r="DX377" s="64"/>
      <c r="DY377" s="64"/>
      <c r="DZ377" s="64"/>
      <c r="EA377" s="64"/>
      <c r="EB377" s="64"/>
      <c r="EC377" s="64"/>
      <c r="ED377" s="64"/>
    </row>
    <row r="378" spans="1:134" ht="15.75" customHeight="1">
      <c r="A378" s="65" t="s">
        <v>221</v>
      </c>
      <c r="B378" s="65" t="s">
        <v>411</v>
      </c>
      <c r="C378" s="65" t="s">
        <v>946</v>
      </c>
      <c r="D378" s="65" t="str">
        <f t="shared" si="1"/>
        <v>DEF</v>
      </c>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c r="BU378" s="64"/>
      <c r="BV378" s="64"/>
      <c r="BW378" s="64"/>
      <c r="BX378" s="64"/>
      <c r="BY378" s="64"/>
      <c r="BZ378" s="64"/>
      <c r="CA378" s="64"/>
      <c r="CB378" s="64"/>
      <c r="CC378" s="64"/>
      <c r="CD378" s="64"/>
      <c r="CE378" s="64"/>
      <c r="CF378" s="64"/>
      <c r="CG378" s="64"/>
      <c r="CH378" s="64"/>
      <c r="CI378" s="64"/>
      <c r="CJ378" s="64"/>
      <c r="CK378" s="64"/>
      <c r="CL378" s="64"/>
      <c r="CM378" s="64"/>
      <c r="CN378" s="64"/>
      <c r="CO378" s="64"/>
      <c r="CP378" s="64"/>
      <c r="CQ378" s="64"/>
      <c r="CR378" s="64"/>
      <c r="CS378" s="64"/>
      <c r="CT378" s="64"/>
      <c r="CU378" s="64"/>
      <c r="CV378" s="64"/>
      <c r="CW378" s="64"/>
      <c r="CX378" s="64"/>
      <c r="CY378" s="64"/>
      <c r="CZ378" s="64"/>
      <c r="DA378" s="64"/>
      <c r="DB378" s="64"/>
      <c r="DC378" s="64"/>
      <c r="DD378" s="64"/>
      <c r="DE378" s="64"/>
      <c r="DF378" s="64"/>
      <c r="DG378" s="64"/>
      <c r="DH378" s="64"/>
      <c r="DI378" s="64"/>
      <c r="DJ378" s="64"/>
      <c r="DK378" s="64"/>
      <c r="DL378" s="64"/>
      <c r="DM378" s="64"/>
      <c r="DN378" s="64"/>
      <c r="DO378" s="64"/>
      <c r="DP378" s="64"/>
      <c r="DQ378" s="64"/>
      <c r="DR378" s="64"/>
      <c r="DS378" s="64"/>
      <c r="DT378" s="64"/>
      <c r="DU378" s="64"/>
      <c r="DV378" s="64"/>
      <c r="DW378" s="64"/>
      <c r="DX378" s="64"/>
      <c r="DY378" s="64"/>
      <c r="DZ378" s="64"/>
      <c r="EA378" s="64"/>
      <c r="EB378" s="64"/>
      <c r="EC378" s="64"/>
      <c r="ED378" s="64"/>
    </row>
    <row r="379" spans="1:134" ht="15.75" customHeight="1">
      <c r="A379" s="65" t="s">
        <v>29</v>
      </c>
      <c r="B379" s="65" t="s">
        <v>402</v>
      </c>
      <c r="C379" s="65" t="s">
        <v>947</v>
      </c>
      <c r="D379" s="65" t="str">
        <f t="shared" si="1"/>
        <v>WR</v>
      </c>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c r="BU379" s="64"/>
      <c r="BV379" s="64"/>
      <c r="BW379" s="64"/>
      <c r="BX379" s="64"/>
      <c r="BY379" s="64"/>
      <c r="BZ379" s="64"/>
      <c r="CA379" s="64"/>
      <c r="CB379" s="64"/>
      <c r="CC379" s="64"/>
      <c r="CD379" s="64"/>
      <c r="CE379" s="64"/>
      <c r="CF379" s="64"/>
      <c r="CG379" s="64"/>
      <c r="CH379" s="64"/>
      <c r="CI379" s="64"/>
      <c r="CJ379" s="64"/>
      <c r="CK379" s="64"/>
      <c r="CL379" s="64"/>
      <c r="CM379" s="64"/>
      <c r="CN379" s="64"/>
      <c r="CO379" s="64"/>
      <c r="CP379" s="64"/>
      <c r="CQ379" s="64"/>
      <c r="CR379" s="64"/>
      <c r="CS379" s="64"/>
      <c r="CT379" s="64"/>
      <c r="CU379" s="64"/>
      <c r="CV379" s="64"/>
      <c r="CW379" s="64"/>
      <c r="CX379" s="64"/>
      <c r="CY379" s="64"/>
      <c r="CZ379" s="64"/>
      <c r="DA379" s="64"/>
      <c r="DB379" s="64"/>
      <c r="DC379" s="64"/>
      <c r="DD379" s="64"/>
      <c r="DE379" s="64"/>
      <c r="DF379" s="64"/>
      <c r="DG379" s="64"/>
      <c r="DH379" s="64"/>
      <c r="DI379" s="64"/>
      <c r="DJ379" s="64"/>
      <c r="DK379" s="64"/>
      <c r="DL379" s="64"/>
      <c r="DM379" s="64"/>
      <c r="DN379" s="64"/>
      <c r="DO379" s="64"/>
      <c r="DP379" s="64"/>
      <c r="DQ379" s="64"/>
      <c r="DR379" s="64"/>
      <c r="DS379" s="64"/>
      <c r="DT379" s="64"/>
      <c r="DU379" s="64"/>
      <c r="DV379" s="64"/>
      <c r="DW379" s="64"/>
      <c r="DX379" s="64"/>
      <c r="DY379" s="64"/>
      <c r="DZ379" s="64"/>
      <c r="EA379" s="64"/>
      <c r="EB379" s="64"/>
      <c r="EC379" s="64"/>
      <c r="ED379" s="64"/>
    </row>
    <row r="380" spans="1:134" ht="15.75" customHeight="1">
      <c r="A380" s="65" t="s">
        <v>212</v>
      </c>
      <c r="B380" s="65" t="s">
        <v>401</v>
      </c>
      <c r="C380" s="65" t="s">
        <v>948</v>
      </c>
      <c r="D380" s="65" t="str">
        <f t="shared" si="1"/>
        <v>WR</v>
      </c>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c r="BU380" s="64"/>
      <c r="BV380" s="64"/>
      <c r="BW380" s="64"/>
      <c r="BX380" s="64"/>
      <c r="BY380" s="64"/>
      <c r="BZ380" s="64"/>
      <c r="CA380" s="64"/>
      <c r="CB380" s="64"/>
      <c r="CC380" s="64"/>
      <c r="CD380" s="64"/>
      <c r="CE380" s="64"/>
      <c r="CF380" s="64"/>
      <c r="CG380" s="64"/>
      <c r="CH380" s="64"/>
      <c r="CI380" s="64"/>
      <c r="CJ380" s="64"/>
      <c r="CK380" s="64"/>
      <c r="CL380" s="64"/>
      <c r="CM380" s="64"/>
      <c r="CN380" s="64"/>
      <c r="CO380" s="64"/>
      <c r="CP380" s="64"/>
      <c r="CQ380" s="64"/>
      <c r="CR380" s="64"/>
      <c r="CS380" s="64"/>
      <c r="CT380" s="64"/>
      <c r="CU380" s="64"/>
      <c r="CV380" s="64"/>
      <c r="CW380" s="64"/>
      <c r="CX380" s="64"/>
      <c r="CY380" s="64"/>
      <c r="CZ380" s="64"/>
      <c r="DA380" s="64"/>
      <c r="DB380" s="64"/>
      <c r="DC380" s="64"/>
      <c r="DD380" s="64"/>
      <c r="DE380" s="64"/>
      <c r="DF380" s="64"/>
      <c r="DG380" s="64"/>
      <c r="DH380" s="64"/>
      <c r="DI380" s="64"/>
      <c r="DJ380" s="64"/>
      <c r="DK380" s="64"/>
      <c r="DL380" s="64"/>
      <c r="DM380" s="64"/>
      <c r="DN380" s="64"/>
      <c r="DO380" s="64"/>
      <c r="DP380" s="64"/>
      <c r="DQ380" s="64"/>
      <c r="DR380" s="64"/>
      <c r="DS380" s="64"/>
      <c r="DT380" s="64"/>
      <c r="DU380" s="64"/>
      <c r="DV380" s="64"/>
      <c r="DW380" s="64"/>
      <c r="DX380" s="64"/>
      <c r="DY380" s="64"/>
      <c r="DZ380" s="64"/>
      <c r="EA380" s="64"/>
      <c r="EB380" s="64"/>
      <c r="EC380" s="64"/>
      <c r="ED380" s="64"/>
    </row>
    <row r="381" spans="1:134" ht="15.75" customHeight="1">
      <c r="A381" s="65" t="s">
        <v>123</v>
      </c>
      <c r="B381" s="65" t="s">
        <v>392</v>
      </c>
      <c r="C381" s="65" t="s">
        <v>949</v>
      </c>
      <c r="D381" s="65" t="str">
        <f t="shared" si="1"/>
        <v>RB</v>
      </c>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c r="BU381" s="64"/>
      <c r="BV381" s="64"/>
      <c r="BW381" s="64"/>
      <c r="BX381" s="64"/>
      <c r="BY381" s="64"/>
      <c r="BZ381" s="64"/>
      <c r="CA381" s="64"/>
      <c r="CB381" s="64"/>
      <c r="CC381" s="64"/>
      <c r="CD381" s="64"/>
      <c r="CE381" s="64"/>
      <c r="CF381" s="64"/>
      <c r="CG381" s="64"/>
      <c r="CH381" s="64"/>
      <c r="CI381" s="64"/>
      <c r="CJ381" s="64"/>
      <c r="CK381" s="64"/>
      <c r="CL381" s="64"/>
      <c r="CM381" s="64"/>
      <c r="CN381" s="64"/>
      <c r="CO381" s="64"/>
      <c r="CP381" s="64"/>
      <c r="CQ381" s="64"/>
      <c r="CR381" s="64"/>
      <c r="CS381" s="64"/>
      <c r="CT381" s="64"/>
      <c r="CU381" s="64"/>
      <c r="CV381" s="64"/>
      <c r="CW381" s="64"/>
      <c r="CX381" s="64"/>
      <c r="CY381" s="64"/>
      <c r="CZ381" s="64"/>
      <c r="DA381" s="64"/>
      <c r="DB381" s="64"/>
      <c r="DC381" s="64"/>
      <c r="DD381" s="64"/>
      <c r="DE381" s="64"/>
      <c r="DF381" s="64"/>
      <c r="DG381" s="64"/>
      <c r="DH381" s="64"/>
      <c r="DI381" s="64"/>
      <c r="DJ381" s="64"/>
      <c r="DK381" s="64"/>
      <c r="DL381" s="64"/>
      <c r="DM381" s="64"/>
      <c r="DN381" s="64"/>
      <c r="DO381" s="64"/>
      <c r="DP381" s="64"/>
      <c r="DQ381" s="64"/>
      <c r="DR381" s="64"/>
      <c r="DS381" s="64"/>
      <c r="DT381" s="64"/>
      <c r="DU381" s="64"/>
      <c r="DV381" s="64"/>
      <c r="DW381" s="64"/>
      <c r="DX381" s="64"/>
      <c r="DY381" s="64"/>
      <c r="DZ381" s="64"/>
      <c r="EA381" s="64"/>
      <c r="EB381" s="64"/>
      <c r="EC381" s="64"/>
      <c r="ED381" s="64"/>
    </row>
    <row r="382" spans="1:134" ht="15.75" customHeight="1">
      <c r="A382" s="65" t="s">
        <v>149</v>
      </c>
      <c r="B382" s="65" t="s">
        <v>414</v>
      </c>
      <c r="C382" s="65" t="s">
        <v>950</v>
      </c>
      <c r="D382" s="65" t="str">
        <f t="shared" si="1"/>
        <v>RB</v>
      </c>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c r="BU382" s="64"/>
      <c r="BV382" s="64"/>
      <c r="BW382" s="64"/>
      <c r="BX382" s="64"/>
      <c r="BY382" s="64"/>
      <c r="BZ382" s="64"/>
      <c r="CA382" s="64"/>
      <c r="CB382" s="64"/>
      <c r="CC382" s="64"/>
      <c r="CD382" s="64"/>
      <c r="CE382" s="64"/>
      <c r="CF382" s="64"/>
      <c r="CG382" s="64"/>
      <c r="CH382" s="64"/>
      <c r="CI382" s="64"/>
      <c r="CJ382" s="64"/>
      <c r="CK382" s="64"/>
      <c r="CL382" s="64"/>
      <c r="CM382" s="64"/>
      <c r="CN382" s="64"/>
      <c r="CO382" s="64"/>
      <c r="CP382" s="64"/>
      <c r="CQ382" s="64"/>
      <c r="CR382" s="64"/>
      <c r="CS382" s="64"/>
      <c r="CT382" s="64"/>
      <c r="CU382" s="64"/>
      <c r="CV382" s="64"/>
      <c r="CW382" s="64"/>
      <c r="CX382" s="64"/>
      <c r="CY382" s="64"/>
      <c r="CZ382" s="64"/>
      <c r="DA382" s="64"/>
      <c r="DB382" s="64"/>
      <c r="DC382" s="64"/>
      <c r="DD382" s="64"/>
      <c r="DE382" s="64"/>
      <c r="DF382" s="64"/>
      <c r="DG382" s="64"/>
      <c r="DH382" s="64"/>
      <c r="DI382" s="64"/>
      <c r="DJ382" s="64"/>
      <c r="DK382" s="64"/>
      <c r="DL382" s="64"/>
      <c r="DM382" s="64"/>
      <c r="DN382" s="64"/>
      <c r="DO382" s="64"/>
      <c r="DP382" s="64"/>
      <c r="DQ382" s="64"/>
      <c r="DR382" s="64"/>
      <c r="DS382" s="64"/>
      <c r="DT382" s="64"/>
      <c r="DU382" s="64"/>
      <c r="DV382" s="64"/>
      <c r="DW382" s="64"/>
      <c r="DX382" s="64"/>
      <c r="DY382" s="64"/>
      <c r="DZ382" s="64"/>
      <c r="EA382" s="64"/>
      <c r="EB382" s="64"/>
      <c r="EC382" s="64"/>
      <c r="ED382" s="64"/>
    </row>
    <row r="383" spans="1:134" ht="15.75" customHeight="1">
      <c r="A383" s="65" t="s">
        <v>313</v>
      </c>
      <c r="B383" s="65" t="s">
        <v>403</v>
      </c>
      <c r="C383" s="65" t="s">
        <v>951</v>
      </c>
      <c r="D383" s="65" t="str">
        <f t="shared" si="1"/>
        <v>RB</v>
      </c>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c r="BU383" s="64"/>
      <c r="BV383" s="64"/>
      <c r="BW383" s="64"/>
      <c r="BX383" s="64"/>
      <c r="BY383" s="64"/>
      <c r="BZ383" s="64"/>
      <c r="CA383" s="64"/>
      <c r="CB383" s="64"/>
      <c r="CC383" s="64"/>
      <c r="CD383" s="64"/>
      <c r="CE383" s="64"/>
      <c r="CF383" s="64"/>
      <c r="CG383" s="64"/>
      <c r="CH383" s="64"/>
      <c r="CI383" s="64"/>
      <c r="CJ383" s="64"/>
      <c r="CK383" s="64"/>
      <c r="CL383" s="64"/>
      <c r="CM383" s="64"/>
      <c r="CN383" s="64"/>
      <c r="CO383" s="64"/>
      <c r="CP383" s="64"/>
      <c r="CQ383" s="64"/>
      <c r="CR383" s="64"/>
      <c r="CS383" s="64"/>
      <c r="CT383" s="64"/>
      <c r="CU383" s="64"/>
      <c r="CV383" s="64"/>
      <c r="CW383" s="64"/>
      <c r="CX383" s="64"/>
      <c r="CY383" s="64"/>
      <c r="CZ383" s="64"/>
      <c r="DA383" s="64"/>
      <c r="DB383" s="64"/>
      <c r="DC383" s="64"/>
      <c r="DD383" s="64"/>
      <c r="DE383" s="64"/>
      <c r="DF383" s="64"/>
      <c r="DG383" s="64"/>
      <c r="DH383" s="64"/>
      <c r="DI383" s="64"/>
      <c r="DJ383" s="64"/>
      <c r="DK383" s="64"/>
      <c r="DL383" s="64"/>
      <c r="DM383" s="64"/>
      <c r="DN383" s="64"/>
      <c r="DO383" s="64"/>
      <c r="DP383" s="64"/>
      <c r="DQ383" s="64"/>
      <c r="DR383" s="64"/>
      <c r="DS383" s="64"/>
      <c r="DT383" s="64"/>
      <c r="DU383" s="64"/>
      <c r="DV383" s="64"/>
      <c r="DW383" s="64"/>
      <c r="DX383" s="64"/>
      <c r="DY383" s="64"/>
      <c r="DZ383" s="64"/>
      <c r="EA383" s="64"/>
      <c r="EB383" s="64"/>
      <c r="EC383" s="64"/>
      <c r="ED383" s="64"/>
    </row>
    <row r="384" spans="1:134" ht="15.75" customHeight="1">
      <c r="A384" s="65" t="s">
        <v>952</v>
      </c>
      <c r="B384" s="65" t="s">
        <v>401</v>
      </c>
      <c r="C384" s="65" t="s">
        <v>953</v>
      </c>
      <c r="D384" s="65" t="str">
        <f t="shared" si="1"/>
        <v>RB</v>
      </c>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c r="BU384" s="64"/>
      <c r="BV384" s="64"/>
      <c r="BW384" s="64"/>
      <c r="BX384" s="64"/>
      <c r="BY384" s="64"/>
      <c r="BZ384" s="64"/>
      <c r="CA384" s="64"/>
      <c r="CB384" s="64"/>
      <c r="CC384" s="64"/>
      <c r="CD384" s="64"/>
      <c r="CE384" s="64"/>
      <c r="CF384" s="64"/>
      <c r="CG384" s="64"/>
      <c r="CH384" s="64"/>
      <c r="CI384" s="64"/>
      <c r="CJ384" s="64"/>
      <c r="CK384" s="64"/>
      <c r="CL384" s="64"/>
      <c r="CM384" s="64"/>
      <c r="CN384" s="64"/>
      <c r="CO384" s="64"/>
      <c r="CP384" s="64"/>
      <c r="CQ384" s="64"/>
      <c r="CR384" s="64"/>
      <c r="CS384" s="64"/>
      <c r="CT384" s="64"/>
      <c r="CU384" s="64"/>
      <c r="CV384" s="64"/>
      <c r="CW384" s="64"/>
      <c r="CX384" s="64"/>
      <c r="CY384" s="64"/>
      <c r="CZ384" s="64"/>
      <c r="DA384" s="64"/>
      <c r="DB384" s="64"/>
      <c r="DC384" s="64"/>
      <c r="DD384" s="64"/>
      <c r="DE384" s="64"/>
      <c r="DF384" s="64"/>
      <c r="DG384" s="64"/>
      <c r="DH384" s="64"/>
      <c r="DI384" s="64"/>
      <c r="DJ384" s="64"/>
      <c r="DK384" s="64"/>
      <c r="DL384" s="64"/>
      <c r="DM384" s="64"/>
      <c r="DN384" s="64"/>
      <c r="DO384" s="64"/>
      <c r="DP384" s="64"/>
      <c r="DQ384" s="64"/>
      <c r="DR384" s="64"/>
      <c r="DS384" s="64"/>
      <c r="DT384" s="64"/>
      <c r="DU384" s="64"/>
      <c r="DV384" s="64"/>
      <c r="DW384" s="64"/>
      <c r="DX384" s="64"/>
      <c r="DY384" s="64"/>
      <c r="DZ384" s="64"/>
      <c r="EA384" s="64"/>
      <c r="EB384" s="64"/>
      <c r="EC384" s="64"/>
      <c r="ED384" s="64"/>
    </row>
    <row r="385" spans="1:134" ht="15.75" customHeight="1">
      <c r="A385" s="65" t="s">
        <v>122</v>
      </c>
      <c r="B385" s="65" t="s">
        <v>400</v>
      </c>
      <c r="C385" s="65" t="s">
        <v>954</v>
      </c>
      <c r="D385" s="65" t="str">
        <f t="shared" si="1"/>
        <v>WR</v>
      </c>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c r="BU385" s="64"/>
      <c r="BV385" s="64"/>
      <c r="BW385" s="64"/>
      <c r="BX385" s="64"/>
      <c r="BY385" s="64"/>
      <c r="BZ385" s="64"/>
      <c r="CA385" s="64"/>
      <c r="CB385" s="64"/>
      <c r="CC385" s="64"/>
      <c r="CD385" s="64"/>
      <c r="CE385" s="64"/>
      <c r="CF385" s="64"/>
      <c r="CG385" s="64"/>
      <c r="CH385" s="64"/>
      <c r="CI385" s="64"/>
      <c r="CJ385" s="64"/>
      <c r="CK385" s="64"/>
      <c r="CL385" s="64"/>
      <c r="CM385" s="64"/>
      <c r="CN385" s="64"/>
      <c r="CO385" s="64"/>
      <c r="CP385" s="64"/>
      <c r="CQ385" s="64"/>
      <c r="CR385" s="64"/>
      <c r="CS385" s="64"/>
      <c r="CT385" s="64"/>
      <c r="CU385" s="64"/>
      <c r="CV385" s="64"/>
      <c r="CW385" s="64"/>
      <c r="CX385" s="64"/>
      <c r="CY385" s="64"/>
      <c r="CZ385" s="64"/>
      <c r="DA385" s="64"/>
      <c r="DB385" s="64"/>
      <c r="DC385" s="64"/>
      <c r="DD385" s="64"/>
      <c r="DE385" s="64"/>
      <c r="DF385" s="64"/>
      <c r="DG385" s="64"/>
      <c r="DH385" s="64"/>
      <c r="DI385" s="64"/>
      <c r="DJ385" s="64"/>
      <c r="DK385" s="64"/>
      <c r="DL385" s="64"/>
      <c r="DM385" s="64"/>
      <c r="DN385" s="64"/>
      <c r="DO385" s="64"/>
      <c r="DP385" s="64"/>
      <c r="DQ385" s="64"/>
      <c r="DR385" s="64"/>
      <c r="DS385" s="64"/>
      <c r="DT385" s="64"/>
      <c r="DU385" s="64"/>
      <c r="DV385" s="64"/>
      <c r="DW385" s="64"/>
      <c r="DX385" s="64"/>
      <c r="DY385" s="64"/>
      <c r="DZ385" s="64"/>
      <c r="EA385" s="64"/>
      <c r="EB385" s="64"/>
      <c r="EC385" s="64"/>
      <c r="ED385" s="64"/>
    </row>
    <row r="386" spans="1:134" ht="15.75" customHeight="1">
      <c r="A386" s="65" t="s">
        <v>185</v>
      </c>
      <c r="B386" s="65" t="s">
        <v>407</v>
      </c>
      <c r="C386" s="65" t="s">
        <v>955</v>
      </c>
      <c r="D386" s="65" t="str">
        <f t="shared" si="1"/>
        <v>WR</v>
      </c>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c r="BU386" s="64"/>
      <c r="BV386" s="64"/>
      <c r="BW386" s="64"/>
      <c r="BX386" s="64"/>
      <c r="BY386" s="64"/>
      <c r="BZ386" s="64"/>
      <c r="CA386" s="64"/>
      <c r="CB386" s="64"/>
      <c r="CC386" s="64"/>
      <c r="CD386" s="64"/>
      <c r="CE386" s="64"/>
      <c r="CF386" s="64"/>
      <c r="CG386" s="64"/>
      <c r="CH386" s="64"/>
      <c r="CI386" s="64"/>
      <c r="CJ386" s="64"/>
      <c r="CK386" s="64"/>
      <c r="CL386" s="64"/>
      <c r="CM386" s="64"/>
      <c r="CN386" s="64"/>
      <c r="CO386" s="64"/>
      <c r="CP386" s="64"/>
      <c r="CQ386" s="64"/>
      <c r="CR386" s="64"/>
      <c r="CS386" s="64"/>
      <c r="CT386" s="64"/>
      <c r="CU386" s="64"/>
      <c r="CV386" s="64"/>
      <c r="CW386" s="64"/>
      <c r="CX386" s="64"/>
      <c r="CY386" s="64"/>
      <c r="CZ386" s="64"/>
      <c r="DA386" s="64"/>
      <c r="DB386" s="64"/>
      <c r="DC386" s="64"/>
      <c r="DD386" s="64"/>
      <c r="DE386" s="64"/>
      <c r="DF386" s="64"/>
      <c r="DG386" s="64"/>
      <c r="DH386" s="64"/>
      <c r="DI386" s="64"/>
      <c r="DJ386" s="64"/>
      <c r="DK386" s="64"/>
      <c r="DL386" s="64"/>
      <c r="DM386" s="64"/>
      <c r="DN386" s="64"/>
      <c r="DO386" s="64"/>
      <c r="DP386" s="64"/>
      <c r="DQ386" s="64"/>
      <c r="DR386" s="64"/>
      <c r="DS386" s="64"/>
      <c r="DT386" s="64"/>
      <c r="DU386" s="64"/>
      <c r="DV386" s="64"/>
      <c r="DW386" s="64"/>
      <c r="DX386" s="64"/>
      <c r="DY386" s="64"/>
      <c r="DZ386" s="64"/>
      <c r="EA386" s="64"/>
      <c r="EB386" s="64"/>
      <c r="EC386" s="64"/>
      <c r="ED386" s="64"/>
    </row>
    <row r="387" spans="1:134" ht="15.75" customHeight="1">
      <c r="A387" s="65" t="s">
        <v>157</v>
      </c>
      <c r="B387" s="65" t="s">
        <v>387</v>
      </c>
      <c r="C387" s="65" t="s">
        <v>956</v>
      </c>
      <c r="D387" s="65" t="str">
        <f t="shared" si="1"/>
        <v>WR</v>
      </c>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c r="BU387" s="64"/>
      <c r="BV387" s="64"/>
      <c r="BW387" s="64"/>
      <c r="BX387" s="64"/>
      <c r="BY387" s="64"/>
      <c r="BZ387" s="64"/>
      <c r="CA387" s="64"/>
      <c r="CB387" s="64"/>
      <c r="CC387" s="64"/>
      <c r="CD387" s="64"/>
      <c r="CE387" s="64"/>
      <c r="CF387" s="64"/>
      <c r="CG387" s="64"/>
      <c r="CH387" s="64"/>
      <c r="CI387" s="64"/>
      <c r="CJ387" s="64"/>
      <c r="CK387" s="64"/>
      <c r="CL387" s="64"/>
      <c r="CM387" s="64"/>
      <c r="CN387" s="64"/>
      <c r="CO387" s="64"/>
      <c r="CP387" s="64"/>
      <c r="CQ387" s="64"/>
      <c r="CR387" s="64"/>
      <c r="CS387" s="64"/>
      <c r="CT387" s="64"/>
      <c r="CU387" s="64"/>
      <c r="CV387" s="64"/>
      <c r="CW387" s="64"/>
      <c r="CX387" s="64"/>
      <c r="CY387" s="64"/>
      <c r="CZ387" s="64"/>
      <c r="DA387" s="64"/>
      <c r="DB387" s="64"/>
      <c r="DC387" s="64"/>
      <c r="DD387" s="64"/>
      <c r="DE387" s="64"/>
      <c r="DF387" s="64"/>
      <c r="DG387" s="64"/>
      <c r="DH387" s="64"/>
      <c r="DI387" s="64"/>
      <c r="DJ387" s="64"/>
      <c r="DK387" s="64"/>
      <c r="DL387" s="64"/>
      <c r="DM387" s="64"/>
      <c r="DN387" s="64"/>
      <c r="DO387" s="64"/>
      <c r="DP387" s="64"/>
      <c r="DQ387" s="64"/>
      <c r="DR387" s="64"/>
      <c r="DS387" s="64"/>
      <c r="DT387" s="64"/>
      <c r="DU387" s="64"/>
      <c r="DV387" s="64"/>
      <c r="DW387" s="64"/>
      <c r="DX387" s="64"/>
      <c r="DY387" s="64"/>
      <c r="DZ387" s="64"/>
      <c r="EA387" s="64"/>
      <c r="EB387" s="64"/>
      <c r="EC387" s="64"/>
      <c r="ED387" s="64"/>
    </row>
    <row r="388" spans="1:134" ht="15.75" customHeight="1">
      <c r="A388" s="65" t="s">
        <v>158</v>
      </c>
      <c r="B388" s="65" t="s">
        <v>388</v>
      </c>
      <c r="C388" s="65" t="s">
        <v>957</v>
      </c>
      <c r="D388" s="65" t="str">
        <f t="shared" si="1"/>
        <v>RB</v>
      </c>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c r="BU388" s="64"/>
      <c r="BV388" s="64"/>
      <c r="BW388" s="64"/>
      <c r="BX388" s="64"/>
      <c r="BY388" s="64"/>
      <c r="BZ388" s="64"/>
      <c r="CA388" s="64"/>
      <c r="CB388" s="64"/>
      <c r="CC388" s="64"/>
      <c r="CD388" s="64"/>
      <c r="CE388" s="64"/>
      <c r="CF388" s="64"/>
      <c r="CG388" s="64"/>
      <c r="CH388" s="64"/>
      <c r="CI388" s="64"/>
      <c r="CJ388" s="64"/>
      <c r="CK388" s="64"/>
      <c r="CL388" s="64"/>
      <c r="CM388" s="64"/>
      <c r="CN388" s="64"/>
      <c r="CO388" s="64"/>
      <c r="CP388" s="64"/>
      <c r="CQ388" s="64"/>
      <c r="CR388" s="64"/>
      <c r="CS388" s="64"/>
      <c r="CT388" s="64"/>
      <c r="CU388" s="64"/>
      <c r="CV388" s="64"/>
      <c r="CW388" s="64"/>
      <c r="CX388" s="64"/>
      <c r="CY388" s="64"/>
      <c r="CZ388" s="64"/>
      <c r="DA388" s="64"/>
      <c r="DB388" s="64"/>
      <c r="DC388" s="64"/>
      <c r="DD388" s="64"/>
      <c r="DE388" s="64"/>
      <c r="DF388" s="64"/>
      <c r="DG388" s="64"/>
      <c r="DH388" s="64"/>
      <c r="DI388" s="64"/>
      <c r="DJ388" s="64"/>
      <c r="DK388" s="64"/>
      <c r="DL388" s="64"/>
      <c r="DM388" s="64"/>
      <c r="DN388" s="64"/>
      <c r="DO388" s="64"/>
      <c r="DP388" s="64"/>
      <c r="DQ388" s="64"/>
      <c r="DR388" s="64"/>
      <c r="DS388" s="64"/>
      <c r="DT388" s="64"/>
      <c r="DU388" s="64"/>
      <c r="DV388" s="64"/>
      <c r="DW388" s="64"/>
      <c r="DX388" s="64"/>
      <c r="DY388" s="64"/>
      <c r="DZ388" s="64"/>
      <c r="EA388" s="64"/>
      <c r="EB388" s="64"/>
      <c r="EC388" s="64"/>
      <c r="ED388" s="64"/>
    </row>
    <row r="389" spans="1:134" ht="15.75" customHeight="1">
      <c r="A389" s="65" t="s">
        <v>958</v>
      </c>
      <c r="B389" s="65" t="s">
        <v>386</v>
      </c>
      <c r="C389" s="65" t="s">
        <v>959</v>
      </c>
      <c r="D389" s="65" t="str">
        <f t="shared" si="1"/>
        <v>WR</v>
      </c>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4"/>
      <c r="DL389" s="64"/>
      <c r="DM389" s="64"/>
      <c r="DN389" s="64"/>
      <c r="DO389" s="64"/>
      <c r="DP389" s="64"/>
      <c r="DQ389" s="64"/>
      <c r="DR389" s="64"/>
      <c r="DS389" s="64"/>
      <c r="DT389" s="64"/>
      <c r="DU389" s="64"/>
      <c r="DV389" s="64"/>
      <c r="DW389" s="64"/>
      <c r="DX389" s="64"/>
      <c r="DY389" s="64"/>
      <c r="DZ389" s="64"/>
      <c r="EA389" s="64"/>
      <c r="EB389" s="64"/>
      <c r="EC389" s="64"/>
      <c r="ED389" s="64"/>
    </row>
    <row r="390" spans="1:134" ht="15.75" customHeight="1">
      <c r="A390" s="65" t="s">
        <v>78</v>
      </c>
      <c r="B390" s="65" t="s">
        <v>406</v>
      </c>
      <c r="C390" s="65" t="s">
        <v>960</v>
      </c>
      <c r="D390" s="65" t="str">
        <f t="shared" si="1"/>
        <v>RB</v>
      </c>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4"/>
      <c r="DL390" s="64"/>
      <c r="DM390" s="64"/>
      <c r="DN390" s="64"/>
      <c r="DO390" s="64"/>
      <c r="DP390" s="64"/>
      <c r="DQ390" s="64"/>
      <c r="DR390" s="64"/>
      <c r="DS390" s="64"/>
      <c r="DT390" s="64"/>
      <c r="DU390" s="64"/>
      <c r="DV390" s="64"/>
      <c r="DW390" s="64"/>
      <c r="DX390" s="64"/>
      <c r="DY390" s="64"/>
      <c r="DZ390" s="64"/>
      <c r="EA390" s="64"/>
      <c r="EB390" s="64"/>
      <c r="EC390" s="64"/>
      <c r="ED390" s="64"/>
    </row>
    <row r="391" spans="1:134" ht="15.75" customHeight="1">
      <c r="A391" s="65" t="s">
        <v>113</v>
      </c>
      <c r="B391" s="65" t="s">
        <v>413</v>
      </c>
      <c r="C391" s="65" t="s">
        <v>961</v>
      </c>
      <c r="D391" s="65" t="str">
        <f t="shared" si="1"/>
        <v>WR</v>
      </c>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4"/>
      <c r="DL391" s="64"/>
      <c r="DM391" s="64"/>
      <c r="DN391" s="64"/>
      <c r="DO391" s="64"/>
      <c r="DP391" s="64"/>
      <c r="DQ391" s="64"/>
      <c r="DR391" s="64"/>
      <c r="DS391" s="64"/>
      <c r="DT391" s="64"/>
      <c r="DU391" s="64"/>
      <c r="DV391" s="64"/>
      <c r="DW391" s="64"/>
      <c r="DX391" s="64"/>
      <c r="DY391" s="64"/>
      <c r="DZ391" s="64"/>
      <c r="EA391" s="64"/>
      <c r="EB391" s="64"/>
      <c r="EC391" s="64"/>
      <c r="ED391" s="64"/>
    </row>
    <row r="392" spans="1:134" ht="15.75" customHeight="1">
      <c r="A392" s="65" t="s">
        <v>176</v>
      </c>
      <c r="B392" s="65" t="s">
        <v>389</v>
      </c>
      <c r="C392" s="65" t="s">
        <v>962</v>
      </c>
      <c r="D392" s="65" t="str">
        <f t="shared" si="1"/>
        <v>RB</v>
      </c>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4"/>
      <c r="DL392" s="64"/>
      <c r="DM392" s="64"/>
      <c r="DN392" s="64"/>
      <c r="DO392" s="64"/>
      <c r="DP392" s="64"/>
      <c r="DQ392" s="64"/>
      <c r="DR392" s="64"/>
      <c r="DS392" s="64"/>
      <c r="DT392" s="64"/>
      <c r="DU392" s="64"/>
      <c r="DV392" s="64"/>
      <c r="DW392" s="64"/>
      <c r="DX392" s="64"/>
      <c r="DY392" s="64"/>
      <c r="DZ392" s="64"/>
      <c r="EA392" s="64"/>
      <c r="EB392" s="64"/>
      <c r="EC392" s="64"/>
      <c r="ED392" s="64"/>
    </row>
    <row r="393" spans="1:134" ht="15.75" customHeight="1">
      <c r="A393" s="65" t="s">
        <v>66</v>
      </c>
      <c r="B393" s="65" t="s">
        <v>394</v>
      </c>
      <c r="C393" s="65" t="s">
        <v>963</v>
      </c>
      <c r="D393" s="65" t="str">
        <f t="shared" si="1"/>
        <v>RB</v>
      </c>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4"/>
      <c r="DL393" s="64"/>
      <c r="DM393" s="64"/>
      <c r="DN393" s="64"/>
      <c r="DO393" s="64"/>
      <c r="DP393" s="64"/>
      <c r="DQ393" s="64"/>
      <c r="DR393" s="64"/>
      <c r="DS393" s="64"/>
      <c r="DT393" s="64"/>
      <c r="DU393" s="64"/>
      <c r="DV393" s="64"/>
      <c r="DW393" s="64"/>
      <c r="DX393" s="64"/>
      <c r="DY393" s="64"/>
      <c r="DZ393" s="64"/>
      <c r="EA393" s="64"/>
      <c r="EB393" s="64"/>
      <c r="EC393" s="64"/>
      <c r="ED393" s="64"/>
    </row>
    <row r="394" spans="1:134" ht="15.75" customHeight="1">
      <c r="A394" s="65" t="s">
        <v>964</v>
      </c>
      <c r="B394" s="65" t="s">
        <v>411</v>
      </c>
      <c r="C394" s="65" t="s">
        <v>965</v>
      </c>
      <c r="D394" s="65" t="str">
        <f t="shared" si="1"/>
        <v>WR</v>
      </c>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4"/>
      <c r="DL394" s="64"/>
      <c r="DM394" s="64"/>
      <c r="DN394" s="64"/>
      <c r="DO394" s="64"/>
      <c r="DP394" s="64"/>
      <c r="DQ394" s="64"/>
      <c r="DR394" s="64"/>
      <c r="DS394" s="64"/>
      <c r="DT394" s="64"/>
      <c r="DU394" s="64"/>
      <c r="DV394" s="64"/>
      <c r="DW394" s="64"/>
      <c r="DX394" s="64"/>
      <c r="DY394" s="64"/>
      <c r="DZ394" s="64"/>
      <c r="EA394" s="64"/>
      <c r="EB394" s="64"/>
      <c r="EC394" s="64"/>
      <c r="ED394" s="64"/>
    </row>
    <row r="395" spans="1:134" ht="15.75" customHeight="1">
      <c r="A395" s="65" t="s">
        <v>335</v>
      </c>
      <c r="B395" s="65" t="s">
        <v>411</v>
      </c>
      <c r="C395" s="65" t="s">
        <v>966</v>
      </c>
      <c r="D395" s="65" t="str">
        <f t="shared" si="1"/>
        <v>WR</v>
      </c>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4"/>
      <c r="DL395" s="64"/>
      <c r="DM395" s="64"/>
      <c r="DN395" s="64"/>
      <c r="DO395" s="64"/>
      <c r="DP395" s="64"/>
      <c r="DQ395" s="64"/>
      <c r="DR395" s="64"/>
      <c r="DS395" s="64"/>
      <c r="DT395" s="64"/>
      <c r="DU395" s="64"/>
      <c r="DV395" s="64"/>
      <c r="DW395" s="64"/>
      <c r="DX395" s="64"/>
      <c r="DY395" s="64"/>
      <c r="DZ395" s="64"/>
      <c r="EA395" s="64"/>
      <c r="EB395" s="64"/>
      <c r="EC395" s="64"/>
      <c r="ED395" s="64"/>
    </row>
    <row r="396" spans="1:134" ht="15.75" customHeight="1">
      <c r="A396" s="65" t="s">
        <v>87</v>
      </c>
      <c r="B396" s="65" t="s">
        <v>390</v>
      </c>
      <c r="C396" s="65" t="s">
        <v>967</v>
      </c>
      <c r="D396" s="65" t="str">
        <f t="shared" si="1"/>
        <v>WR</v>
      </c>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4"/>
      <c r="DL396" s="64"/>
      <c r="DM396" s="64"/>
      <c r="DN396" s="64"/>
      <c r="DO396" s="64"/>
      <c r="DP396" s="64"/>
      <c r="DQ396" s="64"/>
      <c r="DR396" s="64"/>
      <c r="DS396" s="64"/>
      <c r="DT396" s="64"/>
      <c r="DU396" s="64"/>
      <c r="DV396" s="64"/>
      <c r="DW396" s="64"/>
      <c r="DX396" s="64"/>
      <c r="DY396" s="64"/>
      <c r="DZ396" s="64"/>
      <c r="EA396" s="64"/>
      <c r="EB396" s="64"/>
      <c r="EC396" s="64"/>
      <c r="ED396" s="64"/>
    </row>
    <row r="397" spans="1:134" ht="15.75" customHeight="1">
      <c r="A397" s="65" t="s">
        <v>194</v>
      </c>
      <c r="B397" s="65" t="s">
        <v>396</v>
      </c>
      <c r="C397" s="65" t="s">
        <v>968</v>
      </c>
      <c r="D397" s="65" t="str">
        <f t="shared" si="1"/>
        <v>WR</v>
      </c>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4"/>
      <c r="DL397" s="64"/>
      <c r="DM397" s="64"/>
      <c r="DN397" s="64"/>
      <c r="DO397" s="64"/>
      <c r="DP397" s="64"/>
      <c r="DQ397" s="64"/>
      <c r="DR397" s="64"/>
      <c r="DS397" s="64"/>
      <c r="DT397" s="64"/>
      <c r="DU397" s="64"/>
      <c r="DV397" s="64"/>
      <c r="DW397" s="64"/>
      <c r="DX397" s="64"/>
      <c r="DY397" s="64"/>
      <c r="DZ397" s="64"/>
      <c r="EA397" s="64"/>
      <c r="EB397" s="64"/>
      <c r="EC397" s="64"/>
      <c r="ED397" s="64"/>
    </row>
    <row r="398" spans="1:134" ht="15.75" customHeight="1">
      <c r="A398" s="65" t="s">
        <v>969</v>
      </c>
      <c r="B398" s="65" t="s">
        <v>402</v>
      </c>
      <c r="C398" s="65" t="s">
        <v>970</v>
      </c>
      <c r="D398" s="65" t="str">
        <f t="shared" si="1"/>
        <v>RB</v>
      </c>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4"/>
      <c r="DL398" s="64"/>
      <c r="DM398" s="64"/>
      <c r="DN398" s="64"/>
      <c r="DO398" s="64"/>
      <c r="DP398" s="64"/>
      <c r="DQ398" s="64"/>
      <c r="DR398" s="64"/>
      <c r="DS398" s="64"/>
      <c r="DT398" s="64"/>
      <c r="DU398" s="64"/>
      <c r="DV398" s="64"/>
      <c r="DW398" s="64"/>
      <c r="DX398" s="64"/>
      <c r="DY398" s="64"/>
      <c r="DZ398" s="64"/>
      <c r="EA398" s="64"/>
      <c r="EB398" s="64"/>
      <c r="EC398" s="64"/>
      <c r="ED398" s="64"/>
    </row>
    <row r="399" spans="1:134" ht="15.75" customHeight="1">
      <c r="A399" s="65" t="s">
        <v>191</v>
      </c>
      <c r="B399" s="65" t="s">
        <v>390</v>
      </c>
      <c r="C399" s="65" t="s">
        <v>971</v>
      </c>
      <c r="D399" s="65" t="str">
        <f t="shared" si="1"/>
        <v>RB</v>
      </c>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4"/>
      <c r="DL399" s="64"/>
      <c r="DM399" s="64"/>
      <c r="DN399" s="64"/>
      <c r="DO399" s="64"/>
      <c r="DP399" s="64"/>
      <c r="DQ399" s="64"/>
      <c r="DR399" s="64"/>
      <c r="DS399" s="64"/>
      <c r="DT399" s="64"/>
      <c r="DU399" s="64"/>
      <c r="DV399" s="64"/>
      <c r="DW399" s="64"/>
      <c r="DX399" s="64"/>
      <c r="DY399" s="64"/>
      <c r="DZ399" s="64"/>
      <c r="EA399" s="64"/>
      <c r="EB399" s="64"/>
      <c r="EC399" s="64"/>
      <c r="ED399" s="64"/>
    </row>
    <row r="400" spans="1:134" ht="15.75" customHeight="1">
      <c r="A400" s="65" t="s">
        <v>218</v>
      </c>
      <c r="B400" s="65" t="s">
        <v>408</v>
      </c>
      <c r="C400" s="65" t="s">
        <v>972</v>
      </c>
      <c r="D400" s="65" t="str">
        <f t="shared" si="1"/>
        <v>QB</v>
      </c>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4"/>
      <c r="DL400" s="64"/>
      <c r="DM400" s="64"/>
      <c r="DN400" s="64"/>
      <c r="DO400" s="64"/>
      <c r="DP400" s="64"/>
      <c r="DQ400" s="64"/>
      <c r="DR400" s="64"/>
      <c r="DS400" s="64"/>
      <c r="DT400" s="64"/>
      <c r="DU400" s="64"/>
      <c r="DV400" s="64"/>
      <c r="DW400" s="64"/>
      <c r="DX400" s="64"/>
      <c r="DY400" s="64"/>
      <c r="DZ400" s="64"/>
      <c r="EA400" s="64"/>
      <c r="EB400" s="64"/>
      <c r="EC400" s="64"/>
      <c r="ED400" s="64"/>
    </row>
    <row r="401" spans="1:134" ht="15.75" customHeight="1">
      <c r="A401" s="65" t="s">
        <v>208</v>
      </c>
      <c r="B401" s="65" t="s">
        <v>412</v>
      </c>
      <c r="C401" s="65" t="s">
        <v>973</v>
      </c>
      <c r="D401" s="65" t="str">
        <f t="shared" si="1"/>
        <v>QB</v>
      </c>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4"/>
      <c r="DL401" s="64"/>
      <c r="DM401" s="64"/>
      <c r="DN401" s="64"/>
      <c r="DO401" s="64"/>
      <c r="DP401" s="64"/>
      <c r="DQ401" s="64"/>
      <c r="DR401" s="64"/>
      <c r="DS401" s="64"/>
      <c r="DT401" s="64"/>
      <c r="DU401" s="64"/>
      <c r="DV401" s="64"/>
      <c r="DW401" s="64"/>
      <c r="DX401" s="64"/>
      <c r="DY401" s="64"/>
      <c r="DZ401" s="64"/>
      <c r="EA401" s="64"/>
      <c r="EB401" s="64"/>
      <c r="EC401" s="64"/>
      <c r="ED401" s="64"/>
    </row>
    <row r="402" spans="1:134" ht="15.75" customHeight="1">
      <c r="A402" s="65" t="s">
        <v>974</v>
      </c>
      <c r="B402" s="65" t="s">
        <v>405</v>
      </c>
      <c r="C402" s="65" t="s">
        <v>975</v>
      </c>
      <c r="D402" s="65" t="str">
        <f t="shared" si="1"/>
        <v>QB</v>
      </c>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4"/>
      <c r="DL402" s="64"/>
      <c r="DM402" s="64"/>
      <c r="DN402" s="64"/>
      <c r="DO402" s="64"/>
      <c r="DP402" s="64"/>
      <c r="DQ402" s="64"/>
      <c r="DR402" s="64"/>
      <c r="DS402" s="64"/>
      <c r="DT402" s="64"/>
      <c r="DU402" s="64"/>
      <c r="DV402" s="64"/>
      <c r="DW402" s="64"/>
      <c r="DX402" s="64"/>
      <c r="DY402" s="64"/>
      <c r="DZ402" s="64"/>
      <c r="EA402" s="64"/>
      <c r="EB402" s="64"/>
      <c r="EC402" s="64"/>
      <c r="ED402" s="64"/>
    </row>
    <row r="403" spans="1:134" ht="15.75" customHeight="1">
      <c r="A403" s="65" t="s">
        <v>103</v>
      </c>
      <c r="B403" s="65" t="s">
        <v>395</v>
      </c>
      <c r="C403" s="65" t="s">
        <v>976</v>
      </c>
      <c r="D403" s="65" t="str">
        <f t="shared" si="1"/>
        <v>TE</v>
      </c>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4"/>
      <c r="DL403" s="64"/>
      <c r="DM403" s="64"/>
      <c r="DN403" s="64"/>
      <c r="DO403" s="64"/>
      <c r="DP403" s="64"/>
      <c r="DQ403" s="64"/>
      <c r="DR403" s="64"/>
      <c r="DS403" s="64"/>
      <c r="DT403" s="64"/>
      <c r="DU403" s="64"/>
      <c r="DV403" s="64"/>
      <c r="DW403" s="64"/>
      <c r="DX403" s="64"/>
      <c r="DY403" s="64"/>
      <c r="DZ403" s="64"/>
      <c r="EA403" s="64"/>
      <c r="EB403" s="64"/>
      <c r="EC403" s="64"/>
      <c r="ED403" s="64"/>
    </row>
    <row r="404" spans="1:134" ht="15.75" customHeight="1">
      <c r="A404" s="65" t="s">
        <v>977</v>
      </c>
      <c r="B404" s="65" t="s">
        <v>391</v>
      </c>
      <c r="C404" s="65" t="s">
        <v>978</v>
      </c>
      <c r="D404" s="65" t="str">
        <f t="shared" si="1"/>
        <v>RB</v>
      </c>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4"/>
      <c r="DL404" s="64"/>
      <c r="DM404" s="64"/>
      <c r="DN404" s="64"/>
      <c r="DO404" s="64"/>
      <c r="DP404" s="64"/>
      <c r="DQ404" s="64"/>
      <c r="DR404" s="64"/>
      <c r="DS404" s="64"/>
      <c r="DT404" s="64"/>
      <c r="DU404" s="64"/>
      <c r="DV404" s="64"/>
      <c r="DW404" s="64"/>
      <c r="DX404" s="64"/>
      <c r="DY404" s="64"/>
      <c r="DZ404" s="64"/>
      <c r="EA404" s="64"/>
      <c r="EB404" s="64"/>
      <c r="EC404" s="64"/>
      <c r="ED404" s="64"/>
    </row>
    <row r="405" spans="1:134" ht="15.75" customHeight="1">
      <c r="A405" s="65" t="s">
        <v>287</v>
      </c>
      <c r="B405" s="65" t="s">
        <v>413</v>
      </c>
      <c r="C405" s="65" t="s">
        <v>979</v>
      </c>
      <c r="D405" s="65" t="str">
        <f t="shared" si="1"/>
        <v>DEF</v>
      </c>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4"/>
      <c r="DL405" s="64"/>
      <c r="DM405" s="64"/>
      <c r="DN405" s="64"/>
      <c r="DO405" s="64"/>
      <c r="DP405" s="64"/>
      <c r="DQ405" s="64"/>
      <c r="DR405" s="64"/>
      <c r="DS405" s="64"/>
      <c r="DT405" s="64"/>
      <c r="DU405" s="64"/>
      <c r="DV405" s="64"/>
      <c r="DW405" s="64"/>
      <c r="DX405" s="64"/>
      <c r="DY405" s="64"/>
      <c r="DZ405" s="64"/>
      <c r="EA405" s="64"/>
      <c r="EB405" s="64"/>
      <c r="EC405" s="64"/>
      <c r="ED405" s="64"/>
    </row>
    <row r="406" spans="1:134" ht="15.75" customHeight="1">
      <c r="A406" s="65" t="s">
        <v>26</v>
      </c>
      <c r="B406" s="65" t="s">
        <v>410</v>
      </c>
      <c r="C406" s="65" t="s">
        <v>980</v>
      </c>
      <c r="D406" s="65" t="str">
        <f t="shared" si="1"/>
        <v>RB</v>
      </c>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4"/>
      <c r="DL406" s="64"/>
      <c r="DM406" s="64"/>
      <c r="DN406" s="64"/>
      <c r="DO406" s="64"/>
      <c r="DP406" s="64"/>
      <c r="DQ406" s="64"/>
      <c r="DR406" s="64"/>
      <c r="DS406" s="64"/>
      <c r="DT406" s="64"/>
      <c r="DU406" s="64"/>
      <c r="DV406" s="64"/>
      <c r="DW406" s="64"/>
      <c r="DX406" s="64"/>
      <c r="DY406" s="64"/>
      <c r="DZ406" s="64"/>
      <c r="EA406" s="64"/>
      <c r="EB406" s="64"/>
      <c r="EC406" s="64"/>
      <c r="ED406" s="64"/>
    </row>
    <row r="407" spans="1:134" ht="15.75" customHeight="1">
      <c r="A407" s="65" t="s">
        <v>981</v>
      </c>
      <c r="B407" s="65" t="s">
        <v>396</v>
      </c>
      <c r="C407" s="65" t="s">
        <v>982</v>
      </c>
      <c r="D407" s="65" t="str">
        <f t="shared" si="1"/>
        <v>WR</v>
      </c>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4"/>
      <c r="DL407" s="64"/>
      <c r="DM407" s="64"/>
      <c r="DN407" s="64"/>
      <c r="DO407" s="64"/>
      <c r="DP407" s="64"/>
      <c r="DQ407" s="64"/>
      <c r="DR407" s="64"/>
      <c r="DS407" s="64"/>
      <c r="DT407" s="64"/>
      <c r="DU407" s="64"/>
      <c r="DV407" s="64"/>
      <c r="DW407" s="64"/>
      <c r="DX407" s="64"/>
      <c r="DY407" s="64"/>
      <c r="DZ407" s="64"/>
      <c r="EA407" s="64"/>
      <c r="EB407" s="64"/>
      <c r="EC407" s="64"/>
      <c r="ED407" s="64"/>
    </row>
    <row r="408" spans="1:134" ht="15.75" customHeight="1">
      <c r="A408" s="65" t="s">
        <v>329</v>
      </c>
      <c r="B408" s="65" t="s">
        <v>414</v>
      </c>
      <c r="C408" s="65" t="s">
        <v>983</v>
      </c>
      <c r="D408" s="65" t="str">
        <f t="shared" si="1"/>
        <v>RB</v>
      </c>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4"/>
      <c r="DL408" s="64"/>
      <c r="DM408" s="64"/>
      <c r="DN408" s="64"/>
      <c r="DO408" s="64"/>
      <c r="DP408" s="64"/>
      <c r="DQ408" s="64"/>
      <c r="DR408" s="64"/>
      <c r="DS408" s="64"/>
      <c r="DT408" s="64"/>
      <c r="DU408" s="64"/>
      <c r="DV408" s="64"/>
      <c r="DW408" s="64"/>
      <c r="DX408" s="64"/>
      <c r="DY408" s="64"/>
      <c r="DZ408" s="64"/>
      <c r="EA408" s="64"/>
      <c r="EB408" s="64"/>
      <c r="EC408" s="64"/>
      <c r="ED408" s="64"/>
    </row>
    <row r="409" spans="1:134" ht="15.75" customHeight="1">
      <c r="A409" s="65" t="s">
        <v>254</v>
      </c>
      <c r="B409" s="65" t="s">
        <v>412</v>
      </c>
      <c r="C409" s="65" t="s">
        <v>984</v>
      </c>
      <c r="D409" s="65" t="str">
        <f t="shared" si="1"/>
        <v>DEF</v>
      </c>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4"/>
      <c r="DL409" s="64"/>
      <c r="DM409" s="64"/>
      <c r="DN409" s="64"/>
      <c r="DO409" s="64"/>
      <c r="DP409" s="64"/>
      <c r="DQ409" s="64"/>
      <c r="DR409" s="64"/>
      <c r="DS409" s="64"/>
      <c r="DT409" s="64"/>
      <c r="DU409" s="64"/>
      <c r="DV409" s="64"/>
      <c r="DW409" s="64"/>
      <c r="DX409" s="64"/>
      <c r="DY409" s="64"/>
      <c r="DZ409" s="64"/>
      <c r="EA409" s="64"/>
      <c r="EB409" s="64"/>
      <c r="EC409" s="64"/>
      <c r="ED409" s="64"/>
    </row>
    <row r="410" spans="1:134" ht="15.75" customHeight="1">
      <c r="A410" s="65" t="s">
        <v>240</v>
      </c>
      <c r="B410" s="65" t="s">
        <v>392</v>
      </c>
      <c r="C410" s="65" t="s">
        <v>985</v>
      </c>
      <c r="D410" s="65" t="str">
        <f t="shared" si="1"/>
        <v>QB</v>
      </c>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4"/>
      <c r="DL410" s="64"/>
      <c r="DM410" s="64"/>
      <c r="DN410" s="64"/>
      <c r="DO410" s="64"/>
      <c r="DP410" s="64"/>
      <c r="DQ410" s="64"/>
      <c r="DR410" s="64"/>
      <c r="DS410" s="64"/>
      <c r="DT410" s="64"/>
      <c r="DU410" s="64"/>
      <c r="DV410" s="64"/>
      <c r="DW410" s="64"/>
      <c r="DX410" s="64"/>
      <c r="DY410" s="64"/>
      <c r="DZ410" s="64"/>
      <c r="EA410" s="64"/>
      <c r="EB410" s="64"/>
      <c r="EC410" s="64"/>
      <c r="ED410" s="64"/>
    </row>
    <row r="411" spans="1:134" ht="15.75" customHeight="1">
      <c r="A411" s="65" t="s">
        <v>986</v>
      </c>
      <c r="B411" s="65" t="s">
        <v>403</v>
      </c>
      <c r="C411" s="65" t="s">
        <v>987</v>
      </c>
      <c r="D411" s="65" t="str">
        <f t="shared" si="1"/>
        <v>RB</v>
      </c>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4"/>
      <c r="DL411" s="64"/>
      <c r="DM411" s="64"/>
      <c r="DN411" s="64"/>
      <c r="DO411" s="64"/>
      <c r="DP411" s="64"/>
      <c r="DQ411" s="64"/>
      <c r="DR411" s="64"/>
      <c r="DS411" s="64"/>
      <c r="DT411" s="64"/>
      <c r="DU411" s="64"/>
      <c r="DV411" s="64"/>
      <c r="DW411" s="64"/>
      <c r="DX411" s="64"/>
      <c r="DY411" s="64"/>
      <c r="DZ411" s="64"/>
      <c r="EA411" s="64"/>
      <c r="EB411" s="64"/>
      <c r="EC411" s="64"/>
      <c r="ED411" s="64"/>
    </row>
    <row r="412" spans="1:134" ht="15.75" customHeight="1">
      <c r="A412" s="65" t="s">
        <v>269</v>
      </c>
      <c r="B412" s="65" t="s">
        <v>407</v>
      </c>
      <c r="C412" s="65" t="s">
        <v>988</v>
      </c>
      <c r="D412" s="65" t="str">
        <f t="shared" si="1"/>
        <v>QB</v>
      </c>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4"/>
      <c r="DL412" s="64"/>
      <c r="DM412" s="64"/>
      <c r="DN412" s="64"/>
      <c r="DO412" s="64"/>
      <c r="DP412" s="64"/>
      <c r="DQ412" s="64"/>
      <c r="DR412" s="64"/>
      <c r="DS412" s="64"/>
      <c r="DT412" s="64"/>
      <c r="DU412" s="64"/>
      <c r="DV412" s="64"/>
      <c r="DW412" s="64"/>
      <c r="DX412" s="64"/>
      <c r="DY412" s="64"/>
      <c r="DZ412" s="64"/>
      <c r="EA412" s="64"/>
      <c r="EB412" s="64"/>
      <c r="EC412" s="64"/>
      <c r="ED412" s="64"/>
    </row>
    <row r="413" spans="1:134" ht="15.75" customHeight="1">
      <c r="A413" s="65" t="s">
        <v>126</v>
      </c>
      <c r="B413" s="65" t="s">
        <v>406</v>
      </c>
      <c r="C413" s="65" t="s">
        <v>989</v>
      </c>
      <c r="D413" s="65" t="str">
        <f t="shared" si="1"/>
        <v>WR</v>
      </c>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4"/>
      <c r="DL413" s="64"/>
      <c r="DM413" s="64"/>
      <c r="DN413" s="64"/>
      <c r="DO413" s="64"/>
      <c r="DP413" s="64"/>
      <c r="DQ413" s="64"/>
      <c r="DR413" s="64"/>
      <c r="DS413" s="64"/>
      <c r="DT413" s="64"/>
      <c r="DU413" s="64"/>
      <c r="DV413" s="64"/>
      <c r="DW413" s="64"/>
      <c r="DX413" s="64"/>
      <c r="DY413" s="64"/>
      <c r="DZ413" s="64"/>
      <c r="EA413" s="64"/>
      <c r="EB413" s="64"/>
      <c r="EC413" s="64"/>
      <c r="ED413" s="64"/>
    </row>
    <row r="414" spans="1:134" ht="15.75" customHeight="1">
      <c r="A414" s="65" t="s">
        <v>990</v>
      </c>
      <c r="B414" s="65" t="s">
        <v>409</v>
      </c>
      <c r="C414" s="65" t="s">
        <v>991</v>
      </c>
      <c r="D414" s="65" t="str">
        <f t="shared" si="1"/>
        <v>TE</v>
      </c>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4"/>
      <c r="DL414" s="64"/>
      <c r="DM414" s="64"/>
      <c r="DN414" s="64"/>
      <c r="DO414" s="64"/>
      <c r="DP414" s="64"/>
      <c r="DQ414" s="64"/>
      <c r="DR414" s="64"/>
      <c r="DS414" s="64"/>
      <c r="DT414" s="64"/>
      <c r="DU414" s="64"/>
      <c r="DV414" s="64"/>
      <c r="DW414" s="64"/>
      <c r="DX414" s="64"/>
      <c r="DY414" s="64"/>
      <c r="DZ414" s="64"/>
      <c r="EA414" s="64"/>
      <c r="EB414" s="64"/>
      <c r="EC414" s="64"/>
      <c r="ED414" s="64"/>
    </row>
    <row r="415" spans="1:134" ht="15.75" customHeight="1">
      <c r="A415" s="65" t="s">
        <v>96</v>
      </c>
      <c r="B415" s="65" t="s">
        <v>405</v>
      </c>
      <c r="C415" s="65" t="s">
        <v>992</v>
      </c>
      <c r="D415" s="65" t="str">
        <f t="shared" si="1"/>
        <v>TE</v>
      </c>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4"/>
      <c r="DL415" s="64"/>
      <c r="DM415" s="64"/>
      <c r="DN415" s="64"/>
      <c r="DO415" s="64"/>
      <c r="DP415" s="64"/>
      <c r="DQ415" s="64"/>
      <c r="DR415" s="64"/>
      <c r="DS415" s="64"/>
      <c r="DT415" s="64"/>
      <c r="DU415" s="64"/>
      <c r="DV415" s="64"/>
      <c r="DW415" s="64"/>
      <c r="DX415" s="64"/>
      <c r="DY415" s="64"/>
      <c r="DZ415" s="64"/>
      <c r="EA415" s="64"/>
      <c r="EB415" s="64"/>
      <c r="EC415" s="64"/>
      <c r="ED415" s="64"/>
    </row>
    <row r="416" spans="1:134" ht="15.75" customHeight="1">
      <c r="A416" s="65" t="s">
        <v>257</v>
      </c>
      <c r="B416" s="65" t="s">
        <v>391</v>
      </c>
      <c r="C416" s="65" t="s">
        <v>993</v>
      </c>
      <c r="D416" s="65" t="str">
        <f t="shared" si="1"/>
        <v>RB</v>
      </c>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4"/>
      <c r="DL416" s="64"/>
      <c r="DM416" s="64"/>
      <c r="DN416" s="64"/>
      <c r="DO416" s="64"/>
      <c r="DP416" s="64"/>
      <c r="DQ416" s="64"/>
      <c r="DR416" s="64"/>
      <c r="DS416" s="64"/>
      <c r="DT416" s="64"/>
      <c r="DU416" s="64"/>
      <c r="DV416" s="64"/>
      <c r="DW416" s="64"/>
      <c r="DX416" s="64"/>
      <c r="DY416" s="64"/>
      <c r="DZ416" s="64"/>
      <c r="EA416" s="64"/>
      <c r="EB416" s="64"/>
      <c r="EC416" s="64"/>
      <c r="ED416" s="64"/>
    </row>
    <row r="417" spans="1:134" ht="15.75" customHeight="1">
      <c r="A417" s="65" t="s">
        <v>994</v>
      </c>
      <c r="B417" s="65" t="s">
        <v>405</v>
      </c>
      <c r="C417" s="65" t="s">
        <v>995</v>
      </c>
      <c r="D417" s="65" t="str">
        <f t="shared" si="1"/>
        <v>WR</v>
      </c>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4"/>
      <c r="DL417" s="64"/>
      <c r="DM417" s="64"/>
      <c r="DN417" s="64"/>
      <c r="DO417" s="64"/>
      <c r="DP417" s="64"/>
      <c r="DQ417" s="64"/>
      <c r="DR417" s="64"/>
      <c r="DS417" s="64"/>
      <c r="DT417" s="64"/>
      <c r="DU417" s="64"/>
      <c r="DV417" s="64"/>
      <c r="DW417" s="64"/>
      <c r="DX417" s="64"/>
      <c r="DY417" s="64"/>
      <c r="DZ417" s="64"/>
      <c r="EA417" s="64"/>
      <c r="EB417" s="64"/>
      <c r="EC417" s="64"/>
      <c r="ED417" s="64"/>
    </row>
    <row r="418" spans="1:134" ht="15.75" customHeight="1">
      <c r="A418" s="65" t="s">
        <v>291</v>
      </c>
      <c r="B418" s="65" t="s">
        <v>414</v>
      </c>
      <c r="C418" s="65" t="s">
        <v>996</v>
      </c>
      <c r="D418" s="65" t="str">
        <f t="shared" si="1"/>
        <v>DEF</v>
      </c>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4"/>
      <c r="DL418" s="64"/>
      <c r="DM418" s="64"/>
      <c r="DN418" s="64"/>
      <c r="DO418" s="64"/>
      <c r="DP418" s="64"/>
      <c r="DQ418" s="64"/>
      <c r="DR418" s="64"/>
      <c r="DS418" s="64"/>
      <c r="DT418" s="64"/>
      <c r="DU418" s="64"/>
      <c r="DV418" s="64"/>
      <c r="DW418" s="64"/>
      <c r="DX418" s="64"/>
      <c r="DY418" s="64"/>
      <c r="DZ418" s="64"/>
      <c r="EA418" s="64"/>
      <c r="EB418" s="64"/>
      <c r="EC418" s="64"/>
      <c r="ED418" s="64"/>
    </row>
    <row r="419" spans="1:134" ht="15.75" customHeight="1">
      <c r="A419" s="65" t="s">
        <v>154</v>
      </c>
      <c r="B419" s="65" t="s">
        <v>399</v>
      </c>
      <c r="C419" s="65" t="s">
        <v>997</v>
      </c>
      <c r="D419" s="65" t="str">
        <f t="shared" si="1"/>
        <v>RB</v>
      </c>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4"/>
      <c r="DL419" s="64"/>
      <c r="DM419" s="64"/>
      <c r="DN419" s="64"/>
      <c r="DO419" s="64"/>
      <c r="DP419" s="64"/>
      <c r="DQ419" s="64"/>
      <c r="DR419" s="64"/>
      <c r="DS419" s="64"/>
      <c r="DT419" s="64"/>
      <c r="DU419" s="64"/>
      <c r="DV419" s="64"/>
      <c r="DW419" s="64"/>
      <c r="DX419" s="64"/>
      <c r="DY419" s="64"/>
      <c r="DZ419" s="64"/>
      <c r="EA419" s="64"/>
      <c r="EB419" s="64"/>
      <c r="EC419" s="64"/>
      <c r="ED419" s="64"/>
    </row>
    <row r="420" spans="1:134" ht="15.75" customHeight="1">
      <c r="A420" s="65" t="s">
        <v>998</v>
      </c>
      <c r="B420" s="65" t="s">
        <v>397</v>
      </c>
      <c r="C420" s="65" t="s">
        <v>999</v>
      </c>
      <c r="D420" s="65" t="str">
        <f t="shared" si="1"/>
        <v>WR</v>
      </c>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4"/>
      <c r="DL420" s="64"/>
      <c r="DM420" s="64"/>
      <c r="DN420" s="64"/>
      <c r="DO420" s="64"/>
      <c r="DP420" s="64"/>
      <c r="DQ420" s="64"/>
      <c r="DR420" s="64"/>
      <c r="DS420" s="64"/>
      <c r="DT420" s="64"/>
      <c r="DU420" s="64"/>
      <c r="DV420" s="64"/>
      <c r="DW420" s="64"/>
      <c r="DX420" s="64"/>
      <c r="DY420" s="64"/>
      <c r="DZ420" s="64"/>
      <c r="EA420" s="64"/>
      <c r="EB420" s="64"/>
      <c r="EC420" s="64"/>
      <c r="ED420" s="64"/>
    </row>
    <row r="421" spans="1:134" ht="15.75" customHeight="1">
      <c r="A421" s="65" t="s">
        <v>1000</v>
      </c>
      <c r="B421" s="65" t="s">
        <v>407</v>
      </c>
      <c r="C421" s="65" t="s">
        <v>1001</v>
      </c>
      <c r="D421" s="65" t="str">
        <f t="shared" si="1"/>
        <v>TE</v>
      </c>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4"/>
      <c r="DL421" s="64"/>
      <c r="DM421" s="64"/>
      <c r="DN421" s="64"/>
      <c r="DO421" s="64"/>
      <c r="DP421" s="64"/>
      <c r="DQ421" s="64"/>
      <c r="DR421" s="64"/>
      <c r="DS421" s="64"/>
      <c r="DT421" s="64"/>
      <c r="DU421" s="64"/>
      <c r="DV421" s="64"/>
      <c r="DW421" s="64"/>
      <c r="DX421" s="64"/>
      <c r="DY421" s="64"/>
      <c r="DZ421" s="64"/>
      <c r="EA421" s="64"/>
      <c r="EB421" s="64"/>
      <c r="EC421" s="64"/>
      <c r="ED421" s="64"/>
    </row>
    <row r="422" spans="1:134" ht="15.75" customHeight="1">
      <c r="A422" s="65" t="s">
        <v>53</v>
      </c>
      <c r="B422" s="65" t="s">
        <v>391</v>
      </c>
      <c r="C422" s="65" t="s">
        <v>1002</v>
      </c>
      <c r="D422" s="65" t="str">
        <f t="shared" si="1"/>
        <v>WR</v>
      </c>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4"/>
      <c r="DL422" s="64"/>
      <c r="DM422" s="64"/>
      <c r="DN422" s="64"/>
      <c r="DO422" s="64"/>
      <c r="DP422" s="64"/>
      <c r="DQ422" s="64"/>
      <c r="DR422" s="64"/>
      <c r="DS422" s="64"/>
      <c r="DT422" s="64"/>
      <c r="DU422" s="64"/>
      <c r="DV422" s="64"/>
      <c r="DW422" s="64"/>
      <c r="DX422" s="64"/>
      <c r="DY422" s="64"/>
      <c r="DZ422" s="64"/>
      <c r="EA422" s="64"/>
      <c r="EB422" s="64"/>
      <c r="EC422" s="64"/>
      <c r="ED422" s="64"/>
    </row>
    <row r="423" spans="1:134" ht="15.75" customHeight="1">
      <c r="A423" s="65" t="s">
        <v>1003</v>
      </c>
      <c r="B423" s="65" t="s">
        <v>415</v>
      </c>
      <c r="C423" s="65" t="s">
        <v>1004</v>
      </c>
      <c r="D423" s="65" t="str">
        <f t="shared" si="1"/>
        <v>DEF</v>
      </c>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4"/>
      <c r="DL423" s="64"/>
      <c r="DM423" s="64"/>
      <c r="DN423" s="64"/>
      <c r="DO423" s="64"/>
      <c r="DP423" s="64"/>
      <c r="DQ423" s="64"/>
      <c r="DR423" s="64"/>
      <c r="DS423" s="64"/>
      <c r="DT423" s="64"/>
      <c r="DU423" s="64"/>
      <c r="DV423" s="64"/>
      <c r="DW423" s="64"/>
      <c r="DX423" s="64"/>
      <c r="DY423" s="64"/>
      <c r="DZ423" s="64"/>
      <c r="EA423" s="64"/>
      <c r="EB423" s="64"/>
      <c r="EC423" s="64"/>
      <c r="ED423" s="64"/>
    </row>
    <row r="424" spans="1:134" ht="15.75" customHeight="1">
      <c r="A424" s="65" t="s">
        <v>1005</v>
      </c>
      <c r="B424" s="65" t="s">
        <v>402</v>
      </c>
      <c r="C424" s="65" t="s">
        <v>1006</v>
      </c>
      <c r="D424" s="65" t="str">
        <f t="shared" si="1"/>
        <v>TE</v>
      </c>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4"/>
      <c r="DL424" s="64"/>
      <c r="DM424" s="64"/>
      <c r="DN424" s="64"/>
      <c r="DO424" s="64"/>
      <c r="DP424" s="64"/>
      <c r="DQ424" s="64"/>
      <c r="DR424" s="64"/>
      <c r="DS424" s="64"/>
      <c r="DT424" s="64"/>
      <c r="DU424" s="64"/>
      <c r="DV424" s="64"/>
      <c r="DW424" s="64"/>
      <c r="DX424" s="64"/>
      <c r="DY424" s="64"/>
      <c r="DZ424" s="64"/>
      <c r="EA424" s="64"/>
      <c r="EB424" s="64"/>
      <c r="EC424" s="64"/>
      <c r="ED424" s="64"/>
    </row>
    <row r="425" spans="1:134" ht="15.75" customHeight="1">
      <c r="A425" s="65" t="s">
        <v>67</v>
      </c>
      <c r="B425" s="65" t="s">
        <v>416</v>
      </c>
      <c r="C425" s="65" t="s">
        <v>1007</v>
      </c>
      <c r="D425" s="65" t="str">
        <f t="shared" si="1"/>
        <v>WR</v>
      </c>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4"/>
      <c r="DL425" s="64"/>
      <c r="DM425" s="64"/>
      <c r="DN425" s="64"/>
      <c r="DO425" s="64"/>
      <c r="DP425" s="64"/>
      <c r="DQ425" s="64"/>
      <c r="DR425" s="64"/>
      <c r="DS425" s="64"/>
      <c r="DT425" s="64"/>
      <c r="DU425" s="64"/>
      <c r="DV425" s="64"/>
      <c r="DW425" s="64"/>
      <c r="DX425" s="64"/>
      <c r="DY425" s="64"/>
      <c r="DZ425" s="64"/>
      <c r="EA425" s="64"/>
      <c r="EB425" s="64"/>
      <c r="EC425" s="64"/>
      <c r="ED425" s="64"/>
    </row>
    <row r="426" spans="1:134" ht="15.75" customHeight="1">
      <c r="A426" s="65" t="s">
        <v>104</v>
      </c>
      <c r="B426" s="65" t="s">
        <v>389</v>
      </c>
      <c r="C426" s="65" t="s">
        <v>1008</v>
      </c>
      <c r="D426" s="65" t="str">
        <f t="shared" si="1"/>
        <v>WR</v>
      </c>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4"/>
      <c r="DL426" s="64"/>
      <c r="DM426" s="64"/>
      <c r="DN426" s="64"/>
      <c r="DO426" s="64"/>
      <c r="DP426" s="64"/>
      <c r="DQ426" s="64"/>
      <c r="DR426" s="64"/>
      <c r="DS426" s="64"/>
      <c r="DT426" s="64"/>
      <c r="DU426" s="64"/>
      <c r="DV426" s="64"/>
      <c r="DW426" s="64"/>
      <c r="DX426" s="64"/>
      <c r="DY426" s="64"/>
      <c r="DZ426" s="64"/>
      <c r="EA426" s="64"/>
      <c r="EB426" s="64"/>
      <c r="EC426" s="64"/>
      <c r="ED426" s="64"/>
    </row>
    <row r="427" spans="1:134" ht="15.75" customHeight="1">
      <c r="A427" s="65" t="s">
        <v>1009</v>
      </c>
      <c r="B427" s="65" t="s">
        <v>414</v>
      </c>
      <c r="C427" s="65" t="s">
        <v>1010</v>
      </c>
      <c r="D427" s="65" t="str">
        <f t="shared" si="1"/>
        <v>WR</v>
      </c>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4"/>
      <c r="DL427" s="64"/>
      <c r="DM427" s="64"/>
      <c r="DN427" s="64"/>
      <c r="DO427" s="64"/>
      <c r="DP427" s="64"/>
      <c r="DQ427" s="64"/>
      <c r="DR427" s="64"/>
      <c r="DS427" s="64"/>
      <c r="DT427" s="64"/>
      <c r="DU427" s="64"/>
      <c r="DV427" s="64"/>
      <c r="DW427" s="64"/>
      <c r="DX427" s="64"/>
      <c r="DY427" s="64"/>
      <c r="DZ427" s="64"/>
      <c r="EA427" s="64"/>
      <c r="EB427" s="64"/>
      <c r="EC427" s="64"/>
      <c r="ED427" s="64"/>
    </row>
    <row r="428" spans="1:134" ht="15.75" customHeight="1">
      <c r="A428" s="65" t="s">
        <v>296</v>
      </c>
      <c r="B428" s="65" t="s">
        <v>408</v>
      </c>
      <c r="C428" s="65" t="s">
        <v>1011</v>
      </c>
      <c r="D428" s="65" t="str">
        <f t="shared" si="1"/>
        <v>TE</v>
      </c>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4"/>
      <c r="DL428" s="64"/>
      <c r="DM428" s="64"/>
      <c r="DN428" s="64"/>
      <c r="DO428" s="64"/>
      <c r="DP428" s="64"/>
      <c r="DQ428" s="64"/>
      <c r="DR428" s="64"/>
      <c r="DS428" s="64"/>
      <c r="DT428" s="64"/>
      <c r="DU428" s="64"/>
      <c r="DV428" s="64"/>
      <c r="DW428" s="64"/>
      <c r="DX428" s="64"/>
      <c r="DY428" s="64"/>
      <c r="DZ428" s="64"/>
      <c r="EA428" s="64"/>
      <c r="EB428" s="64"/>
      <c r="EC428" s="64"/>
      <c r="ED428" s="64"/>
    </row>
    <row r="429" spans="1:134" ht="15.75" customHeight="1">
      <c r="A429" s="65" t="s">
        <v>1012</v>
      </c>
      <c r="B429" s="65" t="s">
        <v>404</v>
      </c>
      <c r="C429" s="65" t="s">
        <v>1013</v>
      </c>
      <c r="D429" s="65" t="str">
        <f t="shared" si="1"/>
        <v>WR</v>
      </c>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4"/>
      <c r="DL429" s="64"/>
      <c r="DM429" s="64"/>
      <c r="DN429" s="64"/>
      <c r="DO429" s="64"/>
      <c r="DP429" s="64"/>
      <c r="DQ429" s="64"/>
      <c r="DR429" s="64"/>
      <c r="DS429" s="64"/>
      <c r="DT429" s="64"/>
      <c r="DU429" s="64"/>
      <c r="DV429" s="64"/>
      <c r="DW429" s="64"/>
      <c r="DX429" s="64"/>
      <c r="DY429" s="64"/>
      <c r="DZ429" s="64"/>
      <c r="EA429" s="64"/>
      <c r="EB429" s="64"/>
      <c r="EC429" s="64"/>
      <c r="ED429" s="64"/>
    </row>
    <row r="430" spans="1:134" ht="15.75" customHeight="1">
      <c r="A430" s="65" t="s">
        <v>1014</v>
      </c>
      <c r="B430" s="65" t="s">
        <v>395</v>
      </c>
      <c r="C430" s="65" t="s">
        <v>1015</v>
      </c>
      <c r="D430" s="65" t="str">
        <f t="shared" si="1"/>
        <v>WR</v>
      </c>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4"/>
      <c r="DL430" s="64"/>
      <c r="DM430" s="64"/>
      <c r="DN430" s="64"/>
      <c r="DO430" s="64"/>
      <c r="DP430" s="64"/>
      <c r="DQ430" s="64"/>
      <c r="DR430" s="64"/>
      <c r="DS430" s="64"/>
      <c r="DT430" s="64"/>
      <c r="DU430" s="64"/>
      <c r="DV430" s="64"/>
      <c r="DW430" s="64"/>
      <c r="DX430" s="64"/>
      <c r="DY430" s="64"/>
      <c r="DZ430" s="64"/>
      <c r="EA430" s="64"/>
      <c r="EB430" s="64"/>
      <c r="EC430" s="64"/>
      <c r="ED430" s="64"/>
    </row>
    <row r="431" spans="1:134" ht="15.75" customHeight="1">
      <c r="A431" s="65" t="s">
        <v>1016</v>
      </c>
      <c r="B431" s="65" t="s">
        <v>389</v>
      </c>
      <c r="C431" s="65" t="s">
        <v>1017</v>
      </c>
      <c r="D431" s="65" t="str">
        <f t="shared" si="1"/>
        <v>TE</v>
      </c>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4"/>
      <c r="DL431" s="64"/>
      <c r="DM431" s="64"/>
      <c r="DN431" s="64"/>
      <c r="DO431" s="64"/>
      <c r="DP431" s="64"/>
      <c r="DQ431" s="64"/>
      <c r="DR431" s="64"/>
      <c r="DS431" s="64"/>
      <c r="DT431" s="64"/>
      <c r="DU431" s="64"/>
      <c r="DV431" s="64"/>
      <c r="DW431" s="64"/>
      <c r="DX431" s="64"/>
      <c r="DY431" s="64"/>
      <c r="DZ431" s="64"/>
      <c r="EA431" s="64"/>
      <c r="EB431" s="64"/>
      <c r="EC431" s="64"/>
      <c r="ED431" s="64"/>
    </row>
    <row r="432" spans="1:134" ht="15.75" customHeight="1">
      <c r="A432" s="65" t="s">
        <v>76</v>
      </c>
      <c r="B432" s="65" t="s">
        <v>415</v>
      </c>
      <c r="C432" s="65" t="s">
        <v>1018</v>
      </c>
      <c r="D432" s="65" t="str">
        <f t="shared" si="1"/>
        <v>RB</v>
      </c>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4"/>
      <c r="DL432" s="64"/>
      <c r="DM432" s="64"/>
      <c r="DN432" s="64"/>
      <c r="DO432" s="64"/>
      <c r="DP432" s="64"/>
      <c r="DQ432" s="64"/>
      <c r="DR432" s="64"/>
      <c r="DS432" s="64"/>
      <c r="DT432" s="64"/>
      <c r="DU432" s="64"/>
      <c r="DV432" s="64"/>
      <c r="DW432" s="64"/>
      <c r="DX432" s="64"/>
      <c r="DY432" s="64"/>
      <c r="DZ432" s="64"/>
      <c r="EA432" s="64"/>
      <c r="EB432" s="64"/>
      <c r="EC432" s="64"/>
      <c r="ED432" s="64"/>
    </row>
    <row r="433" spans="1:134" ht="15.75" customHeight="1">
      <c r="A433" s="65" t="s">
        <v>1019</v>
      </c>
      <c r="B433" s="65" t="s">
        <v>412</v>
      </c>
      <c r="C433" s="65" t="s">
        <v>1020</v>
      </c>
      <c r="D433" s="65" t="str">
        <f t="shared" si="1"/>
        <v>WR</v>
      </c>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4"/>
      <c r="DL433" s="64"/>
      <c r="DM433" s="64"/>
      <c r="DN433" s="64"/>
      <c r="DO433" s="64"/>
      <c r="DP433" s="64"/>
      <c r="DQ433" s="64"/>
      <c r="DR433" s="64"/>
      <c r="DS433" s="64"/>
      <c r="DT433" s="64"/>
      <c r="DU433" s="64"/>
      <c r="DV433" s="64"/>
      <c r="DW433" s="64"/>
      <c r="DX433" s="64"/>
      <c r="DY433" s="64"/>
      <c r="DZ433" s="64"/>
      <c r="EA433" s="64"/>
      <c r="EB433" s="64"/>
      <c r="EC433" s="64"/>
      <c r="ED433" s="64"/>
    </row>
    <row r="434" spans="1:134" ht="15.75" customHeight="1">
      <c r="A434" s="65" t="s">
        <v>91</v>
      </c>
      <c r="B434" s="65" t="s">
        <v>399</v>
      </c>
      <c r="C434" s="65" t="s">
        <v>1021</v>
      </c>
      <c r="D434" s="65" t="str">
        <f t="shared" si="1"/>
        <v>RB</v>
      </c>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4"/>
      <c r="DL434" s="64"/>
      <c r="DM434" s="64"/>
      <c r="DN434" s="64"/>
      <c r="DO434" s="64"/>
      <c r="DP434" s="64"/>
      <c r="DQ434" s="64"/>
      <c r="DR434" s="64"/>
      <c r="DS434" s="64"/>
      <c r="DT434" s="64"/>
      <c r="DU434" s="64"/>
      <c r="DV434" s="64"/>
      <c r="DW434" s="64"/>
      <c r="DX434" s="64"/>
      <c r="DY434" s="64"/>
      <c r="DZ434" s="64"/>
      <c r="EA434" s="64"/>
      <c r="EB434" s="64"/>
      <c r="EC434" s="64"/>
      <c r="ED434" s="64"/>
    </row>
    <row r="435" spans="1:134" ht="15.75" customHeight="1">
      <c r="A435" s="65" t="s">
        <v>95</v>
      </c>
      <c r="B435" s="65" t="s">
        <v>399</v>
      </c>
      <c r="C435" s="65" t="s">
        <v>1022</v>
      </c>
      <c r="D435" s="65" t="str">
        <f t="shared" si="1"/>
        <v>WR</v>
      </c>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4"/>
      <c r="DL435" s="64"/>
      <c r="DM435" s="64"/>
      <c r="DN435" s="64"/>
      <c r="DO435" s="64"/>
      <c r="DP435" s="64"/>
      <c r="DQ435" s="64"/>
      <c r="DR435" s="64"/>
      <c r="DS435" s="64"/>
      <c r="DT435" s="64"/>
      <c r="DU435" s="64"/>
      <c r="DV435" s="64"/>
      <c r="DW435" s="64"/>
      <c r="DX435" s="64"/>
      <c r="DY435" s="64"/>
      <c r="DZ435" s="64"/>
      <c r="EA435" s="64"/>
      <c r="EB435" s="64"/>
      <c r="EC435" s="64"/>
      <c r="ED435" s="64"/>
    </row>
    <row r="436" spans="1:134" ht="15.75" customHeight="1">
      <c r="A436" s="65" t="s">
        <v>101</v>
      </c>
      <c r="B436" s="65" t="s">
        <v>400</v>
      </c>
      <c r="C436" s="65" t="s">
        <v>1023</v>
      </c>
      <c r="D436" s="65" t="str">
        <f t="shared" si="1"/>
        <v>TE</v>
      </c>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4"/>
      <c r="DL436" s="64"/>
      <c r="DM436" s="64"/>
      <c r="DN436" s="64"/>
      <c r="DO436" s="64"/>
      <c r="DP436" s="64"/>
      <c r="DQ436" s="64"/>
      <c r="DR436" s="64"/>
      <c r="DS436" s="64"/>
      <c r="DT436" s="64"/>
      <c r="DU436" s="64"/>
      <c r="DV436" s="64"/>
      <c r="DW436" s="64"/>
      <c r="DX436" s="64"/>
      <c r="DY436" s="64"/>
      <c r="DZ436" s="64"/>
      <c r="EA436" s="64"/>
      <c r="EB436" s="64"/>
      <c r="EC436" s="64"/>
      <c r="ED436" s="64"/>
    </row>
    <row r="437" spans="1:134" ht="15.75" customHeight="1">
      <c r="A437" s="65" t="s">
        <v>1024</v>
      </c>
      <c r="B437" s="65" t="s">
        <v>403</v>
      </c>
      <c r="C437" s="65" t="s">
        <v>1025</v>
      </c>
      <c r="D437" s="65" t="str">
        <f t="shared" si="1"/>
        <v>WR</v>
      </c>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4"/>
      <c r="DL437" s="64"/>
      <c r="DM437" s="64"/>
      <c r="DN437" s="64"/>
      <c r="DO437" s="64"/>
      <c r="DP437" s="64"/>
      <c r="DQ437" s="64"/>
      <c r="DR437" s="64"/>
      <c r="DS437" s="64"/>
      <c r="DT437" s="64"/>
      <c r="DU437" s="64"/>
      <c r="DV437" s="64"/>
      <c r="DW437" s="64"/>
      <c r="DX437" s="64"/>
      <c r="DY437" s="64"/>
      <c r="DZ437" s="64"/>
      <c r="EA437" s="64"/>
      <c r="EB437" s="64"/>
      <c r="EC437" s="64"/>
      <c r="ED437" s="64"/>
    </row>
    <row r="438" spans="1:134" ht="15.75" customHeight="1">
      <c r="A438" s="65" t="s">
        <v>226</v>
      </c>
      <c r="B438" s="65" t="s">
        <v>401</v>
      </c>
      <c r="C438" s="65" t="s">
        <v>1026</v>
      </c>
      <c r="D438" s="65" t="str">
        <f t="shared" si="1"/>
        <v>WR</v>
      </c>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4"/>
      <c r="DL438" s="64"/>
      <c r="DM438" s="64"/>
      <c r="DN438" s="64"/>
      <c r="DO438" s="64"/>
      <c r="DP438" s="64"/>
      <c r="DQ438" s="64"/>
      <c r="DR438" s="64"/>
      <c r="DS438" s="64"/>
      <c r="DT438" s="64"/>
      <c r="DU438" s="64"/>
      <c r="DV438" s="64"/>
      <c r="DW438" s="64"/>
      <c r="DX438" s="64"/>
      <c r="DY438" s="64"/>
      <c r="DZ438" s="64"/>
      <c r="EA438" s="64"/>
      <c r="EB438" s="64"/>
      <c r="EC438" s="64"/>
      <c r="ED438" s="64"/>
    </row>
    <row r="439" spans="1:134" ht="15.75" customHeight="1">
      <c r="A439" s="65" t="s">
        <v>49</v>
      </c>
      <c r="B439" s="65" t="s">
        <v>406</v>
      </c>
      <c r="C439" s="65" t="s">
        <v>1027</v>
      </c>
      <c r="D439" s="65" t="str">
        <f t="shared" si="1"/>
        <v>RB</v>
      </c>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4"/>
      <c r="DL439" s="64"/>
      <c r="DM439" s="64"/>
      <c r="DN439" s="64"/>
      <c r="DO439" s="64"/>
      <c r="DP439" s="64"/>
      <c r="DQ439" s="64"/>
      <c r="DR439" s="64"/>
      <c r="DS439" s="64"/>
      <c r="DT439" s="64"/>
      <c r="DU439" s="64"/>
      <c r="DV439" s="64"/>
      <c r="DW439" s="64"/>
      <c r="DX439" s="64"/>
      <c r="DY439" s="64"/>
      <c r="DZ439" s="64"/>
      <c r="EA439" s="64"/>
      <c r="EB439" s="64"/>
      <c r="EC439" s="64"/>
      <c r="ED439" s="64"/>
    </row>
    <row r="440" spans="1:134" ht="15.75" customHeight="1">
      <c r="A440" s="65" t="s">
        <v>334</v>
      </c>
      <c r="B440" s="65" t="s">
        <v>389</v>
      </c>
      <c r="C440" s="65" t="s">
        <v>1028</v>
      </c>
      <c r="D440" s="65" t="str">
        <f t="shared" si="1"/>
        <v>RB</v>
      </c>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4"/>
      <c r="DL440" s="64"/>
      <c r="DM440" s="64"/>
      <c r="DN440" s="64"/>
      <c r="DO440" s="64"/>
      <c r="DP440" s="64"/>
      <c r="DQ440" s="64"/>
      <c r="DR440" s="64"/>
      <c r="DS440" s="64"/>
      <c r="DT440" s="64"/>
      <c r="DU440" s="64"/>
      <c r="DV440" s="64"/>
      <c r="DW440" s="64"/>
      <c r="DX440" s="64"/>
      <c r="DY440" s="64"/>
      <c r="DZ440" s="64"/>
      <c r="EA440" s="64"/>
      <c r="EB440" s="64"/>
      <c r="EC440" s="64"/>
      <c r="ED440" s="64"/>
    </row>
    <row r="441" spans="1:134" ht="15.75" customHeight="1">
      <c r="A441" s="65" t="s">
        <v>184</v>
      </c>
      <c r="B441" s="65" t="s">
        <v>399</v>
      </c>
      <c r="C441" s="65" t="s">
        <v>1029</v>
      </c>
      <c r="D441" s="65" t="str">
        <f t="shared" si="1"/>
        <v>QB</v>
      </c>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4"/>
      <c r="DL441" s="64"/>
      <c r="DM441" s="64"/>
      <c r="DN441" s="64"/>
      <c r="DO441" s="64"/>
      <c r="DP441" s="64"/>
      <c r="DQ441" s="64"/>
      <c r="DR441" s="64"/>
      <c r="DS441" s="64"/>
      <c r="DT441" s="64"/>
      <c r="DU441" s="64"/>
      <c r="DV441" s="64"/>
      <c r="DW441" s="64"/>
      <c r="DX441" s="64"/>
      <c r="DY441" s="64"/>
      <c r="DZ441" s="64"/>
      <c r="EA441" s="64"/>
      <c r="EB441" s="64"/>
      <c r="EC441" s="64"/>
      <c r="ED441" s="64"/>
    </row>
    <row r="442" spans="1:134" ht="15.75" customHeight="1">
      <c r="A442" s="65" t="s">
        <v>168</v>
      </c>
      <c r="B442" s="65" t="s">
        <v>385</v>
      </c>
      <c r="C442" s="65" t="s">
        <v>1030</v>
      </c>
      <c r="D442" s="65" t="str">
        <f t="shared" si="1"/>
        <v>RB</v>
      </c>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4"/>
      <c r="DL442" s="64"/>
      <c r="DM442" s="64"/>
      <c r="DN442" s="64"/>
      <c r="DO442" s="64"/>
      <c r="DP442" s="64"/>
      <c r="DQ442" s="64"/>
      <c r="DR442" s="64"/>
      <c r="DS442" s="64"/>
      <c r="DT442" s="64"/>
      <c r="DU442" s="64"/>
      <c r="DV442" s="64"/>
      <c r="DW442" s="64"/>
      <c r="DX442" s="64"/>
      <c r="DY442" s="64"/>
      <c r="DZ442" s="64"/>
      <c r="EA442" s="64"/>
      <c r="EB442" s="64"/>
      <c r="EC442" s="64"/>
      <c r="ED442" s="64"/>
    </row>
    <row r="443" spans="1:134" ht="15.75" customHeight="1">
      <c r="A443" s="65" t="s">
        <v>71</v>
      </c>
      <c r="B443" s="65" t="s">
        <v>385</v>
      </c>
      <c r="C443" s="65" t="s">
        <v>1031</v>
      </c>
      <c r="D443" s="65" t="str">
        <f t="shared" si="1"/>
        <v>TE</v>
      </c>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4"/>
      <c r="DL443" s="64"/>
      <c r="DM443" s="64"/>
      <c r="DN443" s="64"/>
      <c r="DO443" s="64"/>
      <c r="DP443" s="64"/>
      <c r="DQ443" s="64"/>
      <c r="DR443" s="64"/>
      <c r="DS443" s="64"/>
      <c r="DT443" s="64"/>
      <c r="DU443" s="64"/>
      <c r="DV443" s="64"/>
      <c r="DW443" s="64"/>
      <c r="DX443" s="64"/>
      <c r="DY443" s="64"/>
      <c r="DZ443" s="64"/>
      <c r="EA443" s="64"/>
      <c r="EB443" s="64"/>
      <c r="EC443" s="64"/>
      <c r="ED443" s="64"/>
    </row>
    <row r="444" spans="1:134" ht="15.75" customHeight="1">
      <c r="A444" s="65" t="s">
        <v>1032</v>
      </c>
      <c r="B444" s="65" t="s">
        <v>411</v>
      </c>
      <c r="C444" s="65" t="s">
        <v>1033</v>
      </c>
      <c r="D444" s="65" t="str">
        <f t="shared" si="1"/>
        <v>RB</v>
      </c>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4"/>
      <c r="DL444" s="64"/>
      <c r="DM444" s="64"/>
      <c r="DN444" s="64"/>
      <c r="DO444" s="64"/>
      <c r="DP444" s="64"/>
      <c r="DQ444" s="64"/>
      <c r="DR444" s="64"/>
      <c r="DS444" s="64"/>
      <c r="DT444" s="64"/>
      <c r="DU444" s="64"/>
      <c r="DV444" s="64"/>
      <c r="DW444" s="64"/>
      <c r="DX444" s="64"/>
      <c r="DY444" s="64"/>
      <c r="DZ444" s="64"/>
      <c r="EA444" s="64"/>
      <c r="EB444" s="64"/>
      <c r="EC444" s="64"/>
      <c r="ED444" s="64"/>
    </row>
    <row r="445" spans="1:134" ht="15.75" customHeight="1">
      <c r="A445" s="65" t="s">
        <v>1034</v>
      </c>
      <c r="B445" s="65" t="s">
        <v>415</v>
      </c>
      <c r="C445" s="65" t="s">
        <v>1035</v>
      </c>
      <c r="D445" s="65" t="str">
        <f t="shared" si="1"/>
        <v>WR</v>
      </c>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4"/>
      <c r="DL445" s="64"/>
      <c r="DM445" s="64"/>
      <c r="DN445" s="64"/>
      <c r="DO445" s="64"/>
      <c r="DP445" s="64"/>
      <c r="DQ445" s="64"/>
      <c r="DR445" s="64"/>
      <c r="DS445" s="64"/>
      <c r="DT445" s="64"/>
      <c r="DU445" s="64"/>
      <c r="DV445" s="64"/>
      <c r="DW445" s="64"/>
      <c r="DX445" s="64"/>
      <c r="DY445" s="64"/>
      <c r="DZ445" s="64"/>
      <c r="EA445" s="64"/>
      <c r="EB445" s="64"/>
      <c r="EC445" s="64"/>
      <c r="ED445" s="64"/>
    </row>
    <row r="446" spans="1:134" ht="15.75" customHeight="1">
      <c r="A446" s="65" t="s">
        <v>1036</v>
      </c>
      <c r="B446" s="65" t="s">
        <v>394</v>
      </c>
      <c r="C446" s="65" t="s">
        <v>1037</v>
      </c>
      <c r="D446" s="65" t="str">
        <f t="shared" si="1"/>
        <v>WR</v>
      </c>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4"/>
      <c r="DL446" s="64"/>
      <c r="DM446" s="64"/>
      <c r="DN446" s="64"/>
      <c r="DO446" s="64"/>
      <c r="DP446" s="64"/>
      <c r="DQ446" s="64"/>
      <c r="DR446" s="64"/>
      <c r="DS446" s="64"/>
      <c r="DT446" s="64"/>
      <c r="DU446" s="64"/>
      <c r="DV446" s="64"/>
      <c r="DW446" s="64"/>
      <c r="DX446" s="64"/>
      <c r="DY446" s="64"/>
      <c r="DZ446" s="64"/>
      <c r="EA446" s="64"/>
      <c r="EB446" s="64"/>
      <c r="EC446" s="64"/>
      <c r="ED446" s="64"/>
    </row>
    <row r="447" spans="1:134" ht="15.75" customHeight="1">
      <c r="A447" s="65" t="s">
        <v>209</v>
      </c>
      <c r="B447" s="65" t="s">
        <v>404</v>
      </c>
      <c r="C447" s="65" t="s">
        <v>1038</v>
      </c>
      <c r="D447" s="65" t="str">
        <f t="shared" si="1"/>
        <v>QB</v>
      </c>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4"/>
      <c r="DL447" s="64"/>
      <c r="DM447" s="64"/>
      <c r="DN447" s="64"/>
      <c r="DO447" s="64"/>
      <c r="DP447" s="64"/>
      <c r="DQ447" s="64"/>
      <c r="DR447" s="64"/>
      <c r="DS447" s="64"/>
      <c r="DT447" s="64"/>
      <c r="DU447" s="64"/>
      <c r="DV447" s="64"/>
      <c r="DW447" s="64"/>
      <c r="DX447" s="64"/>
      <c r="DY447" s="64"/>
      <c r="DZ447" s="64"/>
      <c r="EA447" s="64"/>
      <c r="EB447" s="64"/>
      <c r="EC447" s="64"/>
      <c r="ED447" s="64"/>
    </row>
    <row r="448" spans="1:134" ht="15.75" customHeight="1">
      <c r="A448" s="65" t="s">
        <v>89</v>
      </c>
      <c r="B448" s="65" t="s">
        <v>396</v>
      </c>
      <c r="C448" s="65" t="s">
        <v>1039</v>
      </c>
      <c r="D448" s="65" t="str">
        <f t="shared" si="1"/>
        <v>TE</v>
      </c>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4"/>
      <c r="DL448" s="64"/>
      <c r="DM448" s="64"/>
      <c r="DN448" s="64"/>
      <c r="DO448" s="64"/>
      <c r="DP448" s="64"/>
      <c r="DQ448" s="64"/>
      <c r="DR448" s="64"/>
      <c r="DS448" s="64"/>
      <c r="DT448" s="64"/>
      <c r="DU448" s="64"/>
      <c r="DV448" s="64"/>
      <c r="DW448" s="64"/>
      <c r="DX448" s="64"/>
      <c r="DY448" s="64"/>
      <c r="DZ448" s="64"/>
      <c r="EA448" s="64"/>
      <c r="EB448" s="64"/>
      <c r="EC448" s="64"/>
      <c r="ED448" s="64"/>
    </row>
    <row r="449" spans="1:134" ht="15.75" customHeight="1">
      <c r="A449" s="65" t="s">
        <v>1040</v>
      </c>
      <c r="B449" s="65" t="s">
        <v>402</v>
      </c>
      <c r="C449" s="65" t="s">
        <v>1041</v>
      </c>
      <c r="D449" s="65" t="str">
        <f t="shared" si="1"/>
        <v>WR</v>
      </c>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4"/>
      <c r="DL449" s="64"/>
      <c r="DM449" s="64"/>
      <c r="DN449" s="64"/>
      <c r="DO449" s="64"/>
      <c r="DP449" s="64"/>
      <c r="DQ449" s="64"/>
      <c r="DR449" s="64"/>
      <c r="DS449" s="64"/>
      <c r="DT449" s="64"/>
      <c r="DU449" s="64"/>
      <c r="DV449" s="64"/>
      <c r="DW449" s="64"/>
      <c r="DX449" s="64"/>
      <c r="DY449" s="64"/>
      <c r="DZ449" s="64"/>
      <c r="EA449" s="64"/>
      <c r="EB449" s="64"/>
      <c r="EC449" s="64"/>
      <c r="ED449" s="64"/>
    </row>
    <row r="450" spans="1:134" ht="15.75" customHeight="1">
      <c r="A450" s="65" t="s">
        <v>1042</v>
      </c>
      <c r="B450" s="65" t="s">
        <v>405</v>
      </c>
      <c r="C450" s="65" t="s">
        <v>1043</v>
      </c>
      <c r="D450" s="65" t="str">
        <f t="shared" si="1"/>
        <v>RB</v>
      </c>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4"/>
      <c r="DL450" s="64"/>
      <c r="DM450" s="64"/>
      <c r="DN450" s="64"/>
      <c r="DO450" s="64"/>
      <c r="DP450" s="64"/>
      <c r="DQ450" s="64"/>
      <c r="DR450" s="64"/>
      <c r="DS450" s="64"/>
      <c r="DT450" s="64"/>
      <c r="DU450" s="64"/>
      <c r="DV450" s="64"/>
      <c r="DW450" s="64"/>
      <c r="DX450" s="64"/>
      <c r="DY450" s="64"/>
      <c r="DZ450" s="64"/>
      <c r="EA450" s="64"/>
      <c r="EB450" s="64"/>
      <c r="EC450" s="64"/>
      <c r="ED450" s="64"/>
    </row>
    <row r="451" spans="1:134" ht="15.75" customHeight="1">
      <c r="A451" s="65" t="s">
        <v>332</v>
      </c>
      <c r="B451" s="65" t="s">
        <v>388</v>
      </c>
      <c r="C451" s="65" t="s">
        <v>1044</v>
      </c>
      <c r="D451" s="65" t="str">
        <f t="shared" si="1"/>
        <v>RB</v>
      </c>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4"/>
      <c r="DL451" s="64"/>
      <c r="DM451" s="64"/>
      <c r="DN451" s="64"/>
      <c r="DO451" s="64"/>
      <c r="DP451" s="64"/>
      <c r="DQ451" s="64"/>
      <c r="DR451" s="64"/>
      <c r="DS451" s="64"/>
      <c r="DT451" s="64"/>
      <c r="DU451" s="64"/>
      <c r="DV451" s="64"/>
      <c r="DW451" s="64"/>
      <c r="DX451" s="64"/>
      <c r="DY451" s="64"/>
      <c r="DZ451" s="64"/>
      <c r="EA451" s="64"/>
      <c r="EB451" s="64"/>
      <c r="EC451" s="64"/>
      <c r="ED451" s="64"/>
    </row>
    <row r="452" spans="1:134" ht="15.75" customHeight="1">
      <c r="A452" s="65" t="s">
        <v>134</v>
      </c>
      <c r="B452" s="65" t="s">
        <v>415</v>
      </c>
      <c r="C452" s="65" t="s">
        <v>1045</v>
      </c>
      <c r="D452" s="65" t="str">
        <f t="shared" si="1"/>
        <v>RB</v>
      </c>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4"/>
      <c r="DL452" s="64"/>
      <c r="DM452" s="64"/>
      <c r="DN452" s="64"/>
      <c r="DO452" s="64"/>
      <c r="DP452" s="64"/>
      <c r="DQ452" s="64"/>
      <c r="DR452" s="64"/>
      <c r="DS452" s="64"/>
      <c r="DT452" s="64"/>
      <c r="DU452" s="64"/>
      <c r="DV452" s="64"/>
      <c r="DW452" s="64"/>
      <c r="DX452" s="64"/>
      <c r="DY452" s="64"/>
      <c r="DZ452" s="64"/>
      <c r="EA452" s="64"/>
      <c r="EB452" s="64"/>
      <c r="EC452" s="64"/>
      <c r="ED452" s="64"/>
    </row>
    <row r="453" spans="1:134" ht="15.75" customHeight="1">
      <c r="A453" s="65" t="s">
        <v>183</v>
      </c>
      <c r="B453" s="65" t="s">
        <v>386</v>
      </c>
      <c r="C453" s="65" t="s">
        <v>1046</v>
      </c>
      <c r="D453" s="65" t="str">
        <f t="shared" si="1"/>
        <v>RB</v>
      </c>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4"/>
      <c r="DL453" s="64"/>
      <c r="DM453" s="64"/>
      <c r="DN453" s="64"/>
      <c r="DO453" s="64"/>
      <c r="DP453" s="64"/>
      <c r="DQ453" s="64"/>
      <c r="DR453" s="64"/>
      <c r="DS453" s="64"/>
      <c r="DT453" s="64"/>
      <c r="DU453" s="64"/>
      <c r="DV453" s="64"/>
      <c r="DW453" s="64"/>
      <c r="DX453" s="64"/>
      <c r="DY453" s="64"/>
      <c r="DZ453" s="64"/>
      <c r="EA453" s="64"/>
      <c r="EB453" s="64"/>
      <c r="EC453" s="64"/>
      <c r="ED453" s="64"/>
    </row>
    <row r="454" spans="1:134" ht="15.75" customHeight="1">
      <c r="A454" s="65" t="s">
        <v>1047</v>
      </c>
      <c r="B454" s="65" t="s">
        <v>394</v>
      </c>
      <c r="C454" s="65" t="s">
        <v>1048</v>
      </c>
      <c r="D454" s="65" t="str">
        <f t="shared" si="1"/>
        <v>RB</v>
      </c>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4"/>
      <c r="DL454" s="64"/>
      <c r="DM454" s="64"/>
      <c r="DN454" s="64"/>
      <c r="DO454" s="64"/>
      <c r="DP454" s="64"/>
      <c r="DQ454" s="64"/>
      <c r="DR454" s="64"/>
      <c r="DS454" s="64"/>
      <c r="DT454" s="64"/>
      <c r="DU454" s="64"/>
      <c r="DV454" s="64"/>
      <c r="DW454" s="64"/>
      <c r="DX454" s="64"/>
      <c r="DY454" s="64"/>
      <c r="DZ454" s="64"/>
      <c r="EA454" s="64"/>
      <c r="EB454" s="64"/>
      <c r="EC454" s="64"/>
      <c r="ED454" s="64"/>
    </row>
    <row r="455" spans="1:134" ht="15.75" customHeight="1">
      <c r="A455" s="65" t="s">
        <v>300</v>
      </c>
      <c r="B455" s="65" t="s">
        <v>388</v>
      </c>
      <c r="C455" s="65" t="s">
        <v>1049</v>
      </c>
      <c r="D455" s="65" t="str">
        <f t="shared" si="1"/>
        <v>K</v>
      </c>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4"/>
      <c r="DL455" s="64"/>
      <c r="DM455" s="64"/>
      <c r="DN455" s="64"/>
      <c r="DO455" s="64"/>
      <c r="DP455" s="64"/>
      <c r="DQ455" s="64"/>
      <c r="DR455" s="64"/>
      <c r="DS455" s="64"/>
      <c r="DT455" s="64"/>
      <c r="DU455" s="64"/>
      <c r="DV455" s="64"/>
      <c r="DW455" s="64"/>
      <c r="DX455" s="64"/>
      <c r="DY455" s="64"/>
      <c r="DZ455" s="64"/>
      <c r="EA455" s="64"/>
      <c r="EB455" s="64"/>
      <c r="EC455" s="64"/>
      <c r="ED455" s="64"/>
    </row>
    <row r="456" spans="1:134" ht="15.75" customHeight="1">
      <c r="A456" s="65" t="s">
        <v>1050</v>
      </c>
      <c r="B456" s="65" t="s">
        <v>401</v>
      </c>
      <c r="C456" s="65" t="s">
        <v>1051</v>
      </c>
      <c r="D456" s="65" t="str">
        <f t="shared" si="1"/>
        <v>TE</v>
      </c>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4"/>
      <c r="DL456" s="64"/>
      <c r="DM456" s="64"/>
      <c r="DN456" s="64"/>
      <c r="DO456" s="64"/>
      <c r="DP456" s="64"/>
      <c r="DQ456" s="64"/>
      <c r="DR456" s="64"/>
      <c r="DS456" s="64"/>
      <c r="DT456" s="64"/>
      <c r="DU456" s="64"/>
      <c r="DV456" s="64"/>
      <c r="DW456" s="64"/>
      <c r="DX456" s="64"/>
      <c r="DY456" s="64"/>
      <c r="DZ456" s="64"/>
      <c r="EA456" s="64"/>
      <c r="EB456" s="64"/>
      <c r="EC456" s="64"/>
      <c r="ED456" s="64"/>
    </row>
    <row r="457" spans="1:134" ht="15.75" customHeight="1">
      <c r="A457" s="65" t="s">
        <v>1052</v>
      </c>
      <c r="B457" s="65" t="s">
        <v>398</v>
      </c>
      <c r="C457" s="65" t="s">
        <v>1053</v>
      </c>
      <c r="D457" s="65" t="str">
        <f t="shared" si="1"/>
        <v>RB</v>
      </c>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4"/>
      <c r="DL457" s="64"/>
      <c r="DM457" s="64"/>
      <c r="DN457" s="64"/>
      <c r="DO457" s="64"/>
      <c r="DP457" s="64"/>
      <c r="DQ457" s="64"/>
      <c r="DR457" s="64"/>
      <c r="DS457" s="64"/>
      <c r="DT457" s="64"/>
      <c r="DU457" s="64"/>
      <c r="DV457" s="64"/>
      <c r="DW457" s="64"/>
      <c r="DX457" s="64"/>
      <c r="DY457" s="64"/>
      <c r="DZ457" s="64"/>
      <c r="EA457" s="64"/>
      <c r="EB457" s="64"/>
      <c r="EC457" s="64"/>
      <c r="ED457" s="64"/>
    </row>
    <row r="458" spans="1:134" ht="15.75" customHeight="1">
      <c r="A458" s="65" t="s">
        <v>1054</v>
      </c>
      <c r="B458" s="65" t="s">
        <v>402</v>
      </c>
      <c r="C458" s="65" t="s">
        <v>1055</v>
      </c>
      <c r="D458" s="65" t="str">
        <f t="shared" si="1"/>
        <v>TE</v>
      </c>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4"/>
      <c r="DL458" s="64"/>
      <c r="DM458" s="64"/>
      <c r="DN458" s="64"/>
      <c r="DO458" s="64"/>
      <c r="DP458" s="64"/>
      <c r="DQ458" s="64"/>
      <c r="DR458" s="64"/>
      <c r="DS458" s="64"/>
      <c r="DT458" s="64"/>
      <c r="DU458" s="64"/>
      <c r="DV458" s="64"/>
      <c r="DW458" s="64"/>
      <c r="DX458" s="64"/>
      <c r="DY458" s="64"/>
      <c r="DZ458" s="64"/>
      <c r="EA458" s="64"/>
      <c r="EB458" s="64"/>
      <c r="EC458" s="64"/>
      <c r="ED458" s="64"/>
    </row>
    <row r="459" spans="1:134" ht="15.75" customHeight="1">
      <c r="A459" s="65" t="s">
        <v>1056</v>
      </c>
      <c r="B459" s="65" t="s">
        <v>409</v>
      </c>
      <c r="C459" s="65" t="s">
        <v>1057</v>
      </c>
      <c r="D459" s="65" t="str">
        <f t="shared" si="1"/>
        <v>WR</v>
      </c>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4"/>
      <c r="DL459" s="64"/>
      <c r="DM459" s="64"/>
      <c r="DN459" s="64"/>
      <c r="DO459" s="64"/>
      <c r="DP459" s="64"/>
      <c r="DQ459" s="64"/>
      <c r="DR459" s="64"/>
      <c r="DS459" s="64"/>
      <c r="DT459" s="64"/>
      <c r="DU459" s="64"/>
      <c r="DV459" s="64"/>
      <c r="DW459" s="64"/>
      <c r="DX459" s="64"/>
      <c r="DY459" s="64"/>
      <c r="DZ459" s="64"/>
      <c r="EA459" s="64"/>
      <c r="EB459" s="64"/>
      <c r="EC459" s="64"/>
      <c r="ED459" s="64"/>
    </row>
    <row r="460" spans="1:134" ht="15.75" customHeight="1">
      <c r="A460" s="65" t="s">
        <v>293</v>
      </c>
      <c r="B460" s="65" t="s">
        <v>415</v>
      </c>
      <c r="C460" s="65" t="s">
        <v>1058</v>
      </c>
      <c r="D460" s="65" t="str">
        <f t="shared" si="1"/>
        <v>WR</v>
      </c>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4"/>
      <c r="DL460" s="64"/>
      <c r="DM460" s="64"/>
      <c r="DN460" s="64"/>
      <c r="DO460" s="64"/>
      <c r="DP460" s="64"/>
      <c r="DQ460" s="64"/>
      <c r="DR460" s="64"/>
      <c r="DS460" s="64"/>
      <c r="DT460" s="64"/>
      <c r="DU460" s="64"/>
      <c r="DV460" s="64"/>
      <c r="DW460" s="64"/>
      <c r="DX460" s="64"/>
      <c r="DY460" s="64"/>
      <c r="DZ460" s="64"/>
      <c r="EA460" s="64"/>
      <c r="EB460" s="64"/>
      <c r="EC460" s="64"/>
      <c r="ED460" s="64"/>
    </row>
    <row r="461" spans="1:134" ht="15.75" customHeight="1">
      <c r="A461" s="65" t="s">
        <v>304</v>
      </c>
      <c r="B461" s="65" t="s">
        <v>387</v>
      </c>
      <c r="C461" s="65" t="s">
        <v>1059</v>
      </c>
      <c r="D461" s="65" t="str">
        <f t="shared" si="1"/>
        <v>K</v>
      </c>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4"/>
      <c r="DL461" s="64"/>
      <c r="DM461" s="64"/>
      <c r="DN461" s="64"/>
      <c r="DO461" s="64"/>
      <c r="DP461" s="64"/>
      <c r="DQ461" s="64"/>
      <c r="DR461" s="64"/>
      <c r="DS461" s="64"/>
      <c r="DT461" s="64"/>
      <c r="DU461" s="64"/>
      <c r="DV461" s="64"/>
      <c r="DW461" s="64"/>
      <c r="DX461" s="64"/>
      <c r="DY461" s="64"/>
      <c r="DZ461" s="64"/>
      <c r="EA461" s="64"/>
      <c r="EB461" s="64"/>
      <c r="EC461" s="64"/>
      <c r="ED461" s="64"/>
    </row>
    <row r="462" spans="1:134" ht="15.75" customHeight="1">
      <c r="A462" s="65" t="s">
        <v>214</v>
      </c>
      <c r="B462" s="65" t="s">
        <v>407</v>
      </c>
      <c r="C462" s="65" t="s">
        <v>1060</v>
      </c>
      <c r="D462" s="65" t="str">
        <f t="shared" si="1"/>
        <v>QB</v>
      </c>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4"/>
      <c r="DL462" s="64"/>
      <c r="DM462" s="64"/>
      <c r="DN462" s="64"/>
      <c r="DO462" s="64"/>
      <c r="DP462" s="64"/>
      <c r="DQ462" s="64"/>
      <c r="DR462" s="64"/>
      <c r="DS462" s="64"/>
      <c r="DT462" s="64"/>
      <c r="DU462" s="64"/>
      <c r="DV462" s="64"/>
      <c r="DW462" s="64"/>
      <c r="DX462" s="64"/>
      <c r="DY462" s="64"/>
      <c r="DZ462" s="64"/>
      <c r="EA462" s="64"/>
      <c r="EB462" s="64"/>
      <c r="EC462" s="64"/>
      <c r="ED462" s="64"/>
    </row>
    <row r="463" spans="1:134" ht="15.75" customHeight="1">
      <c r="A463" s="65" t="s">
        <v>115</v>
      </c>
      <c r="B463" s="65" t="s">
        <v>398</v>
      </c>
      <c r="C463" s="65" t="s">
        <v>1061</v>
      </c>
      <c r="D463" s="65" t="str">
        <f t="shared" si="1"/>
        <v>TE</v>
      </c>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4"/>
      <c r="DL463" s="64"/>
      <c r="DM463" s="64"/>
      <c r="DN463" s="64"/>
      <c r="DO463" s="64"/>
      <c r="DP463" s="64"/>
      <c r="DQ463" s="64"/>
      <c r="DR463" s="64"/>
      <c r="DS463" s="64"/>
      <c r="DT463" s="64"/>
      <c r="DU463" s="64"/>
      <c r="DV463" s="64"/>
      <c r="DW463" s="64"/>
      <c r="DX463" s="64"/>
      <c r="DY463" s="64"/>
      <c r="DZ463" s="64"/>
      <c r="EA463" s="64"/>
      <c r="EB463" s="64"/>
      <c r="EC463" s="64"/>
      <c r="ED463" s="64"/>
    </row>
    <row r="464" spans="1:134" ht="15.75" customHeight="1">
      <c r="A464" s="65" t="s">
        <v>36</v>
      </c>
      <c r="B464" s="65" t="s">
        <v>404</v>
      </c>
      <c r="C464" s="65" t="s">
        <v>1062</v>
      </c>
      <c r="D464" s="65" t="str">
        <f t="shared" si="1"/>
        <v>WR</v>
      </c>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4"/>
      <c r="DL464" s="64"/>
      <c r="DM464" s="64"/>
      <c r="DN464" s="64"/>
      <c r="DO464" s="64"/>
      <c r="DP464" s="64"/>
      <c r="DQ464" s="64"/>
      <c r="DR464" s="64"/>
      <c r="DS464" s="64"/>
      <c r="DT464" s="64"/>
      <c r="DU464" s="64"/>
      <c r="DV464" s="64"/>
      <c r="DW464" s="64"/>
      <c r="DX464" s="64"/>
      <c r="DY464" s="64"/>
      <c r="DZ464" s="64"/>
      <c r="EA464" s="64"/>
      <c r="EB464" s="64"/>
      <c r="EC464" s="64"/>
      <c r="ED464" s="64"/>
    </row>
    <row r="465" spans="1:134" ht="15.75" customHeight="1">
      <c r="A465" s="65" t="s">
        <v>1063</v>
      </c>
      <c r="B465" s="65" t="s">
        <v>409</v>
      </c>
      <c r="C465" s="65" t="s">
        <v>1064</v>
      </c>
      <c r="D465" s="65" t="str">
        <f t="shared" si="1"/>
        <v>QB</v>
      </c>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4"/>
      <c r="DL465" s="64"/>
      <c r="DM465" s="64"/>
      <c r="DN465" s="64"/>
      <c r="DO465" s="64"/>
      <c r="DP465" s="64"/>
      <c r="DQ465" s="64"/>
      <c r="DR465" s="64"/>
      <c r="DS465" s="64"/>
      <c r="DT465" s="64"/>
      <c r="DU465" s="64"/>
      <c r="DV465" s="64"/>
      <c r="DW465" s="64"/>
      <c r="DX465" s="64"/>
      <c r="DY465" s="64"/>
      <c r="DZ465" s="64"/>
      <c r="EA465" s="64"/>
      <c r="EB465" s="64"/>
      <c r="EC465" s="64"/>
      <c r="ED465" s="64"/>
    </row>
    <row r="466" spans="1:134" ht="15.75" customHeight="1">
      <c r="A466" s="65" t="s">
        <v>100</v>
      </c>
      <c r="B466" s="65" t="s">
        <v>408</v>
      </c>
      <c r="C466" s="65" t="s">
        <v>1065</v>
      </c>
      <c r="D466" s="65" t="str">
        <f t="shared" si="1"/>
        <v>RB</v>
      </c>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4"/>
      <c r="DL466" s="64"/>
      <c r="DM466" s="64"/>
      <c r="DN466" s="64"/>
      <c r="DO466" s="64"/>
      <c r="DP466" s="64"/>
      <c r="DQ466" s="64"/>
      <c r="DR466" s="64"/>
      <c r="DS466" s="64"/>
      <c r="DT466" s="64"/>
      <c r="DU466" s="64"/>
      <c r="DV466" s="64"/>
      <c r="DW466" s="64"/>
      <c r="DX466" s="64"/>
      <c r="DY466" s="64"/>
      <c r="DZ466" s="64"/>
      <c r="EA466" s="64"/>
      <c r="EB466" s="64"/>
      <c r="EC466" s="64"/>
      <c r="ED466" s="64"/>
    </row>
    <row r="467" spans="1:134" ht="15.75" customHeight="1">
      <c r="A467" s="65" t="s">
        <v>1066</v>
      </c>
      <c r="B467" s="65" t="s">
        <v>415</v>
      </c>
      <c r="C467" s="65" t="s">
        <v>1067</v>
      </c>
      <c r="D467" s="65" t="str">
        <f t="shared" si="1"/>
        <v>WR</v>
      </c>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4"/>
      <c r="DL467" s="64"/>
      <c r="DM467" s="64"/>
      <c r="DN467" s="64"/>
      <c r="DO467" s="64"/>
      <c r="DP467" s="64"/>
      <c r="DQ467" s="64"/>
      <c r="DR467" s="64"/>
      <c r="DS467" s="64"/>
      <c r="DT467" s="64"/>
      <c r="DU467" s="64"/>
      <c r="DV467" s="64"/>
      <c r="DW467" s="64"/>
      <c r="DX467" s="64"/>
      <c r="DY467" s="64"/>
      <c r="DZ467" s="64"/>
      <c r="EA467" s="64"/>
      <c r="EB467" s="64"/>
      <c r="EC467" s="64"/>
      <c r="ED467" s="64"/>
    </row>
    <row r="468" spans="1:134" ht="15.75" customHeight="1">
      <c r="A468" s="65" t="s">
        <v>166</v>
      </c>
      <c r="B468" s="65" t="s">
        <v>408</v>
      </c>
      <c r="C468" s="65" t="s">
        <v>1068</v>
      </c>
      <c r="D468" s="65" t="str">
        <f t="shared" si="1"/>
        <v>WR</v>
      </c>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4"/>
      <c r="DL468" s="64"/>
      <c r="DM468" s="64"/>
      <c r="DN468" s="64"/>
      <c r="DO468" s="64"/>
      <c r="DP468" s="64"/>
      <c r="DQ468" s="64"/>
      <c r="DR468" s="64"/>
      <c r="DS468" s="64"/>
      <c r="DT468" s="64"/>
      <c r="DU468" s="64"/>
      <c r="DV468" s="64"/>
      <c r="DW468" s="64"/>
      <c r="DX468" s="64"/>
      <c r="DY468" s="64"/>
      <c r="DZ468" s="64"/>
      <c r="EA468" s="64"/>
      <c r="EB468" s="64"/>
      <c r="EC468" s="64"/>
      <c r="ED468" s="64"/>
    </row>
    <row r="469" spans="1:134" ht="15.75" customHeight="1">
      <c r="A469" s="65" t="s">
        <v>239</v>
      </c>
      <c r="B469" s="65" t="s">
        <v>416</v>
      </c>
      <c r="C469" s="65" t="s">
        <v>1069</v>
      </c>
      <c r="D469" s="65" t="str">
        <f t="shared" si="1"/>
        <v>DEF</v>
      </c>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4"/>
      <c r="DL469" s="64"/>
      <c r="DM469" s="64"/>
      <c r="DN469" s="64"/>
      <c r="DO469" s="64"/>
      <c r="DP469" s="64"/>
      <c r="DQ469" s="64"/>
      <c r="DR469" s="64"/>
      <c r="DS469" s="64"/>
      <c r="DT469" s="64"/>
      <c r="DU469" s="64"/>
      <c r="DV469" s="64"/>
      <c r="DW469" s="64"/>
      <c r="DX469" s="64"/>
      <c r="DY469" s="64"/>
      <c r="DZ469" s="64"/>
      <c r="EA469" s="64"/>
      <c r="EB469" s="64"/>
      <c r="EC469" s="64"/>
      <c r="ED469" s="64"/>
    </row>
    <row r="470" spans="1:134" ht="15.75" customHeight="1">
      <c r="A470" s="65" t="s">
        <v>273</v>
      </c>
      <c r="B470" s="65" t="s">
        <v>394</v>
      </c>
      <c r="C470" s="65" t="s">
        <v>1070</v>
      </c>
      <c r="D470" s="65" t="str">
        <f t="shared" si="1"/>
        <v>K</v>
      </c>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4"/>
      <c r="DL470" s="64"/>
      <c r="DM470" s="64"/>
      <c r="DN470" s="64"/>
      <c r="DO470" s="64"/>
      <c r="DP470" s="64"/>
      <c r="DQ470" s="64"/>
      <c r="DR470" s="64"/>
      <c r="DS470" s="64"/>
      <c r="DT470" s="64"/>
      <c r="DU470" s="64"/>
      <c r="DV470" s="64"/>
      <c r="DW470" s="64"/>
      <c r="DX470" s="64"/>
      <c r="DY470" s="64"/>
      <c r="DZ470" s="64"/>
      <c r="EA470" s="64"/>
      <c r="EB470" s="64"/>
      <c r="EC470" s="64"/>
      <c r="ED470" s="64"/>
    </row>
    <row r="471" spans="1:134" ht="15.75" customHeight="1">
      <c r="A471" s="65" t="s">
        <v>1071</v>
      </c>
      <c r="B471" s="65" t="s">
        <v>401</v>
      </c>
      <c r="C471" s="65" t="s">
        <v>1072</v>
      </c>
      <c r="D471" s="65" t="str">
        <f t="shared" si="1"/>
        <v>TE</v>
      </c>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4"/>
      <c r="DL471" s="64"/>
      <c r="DM471" s="64"/>
      <c r="DN471" s="64"/>
      <c r="DO471" s="64"/>
      <c r="DP471" s="64"/>
      <c r="DQ471" s="64"/>
      <c r="DR471" s="64"/>
      <c r="DS471" s="64"/>
      <c r="DT471" s="64"/>
      <c r="DU471" s="64"/>
      <c r="DV471" s="64"/>
      <c r="DW471" s="64"/>
      <c r="DX471" s="64"/>
      <c r="DY471" s="64"/>
      <c r="DZ471" s="64"/>
      <c r="EA471" s="64"/>
      <c r="EB471" s="64"/>
      <c r="EC471" s="64"/>
      <c r="ED471" s="64"/>
    </row>
    <row r="472" spans="1:134" ht="15.75" customHeight="1">
      <c r="A472" s="65" t="s">
        <v>1073</v>
      </c>
      <c r="B472" s="65" t="s">
        <v>411</v>
      </c>
      <c r="C472" s="65" t="s">
        <v>1074</v>
      </c>
      <c r="D472" s="65" t="str">
        <f t="shared" si="1"/>
        <v>QB</v>
      </c>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4"/>
      <c r="DL472" s="64"/>
      <c r="DM472" s="64"/>
      <c r="DN472" s="64"/>
      <c r="DO472" s="64"/>
      <c r="DP472" s="64"/>
      <c r="DQ472" s="64"/>
      <c r="DR472" s="64"/>
      <c r="DS472" s="64"/>
      <c r="DT472" s="64"/>
      <c r="DU472" s="64"/>
      <c r="DV472" s="64"/>
      <c r="DW472" s="64"/>
      <c r="DX472" s="64"/>
      <c r="DY472" s="64"/>
      <c r="DZ472" s="64"/>
      <c r="EA472" s="64"/>
      <c r="EB472" s="64"/>
      <c r="EC472" s="64"/>
      <c r="ED472" s="64"/>
    </row>
    <row r="473" spans="1:134" ht="15.75" customHeight="1">
      <c r="A473" s="65" t="s">
        <v>319</v>
      </c>
      <c r="B473" s="65" t="s">
        <v>405</v>
      </c>
      <c r="C473" s="65" t="s">
        <v>1075</v>
      </c>
      <c r="D473" s="65" t="str">
        <f t="shared" si="1"/>
        <v>K</v>
      </c>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4"/>
      <c r="DL473" s="64"/>
      <c r="DM473" s="64"/>
      <c r="DN473" s="64"/>
      <c r="DO473" s="64"/>
      <c r="DP473" s="64"/>
      <c r="DQ473" s="64"/>
      <c r="DR473" s="64"/>
      <c r="DS473" s="64"/>
      <c r="DT473" s="64"/>
      <c r="DU473" s="64"/>
      <c r="DV473" s="64"/>
      <c r="DW473" s="64"/>
      <c r="DX473" s="64"/>
      <c r="DY473" s="64"/>
      <c r="DZ473" s="64"/>
      <c r="EA473" s="64"/>
      <c r="EB473" s="64"/>
      <c r="EC473" s="64"/>
      <c r="ED473" s="64"/>
    </row>
    <row r="474" spans="1:134" ht="15.75" customHeight="1">
      <c r="A474" s="65" t="s">
        <v>234</v>
      </c>
      <c r="B474" s="65" t="s">
        <v>410</v>
      </c>
      <c r="C474" s="65" t="s">
        <v>1076</v>
      </c>
      <c r="D474" s="65" t="str">
        <f t="shared" si="1"/>
        <v>RB</v>
      </c>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4"/>
      <c r="DL474" s="64"/>
      <c r="DM474" s="64"/>
      <c r="DN474" s="64"/>
      <c r="DO474" s="64"/>
      <c r="DP474" s="64"/>
      <c r="DQ474" s="64"/>
      <c r="DR474" s="64"/>
      <c r="DS474" s="64"/>
      <c r="DT474" s="64"/>
      <c r="DU474" s="64"/>
      <c r="DV474" s="64"/>
      <c r="DW474" s="64"/>
      <c r="DX474" s="64"/>
      <c r="DY474" s="64"/>
      <c r="DZ474" s="64"/>
      <c r="EA474" s="64"/>
      <c r="EB474" s="64"/>
      <c r="EC474" s="64"/>
      <c r="ED474" s="64"/>
    </row>
    <row r="475" spans="1:134" ht="15.75" customHeight="1">
      <c r="A475" s="65" t="s">
        <v>220</v>
      </c>
      <c r="B475" s="65" t="s">
        <v>397</v>
      </c>
      <c r="C475" s="65" t="s">
        <v>1077</v>
      </c>
      <c r="D475" s="65" t="str">
        <f t="shared" si="1"/>
        <v>RB</v>
      </c>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4"/>
      <c r="DL475" s="64"/>
      <c r="DM475" s="64"/>
      <c r="DN475" s="64"/>
      <c r="DO475" s="64"/>
      <c r="DP475" s="64"/>
      <c r="DQ475" s="64"/>
      <c r="DR475" s="64"/>
      <c r="DS475" s="64"/>
      <c r="DT475" s="64"/>
      <c r="DU475" s="64"/>
      <c r="DV475" s="64"/>
      <c r="DW475" s="64"/>
      <c r="DX475" s="64"/>
      <c r="DY475" s="64"/>
      <c r="DZ475" s="64"/>
      <c r="EA475" s="64"/>
      <c r="EB475" s="64"/>
      <c r="EC475" s="64"/>
      <c r="ED475" s="64"/>
    </row>
    <row r="476" spans="1:134" ht="15.75" customHeight="1">
      <c r="A476" s="65" t="s">
        <v>219</v>
      </c>
      <c r="B476" s="65" t="s">
        <v>389</v>
      </c>
      <c r="C476" s="65" t="s">
        <v>1078</v>
      </c>
      <c r="D476" s="65" t="str">
        <f t="shared" si="1"/>
        <v>WR</v>
      </c>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4"/>
      <c r="DL476" s="64"/>
      <c r="DM476" s="64"/>
      <c r="DN476" s="64"/>
      <c r="DO476" s="64"/>
      <c r="DP476" s="64"/>
      <c r="DQ476" s="64"/>
      <c r="DR476" s="64"/>
      <c r="DS476" s="64"/>
      <c r="DT476" s="64"/>
      <c r="DU476" s="64"/>
      <c r="DV476" s="64"/>
      <c r="DW476" s="64"/>
      <c r="DX476" s="64"/>
      <c r="DY476" s="64"/>
      <c r="DZ476" s="64"/>
      <c r="EA476" s="64"/>
      <c r="EB476" s="64"/>
      <c r="EC476" s="64"/>
      <c r="ED476" s="64"/>
    </row>
    <row r="477" spans="1:134" ht="15.75" customHeight="1">
      <c r="A477" s="65" t="s">
        <v>1079</v>
      </c>
      <c r="B477" s="65" t="s">
        <v>415</v>
      </c>
      <c r="C477" s="65" t="s">
        <v>1080</v>
      </c>
      <c r="D477" s="65" t="str">
        <f t="shared" si="1"/>
        <v>WR</v>
      </c>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4"/>
      <c r="DL477" s="64"/>
      <c r="DM477" s="64"/>
      <c r="DN477" s="64"/>
      <c r="DO477" s="64"/>
      <c r="DP477" s="64"/>
      <c r="DQ477" s="64"/>
      <c r="DR477" s="64"/>
      <c r="DS477" s="64"/>
      <c r="DT477" s="64"/>
      <c r="DU477" s="64"/>
      <c r="DV477" s="64"/>
      <c r="DW477" s="64"/>
      <c r="DX477" s="64"/>
      <c r="DY477" s="64"/>
      <c r="DZ477" s="64"/>
      <c r="EA477" s="64"/>
      <c r="EB477" s="64"/>
      <c r="EC477" s="64"/>
      <c r="ED477" s="64"/>
    </row>
    <row r="478" spans="1:134" ht="15.75" customHeight="1">
      <c r="A478" s="65" t="s">
        <v>92</v>
      </c>
      <c r="B478" s="65" t="s">
        <v>400</v>
      </c>
      <c r="C478" s="65" t="s">
        <v>1081</v>
      </c>
      <c r="D478" s="65" t="str">
        <f t="shared" si="1"/>
        <v>WR</v>
      </c>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4"/>
      <c r="DL478" s="64"/>
      <c r="DM478" s="64"/>
      <c r="DN478" s="64"/>
      <c r="DO478" s="64"/>
      <c r="DP478" s="64"/>
      <c r="DQ478" s="64"/>
      <c r="DR478" s="64"/>
      <c r="DS478" s="64"/>
      <c r="DT478" s="64"/>
      <c r="DU478" s="64"/>
      <c r="DV478" s="64"/>
      <c r="DW478" s="64"/>
      <c r="DX478" s="64"/>
      <c r="DY478" s="64"/>
      <c r="DZ478" s="64"/>
      <c r="EA478" s="64"/>
      <c r="EB478" s="64"/>
      <c r="EC478" s="64"/>
      <c r="ED478" s="64"/>
    </row>
    <row r="479" spans="1:134" ht="15.75" customHeight="1">
      <c r="A479" s="65" t="s">
        <v>290</v>
      </c>
      <c r="B479" s="65" t="s">
        <v>386</v>
      </c>
      <c r="C479" s="65" t="s">
        <v>1082</v>
      </c>
      <c r="D479" s="65" t="str">
        <f t="shared" si="1"/>
        <v>K</v>
      </c>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4"/>
      <c r="DL479" s="64"/>
      <c r="DM479" s="64"/>
      <c r="DN479" s="64"/>
      <c r="DO479" s="64"/>
      <c r="DP479" s="64"/>
      <c r="DQ479" s="64"/>
      <c r="DR479" s="64"/>
      <c r="DS479" s="64"/>
      <c r="DT479" s="64"/>
      <c r="DU479" s="64"/>
      <c r="DV479" s="64"/>
      <c r="DW479" s="64"/>
      <c r="DX479" s="64"/>
      <c r="DY479" s="64"/>
      <c r="DZ479" s="64"/>
      <c r="EA479" s="64"/>
      <c r="EB479" s="64"/>
      <c r="EC479" s="64"/>
      <c r="ED479" s="64"/>
    </row>
    <row r="480" spans="1:134" ht="15.75" customHeight="1">
      <c r="A480" s="65" t="s">
        <v>109</v>
      </c>
      <c r="B480" s="65" t="s">
        <v>412</v>
      </c>
      <c r="C480" s="65" t="s">
        <v>1083</v>
      </c>
      <c r="D480" s="65" t="str">
        <f t="shared" si="1"/>
        <v>RB</v>
      </c>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4"/>
      <c r="DL480" s="64"/>
      <c r="DM480" s="64"/>
      <c r="DN480" s="64"/>
      <c r="DO480" s="64"/>
      <c r="DP480" s="64"/>
      <c r="DQ480" s="64"/>
      <c r="DR480" s="64"/>
      <c r="DS480" s="64"/>
      <c r="DT480" s="64"/>
      <c r="DU480" s="64"/>
      <c r="DV480" s="64"/>
      <c r="DW480" s="64"/>
      <c r="DX480" s="64"/>
      <c r="DY480" s="64"/>
      <c r="DZ480" s="64"/>
      <c r="EA480" s="64"/>
      <c r="EB480" s="64"/>
      <c r="EC480" s="64"/>
      <c r="ED480" s="64"/>
    </row>
    <row r="481" spans="1:134" ht="15.75" customHeight="1">
      <c r="A481" s="65" t="s">
        <v>171</v>
      </c>
      <c r="B481" s="65" t="s">
        <v>416</v>
      </c>
      <c r="C481" s="65" t="s">
        <v>1084</v>
      </c>
      <c r="D481" s="65" t="str">
        <f t="shared" si="1"/>
        <v>TE</v>
      </c>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4"/>
      <c r="DL481" s="64"/>
      <c r="DM481" s="64"/>
      <c r="DN481" s="64"/>
      <c r="DO481" s="64"/>
      <c r="DP481" s="64"/>
      <c r="DQ481" s="64"/>
      <c r="DR481" s="64"/>
      <c r="DS481" s="64"/>
      <c r="DT481" s="64"/>
      <c r="DU481" s="64"/>
      <c r="DV481" s="64"/>
      <c r="DW481" s="64"/>
      <c r="DX481" s="64"/>
      <c r="DY481" s="64"/>
      <c r="DZ481" s="64"/>
      <c r="EA481" s="64"/>
      <c r="EB481" s="64"/>
      <c r="EC481" s="64"/>
      <c r="ED481" s="64"/>
    </row>
    <row r="482" spans="1:134" ht="15.75" customHeight="1">
      <c r="A482" s="65" t="s">
        <v>1085</v>
      </c>
      <c r="B482" s="65" t="s">
        <v>404</v>
      </c>
      <c r="C482" s="65" t="s">
        <v>1086</v>
      </c>
      <c r="D482" s="65" t="str">
        <f t="shared" si="1"/>
        <v>QB</v>
      </c>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4"/>
      <c r="DL482" s="64"/>
      <c r="DM482" s="64"/>
      <c r="DN482" s="64"/>
      <c r="DO482" s="64"/>
      <c r="DP482" s="64"/>
      <c r="DQ482" s="64"/>
      <c r="DR482" s="64"/>
      <c r="DS482" s="64"/>
      <c r="DT482" s="64"/>
      <c r="DU482" s="64"/>
      <c r="DV482" s="64"/>
      <c r="DW482" s="64"/>
      <c r="DX482" s="64"/>
      <c r="DY482" s="64"/>
      <c r="DZ482" s="64"/>
      <c r="EA482" s="64"/>
      <c r="EB482" s="64"/>
      <c r="EC482" s="64"/>
      <c r="ED482" s="64"/>
    </row>
    <row r="483" spans="1:134" ht="15.75" customHeight="1">
      <c r="A483" s="65" t="s">
        <v>1087</v>
      </c>
      <c r="B483" s="65" t="s">
        <v>417</v>
      </c>
      <c r="C483" s="65" t="s">
        <v>1088</v>
      </c>
      <c r="D483" s="65" t="str">
        <f t="shared" si="1"/>
        <v>RB</v>
      </c>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4"/>
      <c r="DL483" s="64"/>
      <c r="DM483" s="64"/>
      <c r="DN483" s="64"/>
      <c r="DO483" s="64"/>
      <c r="DP483" s="64"/>
      <c r="DQ483" s="64"/>
      <c r="DR483" s="64"/>
      <c r="DS483" s="64"/>
      <c r="DT483" s="64"/>
      <c r="DU483" s="64"/>
      <c r="DV483" s="64"/>
      <c r="DW483" s="64"/>
      <c r="DX483" s="64"/>
      <c r="DY483" s="64"/>
      <c r="DZ483" s="64"/>
      <c r="EA483" s="64"/>
      <c r="EB483" s="64"/>
      <c r="EC483" s="64"/>
      <c r="ED483" s="64"/>
    </row>
    <row r="484" spans="1:134" ht="15.75" customHeight="1">
      <c r="A484" s="65" t="s">
        <v>1089</v>
      </c>
      <c r="B484" s="65" t="s">
        <v>403</v>
      </c>
      <c r="C484" s="65" t="s">
        <v>1090</v>
      </c>
      <c r="D484" s="65" t="str">
        <f t="shared" si="1"/>
        <v>RB</v>
      </c>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4"/>
      <c r="DL484" s="64"/>
      <c r="DM484" s="64"/>
      <c r="DN484" s="64"/>
      <c r="DO484" s="64"/>
      <c r="DP484" s="64"/>
      <c r="DQ484" s="64"/>
      <c r="DR484" s="64"/>
      <c r="DS484" s="64"/>
      <c r="DT484" s="64"/>
      <c r="DU484" s="64"/>
      <c r="DV484" s="64"/>
      <c r="DW484" s="64"/>
      <c r="DX484" s="64"/>
      <c r="DY484" s="64"/>
      <c r="DZ484" s="64"/>
      <c r="EA484" s="64"/>
      <c r="EB484" s="64"/>
      <c r="EC484" s="64"/>
      <c r="ED484" s="64"/>
    </row>
    <row r="485" spans="1:134" ht="15.75" customHeight="1">
      <c r="A485" s="65" t="s">
        <v>102</v>
      </c>
      <c r="B485" s="65" t="s">
        <v>387</v>
      </c>
      <c r="C485" s="65" t="s">
        <v>1091</v>
      </c>
      <c r="D485" s="65" t="str">
        <f t="shared" si="1"/>
        <v>WR</v>
      </c>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4"/>
      <c r="DL485" s="64"/>
      <c r="DM485" s="64"/>
      <c r="DN485" s="64"/>
      <c r="DO485" s="64"/>
      <c r="DP485" s="64"/>
      <c r="DQ485" s="64"/>
      <c r="DR485" s="64"/>
      <c r="DS485" s="64"/>
      <c r="DT485" s="64"/>
      <c r="DU485" s="64"/>
      <c r="DV485" s="64"/>
      <c r="DW485" s="64"/>
      <c r="DX485" s="64"/>
      <c r="DY485" s="64"/>
      <c r="DZ485" s="64"/>
      <c r="EA485" s="64"/>
      <c r="EB485" s="64"/>
      <c r="EC485" s="64"/>
      <c r="ED485" s="64"/>
    </row>
    <row r="486" spans="1:134" ht="15.75" customHeight="1">
      <c r="A486" s="65" t="s">
        <v>1092</v>
      </c>
      <c r="B486" s="65" t="s">
        <v>385</v>
      </c>
      <c r="C486" s="65" t="s">
        <v>1093</v>
      </c>
      <c r="D486" s="65" t="str">
        <f t="shared" si="1"/>
        <v>WR</v>
      </c>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4"/>
      <c r="DL486" s="64"/>
      <c r="DM486" s="64"/>
      <c r="DN486" s="64"/>
      <c r="DO486" s="64"/>
      <c r="DP486" s="64"/>
      <c r="DQ486" s="64"/>
      <c r="DR486" s="64"/>
      <c r="DS486" s="64"/>
      <c r="DT486" s="64"/>
      <c r="DU486" s="64"/>
      <c r="DV486" s="64"/>
      <c r="DW486" s="64"/>
      <c r="DX486" s="64"/>
      <c r="DY486" s="64"/>
      <c r="DZ486" s="64"/>
      <c r="EA486" s="64"/>
      <c r="EB486" s="64"/>
      <c r="EC486" s="64"/>
      <c r="ED486" s="64"/>
    </row>
    <row r="487" spans="1:134" ht="15.75" customHeight="1">
      <c r="A487" s="14"/>
      <c r="B487" s="14"/>
      <c r="C487" s="14"/>
      <c r="D487" s="14" t="str">
        <f t="shared" si="1"/>
        <v/>
      </c>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4"/>
      <c r="DL487" s="64"/>
      <c r="DM487" s="64"/>
      <c r="DN487" s="64"/>
      <c r="DO487" s="64"/>
      <c r="DP487" s="64"/>
      <c r="DQ487" s="64"/>
      <c r="DR487" s="64"/>
      <c r="DS487" s="64"/>
      <c r="DT487" s="64"/>
      <c r="DU487" s="64"/>
      <c r="DV487" s="64"/>
      <c r="DW487" s="64"/>
      <c r="DX487" s="64"/>
      <c r="DY487" s="64"/>
      <c r="DZ487" s="64"/>
      <c r="EA487" s="64"/>
      <c r="EB487" s="64"/>
      <c r="EC487" s="64"/>
      <c r="ED487" s="64"/>
    </row>
    <row r="488" spans="1:134" ht="15.75" customHeight="1">
      <c r="A488" s="14"/>
      <c r="B488" s="14"/>
      <c r="C488" s="14"/>
      <c r="D488" s="14" t="str">
        <f t="shared" si="1"/>
        <v/>
      </c>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4"/>
      <c r="DL488" s="64"/>
      <c r="DM488" s="64"/>
      <c r="DN488" s="64"/>
      <c r="DO488" s="64"/>
      <c r="DP488" s="64"/>
      <c r="DQ488" s="64"/>
      <c r="DR488" s="64"/>
      <c r="DS488" s="64"/>
      <c r="DT488" s="64"/>
      <c r="DU488" s="64"/>
      <c r="DV488" s="64"/>
      <c r="DW488" s="64"/>
      <c r="DX488" s="64"/>
      <c r="DY488" s="64"/>
      <c r="DZ488" s="64"/>
      <c r="EA488" s="64"/>
      <c r="EB488" s="64"/>
      <c r="EC488" s="64"/>
      <c r="ED488" s="64"/>
    </row>
    <row r="489" spans="1:134" ht="15.75" customHeight="1">
      <c r="A489" s="14"/>
      <c r="B489" s="14"/>
      <c r="C489" s="14"/>
      <c r="D489" s="14" t="str">
        <f t="shared" si="1"/>
        <v/>
      </c>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4"/>
      <c r="DL489" s="64"/>
      <c r="DM489" s="64"/>
      <c r="DN489" s="64"/>
      <c r="DO489" s="64"/>
      <c r="DP489" s="64"/>
      <c r="DQ489" s="64"/>
      <c r="DR489" s="64"/>
      <c r="DS489" s="64"/>
      <c r="DT489" s="64"/>
      <c r="DU489" s="64"/>
      <c r="DV489" s="64"/>
      <c r="DW489" s="64"/>
      <c r="DX489" s="64"/>
      <c r="DY489" s="64"/>
      <c r="DZ489" s="64"/>
      <c r="EA489" s="64"/>
      <c r="EB489" s="64"/>
      <c r="EC489" s="64"/>
      <c r="ED489" s="64"/>
    </row>
    <row r="490" spans="1:134" ht="15.75" customHeight="1">
      <c r="A490" s="14"/>
      <c r="B490" s="14"/>
      <c r="C490" s="14"/>
      <c r="D490" s="14" t="str">
        <f t="shared" si="1"/>
        <v/>
      </c>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4"/>
      <c r="DL490" s="64"/>
      <c r="DM490" s="64"/>
      <c r="DN490" s="64"/>
      <c r="DO490" s="64"/>
      <c r="DP490" s="64"/>
      <c r="DQ490" s="64"/>
      <c r="DR490" s="64"/>
      <c r="DS490" s="64"/>
      <c r="DT490" s="64"/>
      <c r="DU490" s="64"/>
      <c r="DV490" s="64"/>
      <c r="DW490" s="64"/>
      <c r="DX490" s="64"/>
      <c r="DY490" s="64"/>
      <c r="DZ490" s="64"/>
      <c r="EA490" s="64"/>
      <c r="EB490" s="64"/>
      <c r="EC490" s="64"/>
      <c r="ED490" s="64"/>
    </row>
    <row r="491" spans="1:134" ht="15.75" customHeight="1">
      <c r="A491" s="14"/>
      <c r="B491" s="14"/>
      <c r="C491" s="14"/>
      <c r="D491" s="14" t="str">
        <f t="shared" si="1"/>
        <v/>
      </c>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4"/>
      <c r="DL491" s="64"/>
      <c r="DM491" s="64"/>
      <c r="DN491" s="64"/>
      <c r="DO491" s="64"/>
      <c r="DP491" s="64"/>
      <c r="DQ491" s="64"/>
      <c r="DR491" s="64"/>
      <c r="DS491" s="64"/>
      <c r="DT491" s="64"/>
      <c r="DU491" s="64"/>
      <c r="DV491" s="64"/>
      <c r="DW491" s="64"/>
      <c r="DX491" s="64"/>
      <c r="DY491" s="64"/>
      <c r="DZ491" s="64"/>
      <c r="EA491" s="64"/>
      <c r="EB491" s="64"/>
      <c r="EC491" s="64"/>
      <c r="ED491" s="64"/>
    </row>
    <row r="492" spans="1:134" ht="15.75" customHeight="1">
      <c r="A492" s="14"/>
      <c r="B492" s="14"/>
      <c r="C492" s="14"/>
      <c r="D492" s="14" t="str">
        <f t="shared" si="1"/>
        <v/>
      </c>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4"/>
      <c r="DL492" s="64"/>
      <c r="DM492" s="64"/>
      <c r="DN492" s="64"/>
      <c r="DO492" s="64"/>
      <c r="DP492" s="64"/>
      <c r="DQ492" s="64"/>
      <c r="DR492" s="64"/>
      <c r="DS492" s="64"/>
      <c r="DT492" s="64"/>
      <c r="DU492" s="64"/>
      <c r="DV492" s="64"/>
      <c r="DW492" s="64"/>
      <c r="DX492" s="64"/>
      <c r="DY492" s="64"/>
      <c r="DZ492" s="64"/>
      <c r="EA492" s="64"/>
      <c r="EB492" s="64"/>
      <c r="EC492" s="64"/>
      <c r="ED492" s="64"/>
    </row>
    <row r="493" spans="1:134" ht="15.75" customHeight="1">
      <c r="A493" s="14"/>
      <c r="B493" s="14"/>
      <c r="C493" s="14"/>
      <c r="D493" s="14" t="str">
        <f t="shared" si="1"/>
        <v/>
      </c>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4"/>
      <c r="DL493" s="64"/>
      <c r="DM493" s="64"/>
      <c r="DN493" s="64"/>
      <c r="DO493" s="64"/>
      <c r="DP493" s="64"/>
      <c r="DQ493" s="64"/>
      <c r="DR493" s="64"/>
      <c r="DS493" s="64"/>
      <c r="DT493" s="64"/>
      <c r="DU493" s="64"/>
      <c r="DV493" s="64"/>
      <c r="DW493" s="64"/>
      <c r="DX493" s="64"/>
      <c r="DY493" s="64"/>
      <c r="DZ493" s="64"/>
      <c r="EA493" s="64"/>
      <c r="EB493" s="64"/>
      <c r="EC493" s="64"/>
      <c r="ED493" s="64"/>
    </row>
    <row r="494" spans="1:134" ht="15.75" customHeight="1">
      <c r="A494" s="14"/>
      <c r="B494" s="14"/>
      <c r="C494" s="14"/>
      <c r="D494" s="14" t="str">
        <f t="shared" si="1"/>
        <v/>
      </c>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4"/>
      <c r="DL494" s="64"/>
      <c r="DM494" s="64"/>
      <c r="DN494" s="64"/>
      <c r="DO494" s="64"/>
      <c r="DP494" s="64"/>
      <c r="DQ494" s="64"/>
      <c r="DR494" s="64"/>
      <c r="DS494" s="64"/>
      <c r="DT494" s="64"/>
      <c r="DU494" s="64"/>
      <c r="DV494" s="64"/>
      <c r="DW494" s="64"/>
      <c r="DX494" s="64"/>
      <c r="DY494" s="64"/>
      <c r="DZ494" s="64"/>
      <c r="EA494" s="64"/>
      <c r="EB494" s="64"/>
      <c r="EC494" s="64"/>
      <c r="ED494" s="64"/>
    </row>
    <row r="495" spans="1:134" ht="15.75" customHeight="1">
      <c r="A495" s="14"/>
      <c r="B495" s="14"/>
      <c r="C495" s="14"/>
      <c r="D495" s="14" t="str">
        <f t="shared" si="1"/>
        <v/>
      </c>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4"/>
      <c r="DL495" s="64"/>
      <c r="DM495" s="64"/>
      <c r="DN495" s="64"/>
      <c r="DO495" s="64"/>
      <c r="DP495" s="64"/>
      <c r="DQ495" s="64"/>
      <c r="DR495" s="64"/>
      <c r="DS495" s="64"/>
      <c r="DT495" s="64"/>
      <c r="DU495" s="64"/>
      <c r="DV495" s="64"/>
      <c r="DW495" s="64"/>
      <c r="DX495" s="64"/>
      <c r="DY495" s="64"/>
      <c r="DZ495" s="64"/>
      <c r="EA495" s="64"/>
      <c r="EB495" s="64"/>
      <c r="EC495" s="64"/>
      <c r="ED495" s="64"/>
    </row>
    <row r="496" spans="1:134" ht="15.75" customHeight="1">
      <c r="A496" s="14"/>
      <c r="B496" s="14"/>
      <c r="C496" s="14"/>
      <c r="D496" s="14" t="str">
        <f t="shared" si="1"/>
        <v/>
      </c>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4"/>
      <c r="DL496" s="64"/>
      <c r="DM496" s="64"/>
      <c r="DN496" s="64"/>
      <c r="DO496" s="64"/>
      <c r="DP496" s="64"/>
      <c r="DQ496" s="64"/>
      <c r="DR496" s="64"/>
      <c r="DS496" s="64"/>
      <c r="DT496" s="64"/>
      <c r="DU496" s="64"/>
      <c r="DV496" s="64"/>
      <c r="DW496" s="64"/>
      <c r="DX496" s="64"/>
      <c r="DY496" s="64"/>
      <c r="DZ496" s="64"/>
      <c r="EA496" s="64"/>
      <c r="EB496" s="64"/>
      <c r="EC496" s="64"/>
      <c r="ED496" s="64"/>
    </row>
    <row r="497" spans="1:134" ht="15.75" customHeight="1">
      <c r="A497" s="14"/>
      <c r="B497" s="14"/>
      <c r="C497" s="14"/>
      <c r="D497" s="14" t="str">
        <f t="shared" si="1"/>
        <v/>
      </c>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4"/>
      <c r="DL497" s="64"/>
      <c r="DM497" s="64"/>
      <c r="DN497" s="64"/>
      <c r="DO497" s="64"/>
      <c r="DP497" s="64"/>
      <c r="DQ497" s="64"/>
      <c r="DR497" s="64"/>
      <c r="DS497" s="64"/>
      <c r="DT497" s="64"/>
      <c r="DU497" s="64"/>
      <c r="DV497" s="64"/>
      <c r="DW497" s="64"/>
      <c r="DX497" s="64"/>
      <c r="DY497" s="64"/>
      <c r="DZ497" s="64"/>
      <c r="EA497" s="64"/>
      <c r="EB497" s="64"/>
      <c r="EC497" s="64"/>
      <c r="ED497" s="64"/>
    </row>
    <row r="498" spans="1:134" ht="15.75" customHeight="1">
      <c r="A498" s="14"/>
      <c r="B498" s="14"/>
      <c r="C498" s="14"/>
      <c r="D498" s="14" t="str">
        <f t="shared" si="1"/>
        <v/>
      </c>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4"/>
      <c r="DL498" s="64"/>
      <c r="DM498" s="64"/>
      <c r="DN498" s="64"/>
      <c r="DO498" s="64"/>
      <c r="DP498" s="64"/>
      <c r="DQ498" s="64"/>
      <c r="DR498" s="64"/>
      <c r="DS498" s="64"/>
      <c r="DT498" s="64"/>
      <c r="DU498" s="64"/>
      <c r="DV498" s="64"/>
      <c r="DW498" s="64"/>
      <c r="DX498" s="64"/>
      <c r="DY498" s="64"/>
      <c r="DZ498" s="64"/>
      <c r="EA498" s="64"/>
      <c r="EB498" s="64"/>
      <c r="EC498" s="64"/>
      <c r="ED498" s="64"/>
    </row>
    <row r="499" spans="1:134" ht="15.75" customHeight="1">
      <c r="A499" s="14"/>
      <c r="B499" s="14"/>
      <c r="C499" s="14"/>
      <c r="D499" s="14" t="str">
        <f t="shared" si="1"/>
        <v/>
      </c>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4"/>
      <c r="DL499" s="64"/>
      <c r="DM499" s="64"/>
      <c r="DN499" s="64"/>
      <c r="DO499" s="64"/>
      <c r="DP499" s="64"/>
      <c r="DQ499" s="64"/>
      <c r="DR499" s="64"/>
      <c r="DS499" s="64"/>
      <c r="DT499" s="64"/>
      <c r="DU499" s="64"/>
      <c r="DV499" s="64"/>
      <c r="DW499" s="64"/>
      <c r="DX499" s="64"/>
      <c r="DY499" s="64"/>
      <c r="DZ499" s="64"/>
      <c r="EA499" s="64"/>
      <c r="EB499" s="64"/>
      <c r="EC499" s="64"/>
      <c r="ED499" s="64"/>
    </row>
    <row r="500" spans="1:134" ht="15.75" customHeight="1">
      <c r="A500" s="14"/>
      <c r="B500" s="14"/>
      <c r="C500" s="14"/>
      <c r="D500" s="14" t="str">
        <f t="shared" si="1"/>
        <v/>
      </c>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4"/>
      <c r="DL500" s="64"/>
      <c r="DM500" s="64"/>
      <c r="DN500" s="64"/>
      <c r="DO500" s="64"/>
      <c r="DP500" s="64"/>
      <c r="DQ500" s="64"/>
      <c r="DR500" s="64"/>
      <c r="DS500" s="64"/>
      <c r="DT500" s="64"/>
      <c r="DU500" s="64"/>
      <c r="DV500" s="64"/>
      <c r="DW500" s="64"/>
      <c r="DX500" s="64"/>
      <c r="DY500" s="64"/>
      <c r="DZ500" s="64"/>
      <c r="EA500" s="64"/>
      <c r="EB500" s="64"/>
      <c r="EC500" s="64"/>
      <c r="ED500" s="64"/>
    </row>
    <row r="501" spans="1:134" ht="15.75" customHeight="1">
      <c r="A501" s="14"/>
      <c r="B501" s="14"/>
      <c r="C501" s="14"/>
      <c r="D501" s="14" t="str">
        <f t="shared" si="1"/>
        <v/>
      </c>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4"/>
      <c r="DL501" s="64"/>
      <c r="DM501" s="64"/>
      <c r="DN501" s="64"/>
      <c r="DO501" s="64"/>
      <c r="DP501" s="64"/>
      <c r="DQ501" s="64"/>
      <c r="DR501" s="64"/>
      <c r="DS501" s="64"/>
      <c r="DT501" s="64"/>
      <c r="DU501" s="64"/>
      <c r="DV501" s="64"/>
      <c r="DW501" s="64"/>
      <c r="DX501" s="64"/>
      <c r="DY501" s="64"/>
      <c r="DZ501" s="64"/>
      <c r="EA501" s="64"/>
      <c r="EB501" s="64"/>
      <c r="EC501" s="64"/>
      <c r="ED501" s="64"/>
    </row>
    <row r="502" spans="1:134" ht="15.75" customHeight="1">
      <c r="A502" s="14"/>
      <c r="B502" s="14"/>
      <c r="C502" s="14"/>
      <c r="D502" s="14" t="str">
        <f t="shared" si="1"/>
        <v/>
      </c>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4"/>
      <c r="DL502" s="64"/>
      <c r="DM502" s="64"/>
      <c r="DN502" s="64"/>
      <c r="DO502" s="64"/>
      <c r="DP502" s="64"/>
      <c r="DQ502" s="64"/>
      <c r="DR502" s="64"/>
      <c r="DS502" s="64"/>
      <c r="DT502" s="64"/>
      <c r="DU502" s="64"/>
      <c r="DV502" s="64"/>
      <c r="DW502" s="64"/>
      <c r="DX502" s="64"/>
      <c r="DY502" s="64"/>
      <c r="DZ502" s="64"/>
      <c r="EA502" s="64"/>
      <c r="EB502" s="64"/>
      <c r="EC502" s="64"/>
      <c r="ED502" s="64"/>
    </row>
    <row r="503" spans="1:134" ht="15.75" customHeight="1">
      <c r="A503" s="14"/>
      <c r="B503" s="14"/>
      <c r="C503" s="14"/>
      <c r="D503" s="14" t="str">
        <f t="shared" si="1"/>
        <v/>
      </c>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4"/>
      <c r="DL503" s="64"/>
      <c r="DM503" s="64"/>
      <c r="DN503" s="64"/>
      <c r="DO503" s="64"/>
      <c r="DP503" s="64"/>
      <c r="DQ503" s="64"/>
      <c r="DR503" s="64"/>
      <c r="DS503" s="64"/>
      <c r="DT503" s="64"/>
      <c r="DU503" s="64"/>
      <c r="DV503" s="64"/>
      <c r="DW503" s="64"/>
      <c r="DX503" s="64"/>
      <c r="DY503" s="64"/>
      <c r="DZ503" s="64"/>
      <c r="EA503" s="64"/>
      <c r="EB503" s="64"/>
      <c r="EC503" s="64"/>
      <c r="ED503" s="64"/>
    </row>
    <row r="504" spans="1:134" ht="15.75" customHeight="1">
      <c r="A504" s="14"/>
      <c r="B504" s="14"/>
      <c r="C504" s="14"/>
      <c r="D504" s="14" t="str">
        <f t="shared" si="1"/>
        <v/>
      </c>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4"/>
      <c r="DL504" s="64"/>
      <c r="DM504" s="64"/>
      <c r="DN504" s="64"/>
      <c r="DO504" s="64"/>
      <c r="DP504" s="64"/>
      <c r="DQ504" s="64"/>
      <c r="DR504" s="64"/>
      <c r="DS504" s="64"/>
      <c r="DT504" s="64"/>
      <c r="DU504" s="64"/>
      <c r="DV504" s="64"/>
      <c r="DW504" s="64"/>
      <c r="DX504" s="64"/>
      <c r="DY504" s="64"/>
      <c r="DZ504" s="64"/>
      <c r="EA504" s="64"/>
      <c r="EB504" s="64"/>
      <c r="EC504" s="64"/>
      <c r="ED504" s="64"/>
    </row>
    <row r="505" spans="1:134" ht="15.75" customHeight="1">
      <c r="A505" s="14"/>
      <c r="B505" s="14"/>
      <c r="C505" s="14"/>
      <c r="D505" s="14" t="str">
        <f t="shared" si="1"/>
        <v/>
      </c>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4"/>
      <c r="DL505" s="64"/>
      <c r="DM505" s="64"/>
      <c r="DN505" s="64"/>
      <c r="DO505" s="64"/>
      <c r="DP505" s="64"/>
      <c r="DQ505" s="64"/>
      <c r="DR505" s="64"/>
      <c r="DS505" s="64"/>
      <c r="DT505" s="64"/>
      <c r="DU505" s="64"/>
      <c r="DV505" s="64"/>
      <c r="DW505" s="64"/>
      <c r="DX505" s="64"/>
      <c r="DY505" s="64"/>
      <c r="DZ505" s="64"/>
      <c r="EA505" s="64"/>
      <c r="EB505" s="64"/>
      <c r="EC505" s="64"/>
      <c r="ED505" s="64"/>
    </row>
    <row r="506" spans="1:134" ht="15.75" customHeight="1">
      <c r="A506" s="14"/>
      <c r="B506" s="14"/>
      <c r="C506" s="14"/>
      <c r="D506" s="14" t="str">
        <f t="shared" si="1"/>
        <v/>
      </c>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4"/>
      <c r="DL506" s="64"/>
      <c r="DM506" s="64"/>
      <c r="DN506" s="64"/>
      <c r="DO506" s="64"/>
      <c r="DP506" s="64"/>
      <c r="DQ506" s="64"/>
      <c r="DR506" s="64"/>
      <c r="DS506" s="64"/>
      <c r="DT506" s="64"/>
      <c r="DU506" s="64"/>
      <c r="DV506" s="64"/>
      <c r="DW506" s="64"/>
      <c r="DX506" s="64"/>
      <c r="DY506" s="64"/>
      <c r="DZ506" s="64"/>
      <c r="EA506" s="64"/>
      <c r="EB506" s="64"/>
      <c r="EC506" s="64"/>
      <c r="ED506" s="64"/>
    </row>
    <row r="507" spans="1:134" ht="15.75" customHeight="1">
      <c r="A507" s="14"/>
      <c r="B507" s="14"/>
      <c r="C507" s="14"/>
      <c r="D507" s="14" t="str">
        <f t="shared" si="1"/>
        <v/>
      </c>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4"/>
      <c r="DL507" s="64"/>
      <c r="DM507" s="64"/>
      <c r="DN507" s="64"/>
      <c r="DO507" s="64"/>
      <c r="DP507" s="64"/>
      <c r="DQ507" s="64"/>
      <c r="DR507" s="64"/>
      <c r="DS507" s="64"/>
      <c r="DT507" s="64"/>
      <c r="DU507" s="64"/>
      <c r="DV507" s="64"/>
      <c r="DW507" s="64"/>
      <c r="DX507" s="64"/>
      <c r="DY507" s="64"/>
      <c r="DZ507" s="64"/>
      <c r="EA507" s="64"/>
      <c r="EB507" s="64"/>
      <c r="EC507" s="64"/>
      <c r="ED507" s="64"/>
    </row>
    <row r="508" spans="1:134" ht="15.75" customHeight="1">
      <c r="A508" s="14"/>
      <c r="B508" s="14"/>
      <c r="C508" s="14"/>
      <c r="D508" s="14" t="str">
        <f t="shared" si="1"/>
        <v/>
      </c>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4"/>
      <c r="DL508" s="64"/>
      <c r="DM508" s="64"/>
      <c r="DN508" s="64"/>
      <c r="DO508" s="64"/>
      <c r="DP508" s="64"/>
      <c r="DQ508" s="64"/>
      <c r="DR508" s="64"/>
      <c r="DS508" s="64"/>
      <c r="DT508" s="64"/>
      <c r="DU508" s="64"/>
      <c r="DV508" s="64"/>
      <c r="DW508" s="64"/>
      <c r="DX508" s="64"/>
      <c r="DY508" s="64"/>
      <c r="DZ508" s="64"/>
      <c r="EA508" s="64"/>
      <c r="EB508" s="64"/>
      <c r="EC508" s="64"/>
      <c r="ED508" s="64"/>
    </row>
    <row r="509" spans="1:134" ht="15.75" customHeight="1">
      <c r="A509" s="14"/>
      <c r="B509" s="14"/>
      <c r="C509" s="14"/>
      <c r="D509" s="14" t="str">
        <f t="shared" si="1"/>
        <v/>
      </c>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4"/>
      <c r="DL509" s="64"/>
      <c r="DM509" s="64"/>
      <c r="DN509" s="64"/>
      <c r="DO509" s="64"/>
      <c r="DP509" s="64"/>
      <c r="DQ509" s="64"/>
      <c r="DR509" s="64"/>
      <c r="DS509" s="64"/>
      <c r="DT509" s="64"/>
      <c r="DU509" s="64"/>
      <c r="DV509" s="64"/>
      <c r="DW509" s="64"/>
      <c r="DX509" s="64"/>
      <c r="DY509" s="64"/>
      <c r="DZ509" s="64"/>
      <c r="EA509" s="64"/>
      <c r="EB509" s="64"/>
      <c r="EC509" s="64"/>
      <c r="ED509" s="64"/>
    </row>
    <row r="510" spans="1:134" ht="15.75" customHeight="1">
      <c r="A510" s="14"/>
      <c r="B510" s="14"/>
      <c r="C510" s="14"/>
      <c r="D510" s="14" t="str">
        <f t="shared" si="1"/>
        <v/>
      </c>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4"/>
      <c r="DL510" s="64"/>
      <c r="DM510" s="64"/>
      <c r="DN510" s="64"/>
      <c r="DO510" s="64"/>
      <c r="DP510" s="64"/>
      <c r="DQ510" s="64"/>
      <c r="DR510" s="64"/>
      <c r="DS510" s="64"/>
      <c r="DT510" s="64"/>
      <c r="DU510" s="64"/>
      <c r="DV510" s="64"/>
      <c r="DW510" s="64"/>
      <c r="DX510" s="64"/>
      <c r="DY510" s="64"/>
      <c r="DZ510" s="64"/>
      <c r="EA510" s="64"/>
      <c r="EB510" s="64"/>
      <c r="EC510" s="64"/>
      <c r="ED510" s="64"/>
    </row>
    <row r="511" spans="1:134" ht="15.75" customHeight="1">
      <c r="A511" s="14"/>
      <c r="B511" s="14"/>
      <c r="C511" s="14"/>
      <c r="D511" s="14" t="str">
        <f t="shared" si="1"/>
        <v/>
      </c>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4"/>
      <c r="DL511" s="64"/>
      <c r="DM511" s="64"/>
      <c r="DN511" s="64"/>
      <c r="DO511" s="64"/>
      <c r="DP511" s="64"/>
      <c r="DQ511" s="64"/>
      <c r="DR511" s="64"/>
      <c r="DS511" s="64"/>
      <c r="DT511" s="64"/>
      <c r="DU511" s="64"/>
      <c r="DV511" s="64"/>
      <c r="DW511" s="64"/>
      <c r="DX511" s="64"/>
      <c r="DY511" s="64"/>
      <c r="DZ511" s="64"/>
      <c r="EA511" s="64"/>
      <c r="EB511" s="64"/>
      <c r="EC511" s="64"/>
      <c r="ED511" s="64"/>
    </row>
    <row r="512" spans="1:134" ht="15.75" customHeight="1">
      <c r="A512" s="14"/>
      <c r="B512" s="14"/>
      <c r="C512" s="14"/>
      <c r="D512" s="14" t="str">
        <f t="shared" ref="D512:D517" si="2">IF(LEFT(C512,3)="DST","DEF",IF(LEFT(C512,1)="K","K",LEFT(C512,2)))</f>
        <v/>
      </c>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4"/>
      <c r="DL512" s="64"/>
      <c r="DM512" s="64"/>
      <c r="DN512" s="64"/>
      <c r="DO512" s="64"/>
      <c r="DP512" s="64"/>
      <c r="DQ512" s="64"/>
      <c r="DR512" s="64"/>
      <c r="DS512" s="64"/>
      <c r="DT512" s="64"/>
      <c r="DU512" s="64"/>
      <c r="DV512" s="64"/>
      <c r="DW512" s="64"/>
      <c r="DX512" s="64"/>
      <c r="DY512" s="64"/>
      <c r="DZ512" s="64"/>
      <c r="EA512" s="64"/>
      <c r="EB512" s="64"/>
      <c r="EC512" s="64"/>
      <c r="ED512" s="64"/>
    </row>
    <row r="513" spans="1:134" ht="15.75" customHeight="1">
      <c r="A513" s="14"/>
      <c r="B513" s="14"/>
      <c r="C513" s="14"/>
      <c r="D513" s="14" t="str">
        <f t="shared" si="2"/>
        <v/>
      </c>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4"/>
      <c r="DL513" s="64"/>
      <c r="DM513" s="64"/>
      <c r="DN513" s="64"/>
      <c r="DO513" s="64"/>
      <c r="DP513" s="64"/>
      <c r="DQ513" s="64"/>
      <c r="DR513" s="64"/>
      <c r="DS513" s="64"/>
      <c r="DT513" s="64"/>
      <c r="DU513" s="64"/>
      <c r="DV513" s="64"/>
      <c r="DW513" s="64"/>
      <c r="DX513" s="64"/>
      <c r="DY513" s="64"/>
      <c r="DZ513" s="64"/>
      <c r="EA513" s="64"/>
      <c r="EB513" s="64"/>
      <c r="EC513" s="64"/>
      <c r="ED513" s="64"/>
    </row>
    <row r="514" spans="1:134" ht="15.75" customHeight="1">
      <c r="A514" s="14"/>
      <c r="B514" s="14"/>
      <c r="C514" s="14"/>
      <c r="D514" s="14" t="str">
        <f t="shared" si="2"/>
        <v/>
      </c>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4"/>
      <c r="DL514" s="64"/>
      <c r="DM514" s="64"/>
      <c r="DN514" s="64"/>
      <c r="DO514" s="64"/>
      <c r="DP514" s="64"/>
      <c r="DQ514" s="64"/>
      <c r="DR514" s="64"/>
      <c r="DS514" s="64"/>
      <c r="DT514" s="64"/>
      <c r="DU514" s="64"/>
      <c r="DV514" s="64"/>
      <c r="DW514" s="64"/>
      <c r="DX514" s="64"/>
      <c r="DY514" s="64"/>
      <c r="DZ514" s="64"/>
      <c r="EA514" s="64"/>
      <c r="EB514" s="64"/>
      <c r="EC514" s="64"/>
      <c r="ED514" s="64"/>
    </row>
    <row r="515" spans="1:134" ht="15.75" customHeight="1">
      <c r="A515" s="14"/>
      <c r="B515" s="14"/>
      <c r="C515" s="14"/>
      <c r="D515" s="14" t="str">
        <f t="shared" si="2"/>
        <v/>
      </c>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4"/>
      <c r="DL515" s="64"/>
      <c r="DM515" s="64"/>
      <c r="DN515" s="64"/>
      <c r="DO515" s="64"/>
      <c r="DP515" s="64"/>
      <c r="DQ515" s="64"/>
      <c r="DR515" s="64"/>
      <c r="DS515" s="64"/>
      <c r="DT515" s="64"/>
      <c r="DU515" s="64"/>
      <c r="DV515" s="64"/>
      <c r="DW515" s="64"/>
      <c r="DX515" s="64"/>
      <c r="DY515" s="64"/>
      <c r="DZ515" s="64"/>
      <c r="EA515" s="64"/>
      <c r="EB515" s="64"/>
      <c r="EC515" s="64"/>
      <c r="ED515" s="64"/>
    </row>
    <row r="516" spans="1:134" ht="15.75" customHeight="1">
      <c r="A516" s="14"/>
      <c r="B516" s="14"/>
      <c r="C516" s="14"/>
      <c r="D516" s="14" t="str">
        <f t="shared" si="2"/>
        <v/>
      </c>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4"/>
      <c r="DL516" s="64"/>
      <c r="DM516" s="64"/>
      <c r="DN516" s="64"/>
      <c r="DO516" s="64"/>
      <c r="DP516" s="64"/>
      <c r="DQ516" s="64"/>
      <c r="DR516" s="64"/>
      <c r="DS516" s="64"/>
      <c r="DT516" s="64"/>
      <c r="DU516" s="64"/>
      <c r="DV516" s="64"/>
      <c r="DW516" s="64"/>
      <c r="DX516" s="64"/>
      <c r="DY516" s="64"/>
      <c r="DZ516" s="64"/>
      <c r="EA516" s="64"/>
      <c r="EB516" s="64"/>
      <c r="EC516" s="64"/>
      <c r="ED516" s="64"/>
    </row>
    <row r="517" spans="1:134" ht="15.75" customHeight="1">
      <c r="A517" s="14"/>
      <c r="B517" s="14"/>
      <c r="C517" s="14"/>
      <c r="D517" s="14" t="str">
        <f t="shared" si="2"/>
        <v/>
      </c>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4"/>
      <c r="DL517" s="64"/>
      <c r="DM517" s="64"/>
      <c r="DN517" s="64"/>
      <c r="DO517" s="64"/>
      <c r="DP517" s="64"/>
      <c r="DQ517" s="64"/>
      <c r="DR517" s="64"/>
      <c r="DS517" s="64"/>
      <c r="DT517" s="64"/>
      <c r="DU517" s="64"/>
      <c r="DV517" s="64"/>
      <c r="DW517" s="64"/>
      <c r="DX517" s="64"/>
      <c r="DY517" s="64"/>
      <c r="DZ517" s="64"/>
      <c r="EA517" s="64"/>
      <c r="EB517" s="64"/>
      <c r="EC517" s="64"/>
      <c r="ED517" s="64"/>
    </row>
    <row r="518" spans="1:134" ht="15.75" customHeight="1">
      <c r="A518" s="14"/>
      <c r="B518" s="14"/>
      <c r="C518" s="1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4"/>
      <c r="DL518" s="64"/>
      <c r="DM518" s="64"/>
      <c r="DN518" s="64"/>
      <c r="DO518" s="64"/>
      <c r="DP518" s="64"/>
      <c r="DQ518" s="64"/>
      <c r="DR518" s="64"/>
      <c r="DS518" s="64"/>
      <c r="DT518" s="64"/>
      <c r="DU518" s="64"/>
      <c r="DV518" s="64"/>
      <c r="DW518" s="64"/>
      <c r="DX518" s="64"/>
      <c r="DY518" s="64"/>
      <c r="DZ518" s="64"/>
      <c r="EA518" s="64"/>
      <c r="EB518" s="64"/>
      <c r="EC518" s="64"/>
      <c r="ED518" s="64"/>
    </row>
    <row r="519" spans="1:134" ht="15.75" customHeight="1">
      <c r="A519" s="14"/>
      <c r="B519" s="14"/>
      <c r="C519" s="1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4"/>
      <c r="DL519" s="64"/>
      <c r="DM519" s="64"/>
      <c r="DN519" s="64"/>
      <c r="DO519" s="64"/>
      <c r="DP519" s="64"/>
      <c r="DQ519" s="64"/>
      <c r="DR519" s="64"/>
      <c r="DS519" s="64"/>
      <c r="DT519" s="64"/>
      <c r="DU519" s="64"/>
      <c r="DV519" s="64"/>
      <c r="DW519" s="64"/>
      <c r="DX519" s="64"/>
      <c r="DY519" s="64"/>
      <c r="DZ519" s="64"/>
      <c r="EA519" s="64"/>
      <c r="EB519" s="64"/>
      <c r="EC519" s="64"/>
      <c r="ED519" s="64"/>
    </row>
    <row r="520" spans="1:134" ht="15.75" customHeight="1">
      <c r="A520" s="14"/>
      <c r="B520" s="14"/>
      <c r="C520" s="1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4"/>
      <c r="DL520" s="64"/>
      <c r="DM520" s="64"/>
      <c r="DN520" s="64"/>
      <c r="DO520" s="64"/>
      <c r="DP520" s="64"/>
      <c r="DQ520" s="64"/>
      <c r="DR520" s="64"/>
      <c r="DS520" s="64"/>
      <c r="DT520" s="64"/>
      <c r="DU520" s="64"/>
      <c r="DV520" s="64"/>
      <c r="DW520" s="64"/>
      <c r="DX520" s="64"/>
      <c r="DY520" s="64"/>
      <c r="DZ520" s="64"/>
      <c r="EA520" s="64"/>
      <c r="EB520" s="64"/>
      <c r="EC520" s="64"/>
      <c r="ED520" s="64"/>
    </row>
    <row r="521" spans="1:134" ht="15.75" customHeight="1">
      <c r="A521" s="14"/>
      <c r="B521" s="14"/>
      <c r="C521" s="1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4"/>
      <c r="DL521" s="64"/>
      <c r="DM521" s="64"/>
      <c r="DN521" s="64"/>
      <c r="DO521" s="64"/>
      <c r="DP521" s="64"/>
      <c r="DQ521" s="64"/>
      <c r="DR521" s="64"/>
      <c r="DS521" s="64"/>
      <c r="DT521" s="64"/>
      <c r="DU521" s="64"/>
      <c r="DV521" s="64"/>
      <c r="DW521" s="64"/>
      <c r="DX521" s="64"/>
      <c r="DY521" s="64"/>
      <c r="DZ521" s="64"/>
      <c r="EA521" s="64"/>
      <c r="EB521" s="64"/>
      <c r="EC521" s="64"/>
      <c r="ED521" s="64"/>
    </row>
    <row r="522" spans="1:134" ht="15.75" customHeight="1">
      <c r="A522" s="14"/>
      <c r="B522" s="14"/>
      <c r="C522" s="1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4"/>
      <c r="DL522" s="64"/>
      <c r="DM522" s="64"/>
      <c r="DN522" s="64"/>
      <c r="DO522" s="64"/>
      <c r="DP522" s="64"/>
      <c r="DQ522" s="64"/>
      <c r="DR522" s="64"/>
      <c r="DS522" s="64"/>
      <c r="DT522" s="64"/>
      <c r="DU522" s="64"/>
      <c r="DV522" s="64"/>
      <c r="DW522" s="64"/>
      <c r="DX522" s="64"/>
      <c r="DY522" s="64"/>
      <c r="DZ522" s="64"/>
      <c r="EA522" s="64"/>
      <c r="EB522" s="64"/>
      <c r="EC522" s="64"/>
      <c r="ED522" s="64"/>
    </row>
    <row r="523" spans="1:134" ht="15.75" customHeight="1">
      <c r="A523" s="14"/>
      <c r="B523" s="14"/>
      <c r="C523" s="1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4"/>
      <c r="DL523" s="64"/>
      <c r="DM523" s="64"/>
      <c r="DN523" s="64"/>
      <c r="DO523" s="64"/>
      <c r="DP523" s="64"/>
      <c r="DQ523" s="64"/>
      <c r="DR523" s="64"/>
      <c r="DS523" s="64"/>
      <c r="DT523" s="64"/>
      <c r="DU523" s="64"/>
      <c r="DV523" s="64"/>
      <c r="DW523" s="64"/>
      <c r="DX523" s="64"/>
      <c r="DY523" s="64"/>
      <c r="DZ523" s="64"/>
      <c r="EA523" s="64"/>
      <c r="EB523" s="64"/>
      <c r="EC523" s="64"/>
      <c r="ED523" s="64"/>
    </row>
    <row r="524" spans="1:134" ht="15.75" customHeight="1">
      <c r="A524" s="14"/>
      <c r="B524" s="14"/>
      <c r="C524" s="1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4"/>
      <c r="DL524" s="64"/>
      <c r="DM524" s="64"/>
      <c r="DN524" s="64"/>
      <c r="DO524" s="64"/>
      <c r="DP524" s="64"/>
      <c r="DQ524" s="64"/>
      <c r="DR524" s="64"/>
      <c r="DS524" s="64"/>
      <c r="DT524" s="64"/>
      <c r="DU524" s="64"/>
      <c r="DV524" s="64"/>
      <c r="DW524" s="64"/>
      <c r="DX524" s="64"/>
      <c r="DY524" s="64"/>
      <c r="DZ524" s="64"/>
      <c r="EA524" s="64"/>
      <c r="EB524" s="64"/>
      <c r="EC524" s="64"/>
      <c r="ED524" s="64"/>
    </row>
    <row r="525" spans="1:134" ht="15.75" customHeight="1">
      <c r="A525" s="14"/>
      <c r="B525" s="14"/>
      <c r="C525" s="1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4"/>
      <c r="DL525" s="64"/>
      <c r="DM525" s="64"/>
      <c r="DN525" s="64"/>
      <c r="DO525" s="64"/>
      <c r="DP525" s="64"/>
      <c r="DQ525" s="64"/>
      <c r="DR525" s="64"/>
      <c r="DS525" s="64"/>
      <c r="DT525" s="64"/>
      <c r="DU525" s="64"/>
      <c r="DV525" s="64"/>
      <c r="DW525" s="64"/>
      <c r="DX525" s="64"/>
      <c r="DY525" s="64"/>
      <c r="DZ525" s="64"/>
      <c r="EA525" s="64"/>
      <c r="EB525" s="64"/>
      <c r="EC525" s="64"/>
      <c r="ED525" s="64"/>
    </row>
    <row r="526" spans="1:134" ht="15.75" customHeight="1">
      <c r="A526" s="14"/>
      <c r="B526" s="14"/>
      <c r="C526" s="1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4"/>
      <c r="DL526" s="64"/>
      <c r="DM526" s="64"/>
      <c r="DN526" s="64"/>
      <c r="DO526" s="64"/>
      <c r="DP526" s="64"/>
      <c r="DQ526" s="64"/>
      <c r="DR526" s="64"/>
      <c r="DS526" s="64"/>
      <c r="DT526" s="64"/>
      <c r="DU526" s="64"/>
      <c r="DV526" s="64"/>
      <c r="DW526" s="64"/>
      <c r="DX526" s="64"/>
      <c r="DY526" s="64"/>
      <c r="DZ526" s="64"/>
      <c r="EA526" s="64"/>
      <c r="EB526" s="64"/>
      <c r="EC526" s="64"/>
      <c r="ED526" s="64"/>
    </row>
    <row r="527" spans="1:134" ht="15.75" customHeight="1">
      <c r="A527" s="14"/>
      <c r="B527" s="14"/>
      <c r="C527" s="1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4"/>
      <c r="DL527" s="64"/>
      <c r="DM527" s="64"/>
      <c r="DN527" s="64"/>
      <c r="DO527" s="64"/>
      <c r="DP527" s="64"/>
      <c r="DQ527" s="64"/>
      <c r="DR527" s="64"/>
      <c r="DS527" s="64"/>
      <c r="DT527" s="64"/>
      <c r="DU527" s="64"/>
      <c r="DV527" s="64"/>
      <c r="DW527" s="64"/>
      <c r="DX527" s="64"/>
      <c r="DY527" s="64"/>
      <c r="DZ527" s="64"/>
      <c r="EA527" s="64"/>
      <c r="EB527" s="64"/>
      <c r="EC527" s="64"/>
      <c r="ED527" s="64"/>
    </row>
    <row r="528" spans="1:134" ht="15.75" customHeight="1">
      <c r="A528" s="14"/>
      <c r="B528" s="14"/>
      <c r="C528" s="1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4"/>
      <c r="DL528" s="64"/>
      <c r="DM528" s="64"/>
      <c r="DN528" s="64"/>
      <c r="DO528" s="64"/>
      <c r="DP528" s="64"/>
      <c r="DQ528" s="64"/>
      <c r="DR528" s="64"/>
      <c r="DS528" s="64"/>
      <c r="DT528" s="64"/>
      <c r="DU528" s="64"/>
      <c r="DV528" s="64"/>
      <c r="DW528" s="64"/>
      <c r="DX528" s="64"/>
      <c r="DY528" s="64"/>
      <c r="DZ528" s="64"/>
      <c r="EA528" s="64"/>
      <c r="EB528" s="64"/>
      <c r="EC528" s="64"/>
      <c r="ED528" s="64"/>
    </row>
    <row r="529" spans="1:134" ht="15.75" customHeight="1">
      <c r="A529" s="14"/>
      <c r="B529" s="14"/>
      <c r="C529" s="1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4"/>
      <c r="DL529" s="64"/>
      <c r="DM529" s="64"/>
      <c r="DN529" s="64"/>
      <c r="DO529" s="64"/>
      <c r="DP529" s="64"/>
      <c r="DQ529" s="64"/>
      <c r="DR529" s="64"/>
      <c r="DS529" s="64"/>
      <c r="DT529" s="64"/>
      <c r="DU529" s="64"/>
      <c r="DV529" s="64"/>
      <c r="DW529" s="64"/>
      <c r="DX529" s="64"/>
      <c r="DY529" s="64"/>
      <c r="DZ529" s="64"/>
      <c r="EA529" s="64"/>
      <c r="EB529" s="64"/>
      <c r="EC529" s="64"/>
      <c r="ED529" s="64"/>
    </row>
    <row r="530" spans="1:134" ht="15.75" customHeight="1">
      <c r="A530" s="14"/>
      <c r="B530" s="14"/>
      <c r="C530" s="1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4"/>
      <c r="DL530" s="64"/>
      <c r="DM530" s="64"/>
      <c r="DN530" s="64"/>
      <c r="DO530" s="64"/>
      <c r="DP530" s="64"/>
      <c r="DQ530" s="64"/>
      <c r="DR530" s="64"/>
      <c r="DS530" s="64"/>
      <c r="DT530" s="64"/>
      <c r="DU530" s="64"/>
      <c r="DV530" s="64"/>
      <c r="DW530" s="64"/>
      <c r="DX530" s="64"/>
      <c r="DY530" s="64"/>
      <c r="DZ530" s="64"/>
      <c r="EA530" s="64"/>
      <c r="EB530" s="64"/>
      <c r="EC530" s="64"/>
      <c r="ED530" s="64"/>
    </row>
    <row r="531" spans="1:134" ht="15.75" customHeight="1">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4"/>
      <c r="DL531" s="64"/>
      <c r="DM531" s="64"/>
      <c r="DN531" s="64"/>
      <c r="DO531" s="64"/>
      <c r="DP531" s="64"/>
      <c r="DQ531" s="64"/>
      <c r="DR531" s="64"/>
      <c r="DS531" s="64"/>
      <c r="DT531" s="64"/>
      <c r="DU531" s="64"/>
      <c r="DV531" s="64"/>
      <c r="DW531" s="64"/>
      <c r="DX531" s="64"/>
      <c r="DY531" s="64"/>
      <c r="DZ531" s="64"/>
      <c r="EA531" s="64"/>
      <c r="EB531" s="64"/>
      <c r="EC531" s="64"/>
      <c r="ED531" s="64"/>
    </row>
    <row r="532" spans="1:134" ht="15.75" customHeight="1">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4"/>
      <c r="DL532" s="64"/>
      <c r="DM532" s="64"/>
      <c r="DN532" s="64"/>
      <c r="DO532" s="64"/>
      <c r="DP532" s="64"/>
      <c r="DQ532" s="64"/>
      <c r="DR532" s="64"/>
      <c r="DS532" s="64"/>
      <c r="DT532" s="64"/>
      <c r="DU532" s="64"/>
      <c r="DV532" s="64"/>
      <c r="DW532" s="64"/>
      <c r="DX532" s="64"/>
      <c r="DY532" s="64"/>
      <c r="DZ532" s="64"/>
      <c r="EA532" s="64"/>
      <c r="EB532" s="64"/>
      <c r="EC532" s="64"/>
      <c r="ED532" s="64"/>
    </row>
    <row r="533" spans="1:134" ht="15.75" customHeight="1">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4"/>
      <c r="DL533" s="64"/>
      <c r="DM533" s="64"/>
      <c r="DN533" s="64"/>
      <c r="DO533" s="64"/>
      <c r="DP533" s="64"/>
      <c r="DQ533" s="64"/>
      <c r="DR533" s="64"/>
      <c r="DS533" s="64"/>
      <c r="DT533" s="64"/>
      <c r="DU533" s="64"/>
      <c r="DV533" s="64"/>
      <c r="DW533" s="64"/>
      <c r="DX533" s="64"/>
      <c r="DY533" s="64"/>
      <c r="DZ533" s="64"/>
      <c r="EA533" s="64"/>
      <c r="EB533" s="64"/>
      <c r="EC533" s="64"/>
      <c r="ED533" s="64"/>
    </row>
    <row r="534" spans="1:134" ht="15.75" customHeight="1">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4"/>
      <c r="DL534" s="64"/>
      <c r="DM534" s="64"/>
      <c r="DN534" s="64"/>
      <c r="DO534" s="64"/>
      <c r="DP534" s="64"/>
      <c r="DQ534" s="64"/>
      <c r="DR534" s="64"/>
      <c r="DS534" s="64"/>
      <c r="DT534" s="64"/>
      <c r="DU534" s="64"/>
      <c r="DV534" s="64"/>
      <c r="DW534" s="64"/>
      <c r="DX534" s="64"/>
      <c r="DY534" s="64"/>
      <c r="DZ534" s="64"/>
      <c r="EA534" s="64"/>
      <c r="EB534" s="64"/>
      <c r="EC534" s="64"/>
      <c r="ED534" s="64"/>
    </row>
    <row r="535" spans="1:134" ht="15.75" customHeight="1">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4"/>
      <c r="DL535" s="64"/>
      <c r="DM535" s="64"/>
      <c r="DN535" s="64"/>
      <c r="DO535" s="64"/>
      <c r="DP535" s="64"/>
      <c r="DQ535" s="64"/>
      <c r="DR535" s="64"/>
      <c r="DS535" s="64"/>
      <c r="DT535" s="64"/>
      <c r="DU535" s="64"/>
      <c r="DV535" s="64"/>
      <c r="DW535" s="64"/>
      <c r="DX535" s="64"/>
      <c r="DY535" s="64"/>
      <c r="DZ535" s="64"/>
      <c r="EA535" s="64"/>
      <c r="EB535" s="64"/>
      <c r="EC535" s="64"/>
      <c r="ED535" s="64"/>
    </row>
    <row r="536" spans="1:134" ht="15.75" customHeight="1">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4"/>
      <c r="DL536" s="64"/>
      <c r="DM536" s="64"/>
      <c r="DN536" s="64"/>
      <c r="DO536" s="64"/>
      <c r="DP536" s="64"/>
      <c r="DQ536" s="64"/>
      <c r="DR536" s="64"/>
      <c r="DS536" s="64"/>
      <c r="DT536" s="64"/>
      <c r="DU536" s="64"/>
      <c r="DV536" s="64"/>
      <c r="DW536" s="64"/>
      <c r="DX536" s="64"/>
      <c r="DY536" s="64"/>
      <c r="DZ536" s="64"/>
      <c r="EA536" s="64"/>
      <c r="EB536" s="64"/>
      <c r="EC536" s="64"/>
      <c r="ED536" s="64"/>
    </row>
    <row r="537" spans="1:134" ht="15.75" customHeight="1">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4"/>
      <c r="DL537" s="64"/>
      <c r="DM537" s="64"/>
      <c r="DN537" s="64"/>
      <c r="DO537" s="64"/>
      <c r="DP537" s="64"/>
      <c r="DQ537" s="64"/>
      <c r="DR537" s="64"/>
      <c r="DS537" s="64"/>
      <c r="DT537" s="64"/>
      <c r="DU537" s="64"/>
      <c r="DV537" s="64"/>
      <c r="DW537" s="64"/>
      <c r="DX537" s="64"/>
      <c r="DY537" s="64"/>
      <c r="DZ537" s="64"/>
      <c r="EA537" s="64"/>
      <c r="EB537" s="64"/>
      <c r="EC537" s="64"/>
      <c r="ED537" s="64"/>
    </row>
    <row r="538" spans="1:134" ht="15.75" customHeight="1">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4"/>
      <c r="DL538" s="64"/>
      <c r="DM538" s="64"/>
      <c r="DN538" s="64"/>
      <c r="DO538" s="64"/>
      <c r="DP538" s="64"/>
      <c r="DQ538" s="64"/>
      <c r="DR538" s="64"/>
      <c r="DS538" s="64"/>
      <c r="DT538" s="64"/>
      <c r="DU538" s="64"/>
      <c r="DV538" s="64"/>
      <c r="DW538" s="64"/>
      <c r="DX538" s="64"/>
      <c r="DY538" s="64"/>
      <c r="DZ538" s="64"/>
      <c r="EA538" s="64"/>
      <c r="EB538" s="64"/>
      <c r="EC538" s="64"/>
      <c r="ED538" s="64"/>
    </row>
    <row r="539" spans="1:134" ht="15.75" customHeight="1">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4"/>
      <c r="DL539" s="64"/>
      <c r="DM539" s="64"/>
      <c r="DN539" s="64"/>
      <c r="DO539" s="64"/>
      <c r="DP539" s="64"/>
      <c r="DQ539" s="64"/>
      <c r="DR539" s="64"/>
      <c r="DS539" s="64"/>
      <c r="DT539" s="64"/>
      <c r="DU539" s="64"/>
      <c r="DV539" s="64"/>
      <c r="DW539" s="64"/>
      <c r="DX539" s="64"/>
      <c r="DY539" s="64"/>
      <c r="DZ539" s="64"/>
      <c r="EA539" s="64"/>
      <c r="EB539" s="64"/>
      <c r="EC539" s="64"/>
      <c r="ED539" s="64"/>
    </row>
    <row r="540" spans="1:134" ht="15.75" customHeight="1">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4"/>
      <c r="DL540" s="64"/>
      <c r="DM540" s="64"/>
      <c r="DN540" s="64"/>
      <c r="DO540" s="64"/>
      <c r="DP540" s="64"/>
      <c r="DQ540" s="64"/>
      <c r="DR540" s="64"/>
      <c r="DS540" s="64"/>
      <c r="DT540" s="64"/>
      <c r="DU540" s="64"/>
      <c r="DV540" s="64"/>
      <c r="DW540" s="64"/>
      <c r="DX540" s="64"/>
      <c r="DY540" s="64"/>
      <c r="DZ540" s="64"/>
      <c r="EA540" s="64"/>
      <c r="EB540" s="64"/>
      <c r="EC540" s="64"/>
      <c r="ED540" s="64"/>
    </row>
    <row r="541" spans="1:134" ht="15.75" customHeight="1">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4"/>
      <c r="DL541" s="64"/>
      <c r="DM541" s="64"/>
      <c r="DN541" s="64"/>
      <c r="DO541" s="64"/>
      <c r="DP541" s="64"/>
      <c r="DQ541" s="64"/>
      <c r="DR541" s="64"/>
      <c r="DS541" s="64"/>
      <c r="DT541" s="64"/>
      <c r="DU541" s="64"/>
      <c r="DV541" s="64"/>
      <c r="DW541" s="64"/>
      <c r="DX541" s="64"/>
      <c r="DY541" s="64"/>
      <c r="DZ541" s="64"/>
      <c r="EA541" s="64"/>
      <c r="EB541" s="64"/>
      <c r="EC541" s="64"/>
      <c r="ED541" s="64"/>
    </row>
    <row r="542" spans="1:134" ht="15.75" customHeight="1">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4"/>
      <c r="DL542" s="64"/>
      <c r="DM542" s="64"/>
      <c r="DN542" s="64"/>
      <c r="DO542" s="64"/>
      <c r="DP542" s="64"/>
      <c r="DQ542" s="64"/>
      <c r="DR542" s="64"/>
      <c r="DS542" s="64"/>
      <c r="DT542" s="64"/>
      <c r="DU542" s="64"/>
      <c r="DV542" s="64"/>
      <c r="DW542" s="64"/>
      <c r="DX542" s="64"/>
      <c r="DY542" s="64"/>
      <c r="DZ542" s="64"/>
      <c r="EA542" s="64"/>
      <c r="EB542" s="64"/>
      <c r="EC542" s="64"/>
      <c r="ED542" s="64"/>
    </row>
    <row r="543" spans="1:134" ht="15.75" customHeight="1">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4"/>
      <c r="DL543" s="64"/>
      <c r="DM543" s="64"/>
      <c r="DN543" s="64"/>
      <c r="DO543" s="64"/>
      <c r="DP543" s="64"/>
      <c r="DQ543" s="64"/>
      <c r="DR543" s="64"/>
      <c r="DS543" s="64"/>
      <c r="DT543" s="64"/>
      <c r="DU543" s="64"/>
      <c r="DV543" s="64"/>
      <c r="DW543" s="64"/>
      <c r="DX543" s="64"/>
      <c r="DY543" s="64"/>
      <c r="DZ543" s="64"/>
      <c r="EA543" s="64"/>
      <c r="EB543" s="64"/>
      <c r="EC543" s="64"/>
      <c r="ED543" s="64"/>
    </row>
    <row r="544" spans="1:134" ht="15.75" customHeight="1">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4"/>
      <c r="DL544" s="64"/>
      <c r="DM544" s="64"/>
      <c r="DN544" s="64"/>
      <c r="DO544" s="64"/>
      <c r="DP544" s="64"/>
      <c r="DQ544" s="64"/>
      <c r="DR544" s="64"/>
      <c r="DS544" s="64"/>
      <c r="DT544" s="64"/>
      <c r="DU544" s="64"/>
      <c r="DV544" s="64"/>
      <c r="DW544" s="64"/>
      <c r="DX544" s="64"/>
      <c r="DY544" s="64"/>
      <c r="DZ544" s="64"/>
      <c r="EA544" s="64"/>
      <c r="EB544" s="64"/>
      <c r="EC544" s="64"/>
      <c r="ED544" s="64"/>
    </row>
    <row r="545" spans="26:134" ht="15.75" customHeight="1">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4"/>
      <c r="DL545" s="64"/>
      <c r="DM545" s="64"/>
      <c r="DN545" s="64"/>
      <c r="DO545" s="64"/>
      <c r="DP545" s="64"/>
      <c r="DQ545" s="64"/>
      <c r="DR545" s="64"/>
      <c r="DS545" s="64"/>
      <c r="DT545" s="64"/>
      <c r="DU545" s="64"/>
      <c r="DV545" s="64"/>
      <c r="DW545" s="64"/>
      <c r="DX545" s="64"/>
      <c r="DY545" s="64"/>
      <c r="DZ545" s="64"/>
      <c r="EA545" s="64"/>
      <c r="EB545" s="64"/>
      <c r="EC545" s="64"/>
      <c r="ED545" s="64"/>
    </row>
    <row r="546" spans="26:134" ht="15.75" customHeight="1">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4"/>
      <c r="DL546" s="64"/>
      <c r="DM546" s="64"/>
      <c r="DN546" s="64"/>
      <c r="DO546" s="64"/>
      <c r="DP546" s="64"/>
      <c r="DQ546" s="64"/>
      <c r="DR546" s="64"/>
      <c r="DS546" s="64"/>
      <c r="DT546" s="64"/>
      <c r="DU546" s="64"/>
      <c r="DV546" s="64"/>
      <c r="DW546" s="64"/>
      <c r="DX546" s="64"/>
      <c r="DY546" s="64"/>
      <c r="DZ546" s="64"/>
      <c r="EA546" s="64"/>
      <c r="EB546" s="64"/>
      <c r="EC546" s="64"/>
      <c r="ED546" s="64"/>
    </row>
    <row r="547" spans="26:134" ht="15.75" customHeight="1">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4"/>
      <c r="DL547" s="64"/>
      <c r="DM547" s="64"/>
      <c r="DN547" s="64"/>
      <c r="DO547" s="64"/>
      <c r="DP547" s="64"/>
      <c r="DQ547" s="64"/>
      <c r="DR547" s="64"/>
      <c r="DS547" s="64"/>
      <c r="DT547" s="64"/>
      <c r="DU547" s="64"/>
      <c r="DV547" s="64"/>
      <c r="DW547" s="64"/>
      <c r="DX547" s="64"/>
      <c r="DY547" s="64"/>
      <c r="DZ547" s="64"/>
      <c r="EA547" s="64"/>
      <c r="EB547" s="64"/>
      <c r="EC547" s="64"/>
      <c r="ED547" s="64"/>
    </row>
    <row r="548" spans="26:134" ht="15.75" customHeight="1">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4"/>
      <c r="DL548" s="64"/>
      <c r="DM548" s="64"/>
      <c r="DN548" s="64"/>
      <c r="DO548" s="64"/>
      <c r="DP548" s="64"/>
      <c r="DQ548" s="64"/>
      <c r="DR548" s="64"/>
      <c r="DS548" s="64"/>
      <c r="DT548" s="64"/>
      <c r="DU548" s="64"/>
      <c r="DV548" s="64"/>
      <c r="DW548" s="64"/>
      <c r="DX548" s="64"/>
      <c r="DY548" s="64"/>
      <c r="DZ548" s="64"/>
      <c r="EA548" s="64"/>
      <c r="EB548" s="64"/>
      <c r="EC548" s="64"/>
      <c r="ED548" s="64"/>
    </row>
    <row r="549" spans="26:134" ht="15.75" customHeight="1">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4"/>
      <c r="DL549" s="64"/>
      <c r="DM549" s="64"/>
      <c r="DN549" s="64"/>
      <c r="DO549" s="64"/>
      <c r="DP549" s="64"/>
      <c r="DQ549" s="64"/>
      <c r="DR549" s="64"/>
      <c r="DS549" s="64"/>
      <c r="DT549" s="64"/>
      <c r="DU549" s="64"/>
      <c r="DV549" s="64"/>
      <c r="DW549" s="64"/>
      <c r="DX549" s="64"/>
      <c r="DY549" s="64"/>
      <c r="DZ549" s="64"/>
      <c r="EA549" s="64"/>
      <c r="EB549" s="64"/>
      <c r="EC549" s="64"/>
      <c r="ED549" s="64"/>
    </row>
    <row r="550" spans="26:134" ht="15.75" customHeight="1">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4"/>
      <c r="DL550" s="64"/>
      <c r="DM550" s="64"/>
      <c r="DN550" s="64"/>
      <c r="DO550" s="64"/>
      <c r="DP550" s="64"/>
      <c r="DQ550" s="64"/>
      <c r="DR550" s="64"/>
      <c r="DS550" s="64"/>
      <c r="DT550" s="64"/>
      <c r="DU550" s="64"/>
      <c r="DV550" s="64"/>
      <c r="DW550" s="64"/>
      <c r="DX550" s="64"/>
      <c r="DY550" s="64"/>
      <c r="DZ550" s="64"/>
      <c r="EA550" s="64"/>
      <c r="EB550" s="64"/>
      <c r="EC550" s="64"/>
      <c r="ED550" s="64"/>
    </row>
    <row r="551" spans="26:134" ht="15.75" customHeight="1">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4"/>
      <c r="DL551" s="64"/>
      <c r="DM551" s="64"/>
      <c r="DN551" s="64"/>
      <c r="DO551" s="64"/>
      <c r="DP551" s="64"/>
      <c r="DQ551" s="64"/>
      <c r="DR551" s="64"/>
      <c r="DS551" s="64"/>
      <c r="DT551" s="64"/>
      <c r="DU551" s="64"/>
      <c r="DV551" s="64"/>
      <c r="DW551" s="64"/>
      <c r="DX551" s="64"/>
      <c r="DY551" s="64"/>
      <c r="DZ551" s="64"/>
      <c r="EA551" s="64"/>
      <c r="EB551" s="64"/>
      <c r="EC551" s="64"/>
      <c r="ED551" s="64"/>
    </row>
    <row r="552" spans="26:134" ht="15.75" customHeight="1">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4"/>
      <c r="DL552" s="64"/>
      <c r="DM552" s="64"/>
      <c r="DN552" s="64"/>
      <c r="DO552" s="64"/>
      <c r="DP552" s="64"/>
      <c r="DQ552" s="64"/>
      <c r="DR552" s="64"/>
      <c r="DS552" s="64"/>
      <c r="DT552" s="64"/>
      <c r="DU552" s="64"/>
      <c r="DV552" s="64"/>
      <c r="DW552" s="64"/>
      <c r="DX552" s="64"/>
      <c r="DY552" s="64"/>
      <c r="DZ552" s="64"/>
      <c r="EA552" s="64"/>
      <c r="EB552" s="64"/>
      <c r="EC552" s="64"/>
      <c r="ED552" s="64"/>
    </row>
    <row r="553" spans="26:134" ht="15.75" customHeight="1">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4"/>
      <c r="DL553" s="64"/>
      <c r="DM553" s="64"/>
      <c r="DN553" s="64"/>
      <c r="DO553" s="64"/>
      <c r="DP553" s="64"/>
      <c r="DQ553" s="64"/>
      <c r="DR553" s="64"/>
      <c r="DS553" s="64"/>
      <c r="DT553" s="64"/>
      <c r="DU553" s="64"/>
      <c r="DV553" s="64"/>
      <c r="DW553" s="64"/>
      <c r="DX553" s="64"/>
      <c r="DY553" s="64"/>
      <c r="DZ553" s="64"/>
      <c r="EA553" s="64"/>
      <c r="EB553" s="64"/>
      <c r="EC553" s="64"/>
      <c r="ED553" s="64"/>
    </row>
    <row r="554" spans="26:134" ht="15.75" customHeight="1">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4"/>
      <c r="DL554" s="64"/>
      <c r="DM554" s="64"/>
      <c r="DN554" s="64"/>
      <c r="DO554" s="64"/>
      <c r="DP554" s="64"/>
      <c r="DQ554" s="64"/>
      <c r="DR554" s="64"/>
      <c r="DS554" s="64"/>
      <c r="DT554" s="64"/>
      <c r="DU554" s="64"/>
      <c r="DV554" s="64"/>
      <c r="DW554" s="64"/>
      <c r="DX554" s="64"/>
      <c r="DY554" s="64"/>
      <c r="DZ554" s="64"/>
      <c r="EA554" s="64"/>
      <c r="EB554" s="64"/>
      <c r="EC554" s="64"/>
      <c r="ED554" s="64"/>
    </row>
    <row r="555" spans="26:134" ht="15.75" customHeight="1">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4"/>
      <c r="DL555" s="64"/>
      <c r="DM555" s="64"/>
      <c r="DN555" s="64"/>
      <c r="DO555" s="64"/>
      <c r="DP555" s="64"/>
      <c r="DQ555" s="64"/>
      <c r="DR555" s="64"/>
      <c r="DS555" s="64"/>
      <c r="DT555" s="64"/>
      <c r="DU555" s="64"/>
      <c r="DV555" s="64"/>
      <c r="DW555" s="64"/>
      <c r="DX555" s="64"/>
      <c r="DY555" s="64"/>
      <c r="DZ555" s="64"/>
      <c r="EA555" s="64"/>
      <c r="EB555" s="64"/>
      <c r="EC555" s="64"/>
      <c r="ED555" s="64"/>
    </row>
    <row r="556" spans="26:134" ht="15.75" customHeight="1">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4"/>
      <c r="DL556" s="64"/>
      <c r="DM556" s="64"/>
      <c r="DN556" s="64"/>
      <c r="DO556" s="64"/>
      <c r="DP556" s="64"/>
      <c r="DQ556" s="64"/>
      <c r="DR556" s="64"/>
      <c r="DS556" s="64"/>
      <c r="DT556" s="64"/>
      <c r="DU556" s="64"/>
      <c r="DV556" s="64"/>
      <c r="DW556" s="64"/>
      <c r="DX556" s="64"/>
      <c r="DY556" s="64"/>
      <c r="DZ556" s="64"/>
      <c r="EA556" s="64"/>
      <c r="EB556" s="64"/>
      <c r="EC556" s="64"/>
      <c r="ED556" s="64"/>
    </row>
    <row r="557" spans="26:134" ht="15.75" customHeight="1">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4"/>
      <c r="DL557" s="64"/>
      <c r="DM557" s="64"/>
      <c r="DN557" s="64"/>
      <c r="DO557" s="64"/>
      <c r="DP557" s="64"/>
      <c r="DQ557" s="64"/>
      <c r="DR557" s="64"/>
      <c r="DS557" s="64"/>
      <c r="DT557" s="64"/>
      <c r="DU557" s="64"/>
      <c r="DV557" s="64"/>
      <c r="DW557" s="64"/>
      <c r="DX557" s="64"/>
      <c r="DY557" s="64"/>
      <c r="DZ557" s="64"/>
      <c r="EA557" s="64"/>
      <c r="EB557" s="64"/>
      <c r="EC557" s="64"/>
      <c r="ED557" s="64"/>
    </row>
    <row r="558" spans="26:134" ht="15.75" customHeight="1">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4"/>
      <c r="DL558" s="64"/>
      <c r="DM558" s="64"/>
      <c r="DN558" s="64"/>
      <c r="DO558" s="64"/>
      <c r="DP558" s="64"/>
      <c r="DQ558" s="64"/>
      <c r="DR558" s="64"/>
      <c r="DS558" s="64"/>
      <c r="DT558" s="64"/>
      <c r="DU558" s="64"/>
      <c r="DV558" s="64"/>
      <c r="DW558" s="64"/>
      <c r="DX558" s="64"/>
      <c r="DY558" s="64"/>
      <c r="DZ558" s="64"/>
      <c r="EA558" s="64"/>
      <c r="EB558" s="64"/>
      <c r="EC558" s="64"/>
      <c r="ED558" s="64"/>
    </row>
    <row r="559" spans="26:134" ht="15.75" customHeight="1">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4"/>
      <c r="DL559" s="64"/>
      <c r="DM559" s="64"/>
      <c r="DN559" s="64"/>
      <c r="DO559" s="64"/>
      <c r="DP559" s="64"/>
      <c r="DQ559" s="64"/>
      <c r="DR559" s="64"/>
      <c r="DS559" s="64"/>
      <c r="DT559" s="64"/>
      <c r="DU559" s="64"/>
      <c r="DV559" s="64"/>
      <c r="DW559" s="64"/>
      <c r="DX559" s="64"/>
      <c r="DY559" s="64"/>
      <c r="DZ559" s="64"/>
      <c r="EA559" s="64"/>
      <c r="EB559" s="64"/>
      <c r="EC559" s="64"/>
      <c r="ED559" s="64"/>
    </row>
    <row r="560" spans="26:134" ht="15.75" customHeight="1">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4"/>
      <c r="DL560" s="64"/>
      <c r="DM560" s="64"/>
      <c r="DN560" s="64"/>
      <c r="DO560" s="64"/>
      <c r="DP560" s="64"/>
      <c r="DQ560" s="64"/>
      <c r="DR560" s="64"/>
      <c r="DS560" s="64"/>
      <c r="DT560" s="64"/>
      <c r="DU560" s="64"/>
      <c r="DV560" s="64"/>
      <c r="DW560" s="64"/>
      <c r="DX560" s="64"/>
      <c r="DY560" s="64"/>
      <c r="DZ560" s="64"/>
      <c r="EA560" s="64"/>
      <c r="EB560" s="64"/>
      <c r="EC560" s="64"/>
      <c r="ED560" s="64"/>
    </row>
    <row r="561" spans="26:134" ht="15.75" customHeight="1">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4"/>
      <c r="DL561" s="64"/>
      <c r="DM561" s="64"/>
      <c r="DN561" s="64"/>
      <c r="DO561" s="64"/>
      <c r="DP561" s="64"/>
      <c r="DQ561" s="64"/>
      <c r="DR561" s="64"/>
      <c r="DS561" s="64"/>
      <c r="DT561" s="64"/>
      <c r="DU561" s="64"/>
      <c r="DV561" s="64"/>
      <c r="DW561" s="64"/>
      <c r="DX561" s="64"/>
      <c r="DY561" s="64"/>
      <c r="DZ561" s="64"/>
      <c r="EA561" s="64"/>
      <c r="EB561" s="64"/>
      <c r="EC561" s="64"/>
      <c r="ED561" s="64"/>
    </row>
    <row r="562" spans="26:134" ht="15.75" customHeight="1">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4"/>
      <c r="DL562" s="64"/>
      <c r="DM562" s="64"/>
      <c r="DN562" s="64"/>
      <c r="DO562" s="64"/>
      <c r="DP562" s="64"/>
      <c r="DQ562" s="64"/>
      <c r="DR562" s="64"/>
      <c r="DS562" s="64"/>
      <c r="DT562" s="64"/>
      <c r="DU562" s="64"/>
      <c r="DV562" s="64"/>
      <c r="DW562" s="64"/>
      <c r="DX562" s="64"/>
      <c r="DY562" s="64"/>
      <c r="DZ562" s="64"/>
      <c r="EA562" s="64"/>
      <c r="EB562" s="64"/>
      <c r="EC562" s="64"/>
      <c r="ED562" s="64"/>
    </row>
    <row r="563" spans="26:134" ht="15.75" customHeight="1">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4"/>
      <c r="DL563" s="64"/>
      <c r="DM563" s="64"/>
      <c r="DN563" s="64"/>
      <c r="DO563" s="64"/>
      <c r="DP563" s="64"/>
      <c r="DQ563" s="64"/>
      <c r="DR563" s="64"/>
      <c r="DS563" s="64"/>
      <c r="DT563" s="64"/>
      <c r="DU563" s="64"/>
      <c r="DV563" s="64"/>
      <c r="DW563" s="64"/>
      <c r="DX563" s="64"/>
      <c r="DY563" s="64"/>
      <c r="DZ563" s="64"/>
      <c r="EA563" s="64"/>
      <c r="EB563" s="64"/>
      <c r="EC563" s="64"/>
      <c r="ED563" s="64"/>
    </row>
    <row r="564" spans="26:134" ht="15.75" customHeight="1">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4"/>
      <c r="DL564" s="64"/>
      <c r="DM564" s="64"/>
      <c r="DN564" s="64"/>
      <c r="DO564" s="64"/>
      <c r="DP564" s="64"/>
      <c r="DQ564" s="64"/>
      <c r="DR564" s="64"/>
      <c r="DS564" s="64"/>
      <c r="DT564" s="64"/>
      <c r="DU564" s="64"/>
      <c r="DV564" s="64"/>
      <c r="DW564" s="64"/>
      <c r="DX564" s="64"/>
      <c r="DY564" s="64"/>
      <c r="DZ564" s="64"/>
      <c r="EA564" s="64"/>
      <c r="EB564" s="64"/>
      <c r="EC564" s="64"/>
      <c r="ED564" s="64"/>
    </row>
    <row r="565" spans="26:134" ht="15.75" customHeight="1">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4"/>
      <c r="DL565" s="64"/>
      <c r="DM565" s="64"/>
      <c r="DN565" s="64"/>
      <c r="DO565" s="64"/>
      <c r="DP565" s="64"/>
      <c r="DQ565" s="64"/>
      <c r="DR565" s="64"/>
      <c r="DS565" s="64"/>
      <c r="DT565" s="64"/>
      <c r="DU565" s="64"/>
      <c r="DV565" s="64"/>
      <c r="DW565" s="64"/>
      <c r="DX565" s="64"/>
      <c r="DY565" s="64"/>
      <c r="DZ565" s="64"/>
      <c r="EA565" s="64"/>
      <c r="EB565" s="64"/>
      <c r="EC565" s="64"/>
      <c r="ED565" s="64"/>
    </row>
    <row r="566" spans="26:134" ht="15.75" customHeight="1">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4"/>
      <c r="DL566" s="64"/>
      <c r="DM566" s="64"/>
      <c r="DN566" s="64"/>
      <c r="DO566" s="64"/>
      <c r="DP566" s="64"/>
      <c r="DQ566" s="64"/>
      <c r="DR566" s="64"/>
      <c r="DS566" s="64"/>
      <c r="DT566" s="64"/>
      <c r="DU566" s="64"/>
      <c r="DV566" s="64"/>
      <c r="DW566" s="64"/>
      <c r="DX566" s="64"/>
      <c r="DY566" s="64"/>
      <c r="DZ566" s="64"/>
      <c r="EA566" s="64"/>
      <c r="EB566" s="64"/>
      <c r="EC566" s="64"/>
      <c r="ED566" s="64"/>
    </row>
    <row r="567" spans="26:134" ht="15.75" customHeight="1">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4"/>
      <c r="DL567" s="64"/>
      <c r="DM567" s="64"/>
      <c r="DN567" s="64"/>
      <c r="DO567" s="64"/>
      <c r="DP567" s="64"/>
      <c r="DQ567" s="64"/>
      <c r="DR567" s="64"/>
      <c r="DS567" s="64"/>
      <c r="DT567" s="64"/>
      <c r="DU567" s="64"/>
      <c r="DV567" s="64"/>
      <c r="DW567" s="64"/>
      <c r="DX567" s="64"/>
      <c r="DY567" s="64"/>
      <c r="DZ567" s="64"/>
      <c r="EA567" s="64"/>
      <c r="EB567" s="64"/>
      <c r="EC567" s="64"/>
      <c r="ED567" s="64"/>
    </row>
    <row r="568" spans="26:134" ht="15.75" customHeight="1">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4"/>
      <c r="DL568" s="64"/>
      <c r="DM568" s="64"/>
      <c r="DN568" s="64"/>
      <c r="DO568" s="64"/>
      <c r="DP568" s="64"/>
      <c r="DQ568" s="64"/>
      <c r="DR568" s="64"/>
      <c r="DS568" s="64"/>
      <c r="DT568" s="64"/>
      <c r="DU568" s="64"/>
      <c r="DV568" s="64"/>
      <c r="DW568" s="64"/>
      <c r="DX568" s="64"/>
      <c r="DY568" s="64"/>
      <c r="DZ568" s="64"/>
      <c r="EA568" s="64"/>
      <c r="EB568" s="64"/>
      <c r="EC568" s="64"/>
      <c r="ED568" s="64"/>
    </row>
    <row r="569" spans="26:134" ht="15.75" customHeight="1">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4"/>
      <c r="DL569" s="64"/>
      <c r="DM569" s="64"/>
      <c r="DN569" s="64"/>
      <c r="DO569" s="64"/>
      <c r="DP569" s="64"/>
      <c r="DQ569" s="64"/>
      <c r="DR569" s="64"/>
      <c r="DS569" s="64"/>
      <c r="DT569" s="64"/>
      <c r="DU569" s="64"/>
      <c r="DV569" s="64"/>
      <c r="DW569" s="64"/>
      <c r="DX569" s="64"/>
      <c r="DY569" s="64"/>
      <c r="DZ569" s="64"/>
      <c r="EA569" s="64"/>
      <c r="EB569" s="64"/>
      <c r="EC569" s="64"/>
      <c r="ED569" s="64"/>
    </row>
    <row r="570" spans="26:134" ht="15.75" customHeight="1">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4"/>
      <c r="DL570" s="64"/>
      <c r="DM570" s="64"/>
      <c r="DN570" s="64"/>
      <c r="DO570" s="64"/>
      <c r="DP570" s="64"/>
      <c r="DQ570" s="64"/>
      <c r="DR570" s="64"/>
      <c r="DS570" s="64"/>
      <c r="DT570" s="64"/>
      <c r="DU570" s="64"/>
      <c r="DV570" s="64"/>
      <c r="DW570" s="64"/>
      <c r="DX570" s="64"/>
      <c r="DY570" s="64"/>
      <c r="DZ570" s="64"/>
      <c r="EA570" s="64"/>
      <c r="EB570" s="64"/>
      <c r="EC570" s="64"/>
      <c r="ED570" s="64"/>
    </row>
    <row r="571" spans="26:134" ht="15.75" customHeight="1">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4"/>
      <c r="DL571" s="64"/>
      <c r="DM571" s="64"/>
      <c r="DN571" s="64"/>
      <c r="DO571" s="64"/>
      <c r="DP571" s="64"/>
      <c r="DQ571" s="64"/>
      <c r="DR571" s="64"/>
      <c r="DS571" s="64"/>
      <c r="DT571" s="64"/>
      <c r="DU571" s="64"/>
      <c r="DV571" s="64"/>
      <c r="DW571" s="64"/>
      <c r="DX571" s="64"/>
      <c r="DY571" s="64"/>
      <c r="DZ571" s="64"/>
      <c r="EA571" s="64"/>
      <c r="EB571" s="64"/>
      <c r="EC571" s="64"/>
      <c r="ED571" s="64"/>
    </row>
    <row r="572" spans="26:134" ht="15.75" customHeight="1">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4"/>
      <c r="DL572" s="64"/>
      <c r="DM572" s="64"/>
      <c r="DN572" s="64"/>
      <c r="DO572" s="64"/>
      <c r="DP572" s="64"/>
      <c r="DQ572" s="64"/>
      <c r="DR572" s="64"/>
      <c r="DS572" s="64"/>
      <c r="DT572" s="64"/>
      <c r="DU572" s="64"/>
      <c r="DV572" s="64"/>
      <c r="DW572" s="64"/>
      <c r="DX572" s="64"/>
      <c r="DY572" s="64"/>
      <c r="DZ572" s="64"/>
      <c r="EA572" s="64"/>
      <c r="EB572" s="64"/>
      <c r="EC572" s="64"/>
      <c r="ED572" s="64"/>
    </row>
    <row r="573" spans="26:134" ht="15.75" customHeight="1">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4"/>
      <c r="DL573" s="64"/>
      <c r="DM573" s="64"/>
      <c r="DN573" s="64"/>
      <c r="DO573" s="64"/>
      <c r="DP573" s="64"/>
      <c r="DQ573" s="64"/>
      <c r="DR573" s="64"/>
      <c r="DS573" s="64"/>
      <c r="DT573" s="64"/>
      <c r="DU573" s="64"/>
      <c r="DV573" s="64"/>
      <c r="DW573" s="64"/>
      <c r="DX573" s="64"/>
      <c r="DY573" s="64"/>
      <c r="DZ573" s="64"/>
      <c r="EA573" s="64"/>
      <c r="EB573" s="64"/>
      <c r="EC573" s="64"/>
      <c r="ED573" s="64"/>
    </row>
    <row r="574" spans="26:134" ht="15.75" customHeight="1">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4"/>
      <c r="DL574" s="64"/>
      <c r="DM574" s="64"/>
      <c r="DN574" s="64"/>
      <c r="DO574" s="64"/>
      <c r="DP574" s="64"/>
      <c r="DQ574" s="64"/>
      <c r="DR574" s="64"/>
      <c r="DS574" s="64"/>
      <c r="DT574" s="64"/>
      <c r="DU574" s="64"/>
      <c r="DV574" s="64"/>
      <c r="DW574" s="64"/>
      <c r="DX574" s="64"/>
      <c r="DY574" s="64"/>
      <c r="DZ574" s="64"/>
      <c r="EA574" s="64"/>
      <c r="EB574" s="64"/>
      <c r="EC574" s="64"/>
      <c r="ED574" s="64"/>
    </row>
    <row r="575" spans="26:134" ht="15.75" customHeight="1">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4"/>
      <c r="DL575" s="64"/>
      <c r="DM575" s="64"/>
      <c r="DN575" s="64"/>
      <c r="DO575" s="64"/>
      <c r="DP575" s="64"/>
      <c r="DQ575" s="64"/>
      <c r="DR575" s="64"/>
      <c r="DS575" s="64"/>
      <c r="DT575" s="64"/>
      <c r="DU575" s="64"/>
      <c r="DV575" s="64"/>
      <c r="DW575" s="64"/>
      <c r="DX575" s="64"/>
      <c r="DY575" s="64"/>
      <c r="DZ575" s="64"/>
      <c r="EA575" s="64"/>
      <c r="EB575" s="64"/>
      <c r="EC575" s="64"/>
      <c r="ED575" s="64"/>
    </row>
    <row r="576" spans="26:134" ht="15.75" customHeight="1">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4"/>
      <c r="DL576" s="64"/>
      <c r="DM576" s="64"/>
      <c r="DN576" s="64"/>
      <c r="DO576" s="64"/>
      <c r="DP576" s="64"/>
      <c r="DQ576" s="64"/>
      <c r="DR576" s="64"/>
      <c r="DS576" s="64"/>
      <c r="DT576" s="64"/>
      <c r="DU576" s="64"/>
      <c r="DV576" s="64"/>
      <c r="DW576" s="64"/>
      <c r="DX576" s="64"/>
      <c r="DY576" s="64"/>
      <c r="DZ576" s="64"/>
      <c r="EA576" s="64"/>
      <c r="EB576" s="64"/>
      <c r="EC576" s="64"/>
      <c r="ED576" s="64"/>
    </row>
    <row r="577" spans="26:134" ht="15.75" customHeight="1">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4"/>
      <c r="DL577" s="64"/>
      <c r="DM577" s="64"/>
      <c r="DN577" s="64"/>
      <c r="DO577" s="64"/>
      <c r="DP577" s="64"/>
      <c r="DQ577" s="64"/>
      <c r="DR577" s="64"/>
      <c r="DS577" s="64"/>
      <c r="DT577" s="64"/>
      <c r="DU577" s="64"/>
      <c r="DV577" s="64"/>
      <c r="DW577" s="64"/>
      <c r="DX577" s="64"/>
      <c r="DY577" s="64"/>
      <c r="DZ577" s="64"/>
      <c r="EA577" s="64"/>
      <c r="EB577" s="64"/>
      <c r="EC577" s="64"/>
      <c r="ED577" s="64"/>
    </row>
    <row r="578" spans="26:134" ht="15.75" customHeight="1">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4"/>
      <c r="DL578" s="64"/>
      <c r="DM578" s="64"/>
      <c r="DN578" s="64"/>
      <c r="DO578" s="64"/>
      <c r="DP578" s="64"/>
      <c r="DQ578" s="64"/>
      <c r="DR578" s="64"/>
      <c r="DS578" s="64"/>
      <c r="DT578" s="64"/>
      <c r="DU578" s="64"/>
      <c r="DV578" s="64"/>
      <c r="DW578" s="64"/>
      <c r="DX578" s="64"/>
      <c r="DY578" s="64"/>
      <c r="DZ578" s="64"/>
      <c r="EA578" s="64"/>
      <c r="EB578" s="64"/>
      <c r="EC578" s="64"/>
      <c r="ED578" s="64"/>
    </row>
    <row r="579" spans="26:134" ht="15.75" customHeight="1">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4"/>
      <c r="DL579" s="64"/>
      <c r="DM579" s="64"/>
      <c r="DN579" s="64"/>
      <c r="DO579" s="64"/>
      <c r="DP579" s="64"/>
      <c r="DQ579" s="64"/>
      <c r="DR579" s="64"/>
      <c r="DS579" s="64"/>
      <c r="DT579" s="64"/>
      <c r="DU579" s="64"/>
      <c r="DV579" s="64"/>
      <c r="DW579" s="64"/>
      <c r="DX579" s="64"/>
      <c r="DY579" s="64"/>
      <c r="DZ579" s="64"/>
      <c r="EA579" s="64"/>
      <c r="EB579" s="64"/>
      <c r="EC579" s="64"/>
      <c r="ED579" s="64"/>
    </row>
    <row r="580" spans="26:134" ht="15.75" customHeight="1">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4"/>
      <c r="DL580" s="64"/>
      <c r="DM580" s="64"/>
      <c r="DN580" s="64"/>
      <c r="DO580" s="64"/>
      <c r="DP580" s="64"/>
      <c r="DQ580" s="64"/>
      <c r="DR580" s="64"/>
      <c r="DS580" s="64"/>
      <c r="DT580" s="64"/>
      <c r="DU580" s="64"/>
      <c r="DV580" s="64"/>
      <c r="DW580" s="64"/>
      <c r="DX580" s="64"/>
      <c r="DY580" s="64"/>
      <c r="DZ580" s="64"/>
      <c r="EA580" s="64"/>
      <c r="EB580" s="64"/>
      <c r="EC580" s="64"/>
      <c r="ED580" s="64"/>
    </row>
    <row r="581" spans="26:134" ht="15.75" customHeight="1">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4"/>
      <c r="DL581" s="64"/>
      <c r="DM581" s="64"/>
      <c r="DN581" s="64"/>
      <c r="DO581" s="64"/>
      <c r="DP581" s="64"/>
      <c r="DQ581" s="64"/>
      <c r="DR581" s="64"/>
      <c r="DS581" s="64"/>
      <c r="DT581" s="64"/>
      <c r="DU581" s="64"/>
      <c r="DV581" s="64"/>
      <c r="DW581" s="64"/>
      <c r="DX581" s="64"/>
      <c r="DY581" s="64"/>
      <c r="DZ581" s="64"/>
      <c r="EA581" s="64"/>
      <c r="EB581" s="64"/>
      <c r="EC581" s="64"/>
      <c r="ED581" s="64"/>
    </row>
    <row r="582" spans="26:134" ht="15.75" customHeight="1">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4"/>
      <c r="DL582" s="64"/>
      <c r="DM582" s="64"/>
      <c r="DN582" s="64"/>
      <c r="DO582" s="64"/>
      <c r="DP582" s="64"/>
      <c r="DQ582" s="64"/>
      <c r="DR582" s="64"/>
      <c r="DS582" s="64"/>
      <c r="DT582" s="64"/>
      <c r="DU582" s="64"/>
      <c r="DV582" s="64"/>
      <c r="DW582" s="64"/>
      <c r="DX582" s="64"/>
      <c r="DY582" s="64"/>
      <c r="DZ582" s="64"/>
      <c r="EA582" s="64"/>
      <c r="EB582" s="64"/>
      <c r="EC582" s="64"/>
      <c r="ED582" s="64"/>
    </row>
    <row r="583" spans="26:134" ht="15.75" customHeight="1">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4"/>
      <c r="DL583" s="64"/>
      <c r="DM583" s="64"/>
      <c r="DN583" s="64"/>
      <c r="DO583" s="64"/>
      <c r="DP583" s="64"/>
      <c r="DQ583" s="64"/>
      <c r="DR583" s="64"/>
      <c r="DS583" s="64"/>
      <c r="DT583" s="64"/>
      <c r="DU583" s="64"/>
      <c r="DV583" s="64"/>
      <c r="DW583" s="64"/>
      <c r="DX583" s="64"/>
      <c r="DY583" s="64"/>
      <c r="DZ583" s="64"/>
      <c r="EA583" s="64"/>
      <c r="EB583" s="64"/>
      <c r="EC583" s="64"/>
      <c r="ED583" s="64"/>
    </row>
    <row r="584" spans="26:134" ht="15.75" customHeight="1">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4"/>
      <c r="DL584" s="64"/>
      <c r="DM584" s="64"/>
      <c r="DN584" s="64"/>
      <c r="DO584" s="64"/>
      <c r="DP584" s="64"/>
      <c r="DQ584" s="64"/>
      <c r="DR584" s="64"/>
      <c r="DS584" s="64"/>
      <c r="DT584" s="64"/>
      <c r="DU584" s="64"/>
      <c r="DV584" s="64"/>
      <c r="DW584" s="64"/>
      <c r="DX584" s="64"/>
      <c r="DY584" s="64"/>
      <c r="DZ584" s="64"/>
      <c r="EA584" s="64"/>
      <c r="EB584" s="64"/>
      <c r="EC584" s="64"/>
      <c r="ED584" s="64"/>
    </row>
    <row r="585" spans="26:134" ht="15.75" customHeight="1">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4"/>
      <c r="DL585" s="64"/>
      <c r="DM585" s="64"/>
      <c r="DN585" s="64"/>
      <c r="DO585" s="64"/>
      <c r="DP585" s="64"/>
      <c r="DQ585" s="64"/>
      <c r="DR585" s="64"/>
      <c r="DS585" s="64"/>
      <c r="DT585" s="64"/>
      <c r="DU585" s="64"/>
      <c r="DV585" s="64"/>
      <c r="DW585" s="64"/>
      <c r="DX585" s="64"/>
      <c r="DY585" s="64"/>
      <c r="DZ585" s="64"/>
      <c r="EA585" s="64"/>
      <c r="EB585" s="64"/>
      <c r="EC585" s="64"/>
      <c r="ED585" s="64"/>
    </row>
    <row r="586" spans="26:134" ht="15.75" customHeight="1">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4"/>
      <c r="DL586" s="64"/>
      <c r="DM586" s="64"/>
      <c r="DN586" s="64"/>
      <c r="DO586" s="64"/>
      <c r="DP586" s="64"/>
      <c r="DQ586" s="64"/>
      <c r="DR586" s="64"/>
      <c r="DS586" s="64"/>
      <c r="DT586" s="64"/>
      <c r="DU586" s="64"/>
      <c r="DV586" s="64"/>
      <c r="DW586" s="64"/>
      <c r="DX586" s="64"/>
      <c r="DY586" s="64"/>
      <c r="DZ586" s="64"/>
      <c r="EA586" s="64"/>
      <c r="EB586" s="64"/>
      <c r="EC586" s="64"/>
      <c r="ED586" s="64"/>
    </row>
    <row r="587" spans="26:134" ht="15.75" customHeight="1">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4"/>
      <c r="DL587" s="64"/>
      <c r="DM587" s="64"/>
      <c r="DN587" s="64"/>
      <c r="DO587" s="64"/>
      <c r="DP587" s="64"/>
      <c r="DQ587" s="64"/>
      <c r="DR587" s="64"/>
      <c r="DS587" s="64"/>
      <c r="DT587" s="64"/>
      <c r="DU587" s="64"/>
      <c r="DV587" s="64"/>
      <c r="DW587" s="64"/>
      <c r="DX587" s="64"/>
      <c r="DY587" s="64"/>
      <c r="DZ587" s="64"/>
      <c r="EA587" s="64"/>
      <c r="EB587" s="64"/>
      <c r="EC587" s="64"/>
      <c r="ED587" s="64"/>
    </row>
    <row r="588" spans="26:134" ht="15.75" customHeight="1">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4"/>
      <c r="DL588" s="64"/>
      <c r="DM588" s="64"/>
      <c r="DN588" s="64"/>
      <c r="DO588" s="64"/>
      <c r="DP588" s="64"/>
      <c r="DQ588" s="64"/>
      <c r="DR588" s="64"/>
      <c r="DS588" s="64"/>
      <c r="DT588" s="64"/>
      <c r="DU588" s="64"/>
      <c r="DV588" s="64"/>
      <c r="DW588" s="64"/>
      <c r="DX588" s="64"/>
      <c r="DY588" s="64"/>
      <c r="DZ588" s="64"/>
      <c r="EA588" s="64"/>
      <c r="EB588" s="64"/>
      <c r="EC588" s="64"/>
      <c r="ED588" s="64"/>
    </row>
    <row r="589" spans="26:134" ht="15.75" customHeight="1">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4"/>
      <c r="DL589" s="64"/>
      <c r="DM589" s="64"/>
      <c r="DN589" s="64"/>
      <c r="DO589" s="64"/>
      <c r="DP589" s="64"/>
      <c r="DQ589" s="64"/>
      <c r="DR589" s="64"/>
      <c r="DS589" s="64"/>
      <c r="DT589" s="64"/>
      <c r="DU589" s="64"/>
      <c r="DV589" s="64"/>
      <c r="DW589" s="64"/>
      <c r="DX589" s="64"/>
      <c r="DY589" s="64"/>
      <c r="DZ589" s="64"/>
      <c r="EA589" s="64"/>
      <c r="EB589" s="64"/>
      <c r="EC589" s="64"/>
      <c r="ED589" s="64"/>
    </row>
    <row r="590" spans="26:134" ht="15.75" customHeight="1">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4"/>
      <c r="DL590" s="64"/>
      <c r="DM590" s="64"/>
      <c r="DN590" s="64"/>
      <c r="DO590" s="64"/>
      <c r="DP590" s="64"/>
      <c r="DQ590" s="64"/>
      <c r="DR590" s="64"/>
      <c r="DS590" s="64"/>
      <c r="DT590" s="64"/>
      <c r="DU590" s="64"/>
      <c r="DV590" s="64"/>
      <c r="DW590" s="64"/>
      <c r="DX590" s="64"/>
      <c r="DY590" s="64"/>
      <c r="DZ590" s="64"/>
      <c r="EA590" s="64"/>
      <c r="EB590" s="64"/>
      <c r="EC590" s="64"/>
      <c r="ED590" s="64"/>
    </row>
    <row r="591" spans="26:134" ht="15.75" customHeight="1">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4"/>
      <c r="DL591" s="64"/>
      <c r="DM591" s="64"/>
      <c r="DN591" s="64"/>
      <c r="DO591" s="64"/>
      <c r="DP591" s="64"/>
      <c r="DQ591" s="64"/>
      <c r="DR591" s="64"/>
      <c r="DS591" s="64"/>
      <c r="DT591" s="64"/>
      <c r="DU591" s="64"/>
      <c r="DV591" s="64"/>
      <c r="DW591" s="64"/>
      <c r="DX591" s="64"/>
      <c r="DY591" s="64"/>
      <c r="DZ591" s="64"/>
      <c r="EA591" s="64"/>
      <c r="EB591" s="64"/>
      <c r="EC591" s="64"/>
      <c r="ED591" s="64"/>
    </row>
    <row r="592" spans="26:134" ht="15.75" customHeight="1">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4"/>
      <c r="DL592" s="64"/>
      <c r="DM592" s="64"/>
      <c r="DN592" s="64"/>
      <c r="DO592" s="64"/>
      <c r="DP592" s="64"/>
      <c r="DQ592" s="64"/>
      <c r="DR592" s="64"/>
      <c r="DS592" s="64"/>
      <c r="DT592" s="64"/>
      <c r="DU592" s="64"/>
      <c r="DV592" s="64"/>
      <c r="DW592" s="64"/>
      <c r="DX592" s="64"/>
      <c r="DY592" s="64"/>
      <c r="DZ592" s="64"/>
      <c r="EA592" s="64"/>
      <c r="EB592" s="64"/>
      <c r="EC592" s="64"/>
      <c r="ED592" s="64"/>
    </row>
    <row r="593" spans="26:134" ht="15.75" customHeight="1">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4"/>
      <c r="DL593" s="64"/>
      <c r="DM593" s="64"/>
      <c r="DN593" s="64"/>
      <c r="DO593" s="64"/>
      <c r="DP593" s="64"/>
      <c r="DQ593" s="64"/>
      <c r="DR593" s="64"/>
      <c r="DS593" s="64"/>
      <c r="DT593" s="64"/>
      <c r="DU593" s="64"/>
      <c r="DV593" s="64"/>
      <c r="DW593" s="64"/>
      <c r="DX593" s="64"/>
      <c r="DY593" s="64"/>
      <c r="DZ593" s="64"/>
      <c r="EA593" s="64"/>
      <c r="EB593" s="64"/>
      <c r="EC593" s="64"/>
      <c r="ED593" s="64"/>
    </row>
    <row r="594" spans="26:134" ht="15.75" customHeight="1">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4"/>
      <c r="DL594" s="64"/>
      <c r="DM594" s="64"/>
      <c r="DN594" s="64"/>
      <c r="DO594" s="64"/>
      <c r="DP594" s="64"/>
      <c r="DQ594" s="64"/>
      <c r="DR594" s="64"/>
      <c r="DS594" s="64"/>
      <c r="DT594" s="64"/>
      <c r="DU594" s="64"/>
      <c r="DV594" s="64"/>
      <c r="DW594" s="64"/>
      <c r="DX594" s="64"/>
      <c r="DY594" s="64"/>
      <c r="DZ594" s="64"/>
      <c r="EA594" s="64"/>
      <c r="EB594" s="64"/>
      <c r="EC594" s="64"/>
      <c r="ED594" s="64"/>
    </row>
    <row r="595" spans="26:134" ht="15.75" customHeight="1">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4"/>
      <c r="DL595" s="64"/>
      <c r="DM595" s="64"/>
      <c r="DN595" s="64"/>
      <c r="DO595" s="64"/>
      <c r="DP595" s="64"/>
      <c r="DQ595" s="64"/>
      <c r="DR595" s="64"/>
      <c r="DS595" s="64"/>
      <c r="DT595" s="64"/>
      <c r="DU595" s="64"/>
      <c r="DV595" s="64"/>
      <c r="DW595" s="64"/>
      <c r="DX595" s="64"/>
      <c r="DY595" s="64"/>
      <c r="DZ595" s="64"/>
      <c r="EA595" s="64"/>
      <c r="EB595" s="64"/>
      <c r="EC595" s="64"/>
      <c r="ED595" s="64"/>
    </row>
    <row r="596" spans="26:134" ht="15.75" customHeight="1">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4"/>
      <c r="DL596" s="64"/>
      <c r="DM596" s="64"/>
      <c r="DN596" s="64"/>
      <c r="DO596" s="64"/>
      <c r="DP596" s="64"/>
      <c r="DQ596" s="64"/>
      <c r="DR596" s="64"/>
      <c r="DS596" s="64"/>
      <c r="DT596" s="64"/>
      <c r="DU596" s="64"/>
      <c r="DV596" s="64"/>
      <c r="DW596" s="64"/>
      <c r="DX596" s="64"/>
      <c r="DY596" s="64"/>
      <c r="DZ596" s="64"/>
      <c r="EA596" s="64"/>
      <c r="EB596" s="64"/>
      <c r="EC596" s="64"/>
      <c r="ED596" s="64"/>
    </row>
    <row r="597" spans="26:134" ht="15.75" customHeight="1">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4"/>
      <c r="DL597" s="64"/>
      <c r="DM597" s="64"/>
      <c r="DN597" s="64"/>
      <c r="DO597" s="64"/>
      <c r="DP597" s="64"/>
      <c r="DQ597" s="64"/>
      <c r="DR597" s="64"/>
      <c r="DS597" s="64"/>
      <c r="DT597" s="64"/>
      <c r="DU597" s="64"/>
      <c r="DV597" s="64"/>
      <c r="DW597" s="64"/>
      <c r="DX597" s="64"/>
      <c r="DY597" s="64"/>
      <c r="DZ597" s="64"/>
      <c r="EA597" s="64"/>
      <c r="EB597" s="64"/>
      <c r="EC597" s="64"/>
      <c r="ED597" s="64"/>
    </row>
    <row r="598" spans="26:134" ht="15.75" customHeight="1">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4"/>
      <c r="DL598" s="64"/>
      <c r="DM598" s="64"/>
      <c r="DN598" s="64"/>
      <c r="DO598" s="64"/>
      <c r="DP598" s="64"/>
      <c r="DQ598" s="64"/>
      <c r="DR598" s="64"/>
      <c r="DS598" s="64"/>
      <c r="DT598" s="64"/>
      <c r="DU598" s="64"/>
      <c r="DV598" s="64"/>
      <c r="DW598" s="64"/>
      <c r="DX598" s="64"/>
      <c r="DY598" s="64"/>
      <c r="DZ598" s="64"/>
      <c r="EA598" s="64"/>
      <c r="EB598" s="64"/>
      <c r="EC598" s="64"/>
      <c r="ED598" s="64"/>
    </row>
    <row r="599" spans="26:134" ht="15.75" customHeight="1">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4"/>
      <c r="DL599" s="64"/>
      <c r="DM599" s="64"/>
      <c r="DN599" s="64"/>
      <c r="DO599" s="64"/>
      <c r="DP599" s="64"/>
      <c r="DQ599" s="64"/>
      <c r="DR599" s="64"/>
      <c r="DS599" s="64"/>
      <c r="DT599" s="64"/>
      <c r="DU599" s="64"/>
      <c r="DV599" s="64"/>
      <c r="DW599" s="64"/>
      <c r="DX599" s="64"/>
      <c r="DY599" s="64"/>
      <c r="DZ599" s="64"/>
      <c r="EA599" s="64"/>
      <c r="EB599" s="64"/>
      <c r="EC599" s="64"/>
      <c r="ED599" s="64"/>
    </row>
    <row r="600" spans="26:134" ht="15.75" customHeight="1">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4"/>
      <c r="DL600" s="64"/>
      <c r="DM600" s="64"/>
      <c r="DN600" s="64"/>
      <c r="DO600" s="64"/>
      <c r="DP600" s="64"/>
      <c r="DQ600" s="64"/>
      <c r="DR600" s="64"/>
      <c r="DS600" s="64"/>
      <c r="DT600" s="64"/>
      <c r="DU600" s="64"/>
      <c r="DV600" s="64"/>
      <c r="DW600" s="64"/>
      <c r="DX600" s="64"/>
      <c r="DY600" s="64"/>
      <c r="DZ600" s="64"/>
      <c r="EA600" s="64"/>
      <c r="EB600" s="64"/>
      <c r="EC600" s="64"/>
      <c r="ED600" s="64"/>
    </row>
    <row r="601" spans="26:134" ht="15.75" customHeight="1">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4"/>
      <c r="DL601" s="64"/>
      <c r="DM601" s="64"/>
      <c r="DN601" s="64"/>
      <c r="DO601" s="64"/>
      <c r="DP601" s="64"/>
      <c r="DQ601" s="64"/>
      <c r="DR601" s="64"/>
      <c r="DS601" s="64"/>
      <c r="DT601" s="64"/>
      <c r="DU601" s="64"/>
      <c r="DV601" s="64"/>
      <c r="DW601" s="64"/>
      <c r="DX601" s="64"/>
      <c r="DY601" s="64"/>
      <c r="DZ601" s="64"/>
      <c r="EA601" s="64"/>
      <c r="EB601" s="64"/>
      <c r="EC601" s="64"/>
      <c r="ED601" s="64"/>
    </row>
    <row r="602" spans="26:134" ht="15.75" customHeight="1">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4"/>
      <c r="DL602" s="64"/>
      <c r="DM602" s="64"/>
      <c r="DN602" s="64"/>
      <c r="DO602" s="64"/>
      <c r="DP602" s="64"/>
      <c r="DQ602" s="64"/>
      <c r="DR602" s="64"/>
      <c r="DS602" s="64"/>
      <c r="DT602" s="64"/>
      <c r="DU602" s="64"/>
      <c r="DV602" s="64"/>
      <c r="DW602" s="64"/>
      <c r="DX602" s="64"/>
      <c r="DY602" s="64"/>
      <c r="DZ602" s="64"/>
      <c r="EA602" s="64"/>
      <c r="EB602" s="64"/>
      <c r="EC602" s="64"/>
      <c r="ED602" s="64"/>
    </row>
    <row r="603" spans="26:134" ht="15.75" customHeight="1">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4"/>
      <c r="DL603" s="64"/>
      <c r="DM603" s="64"/>
      <c r="DN603" s="64"/>
      <c r="DO603" s="64"/>
      <c r="DP603" s="64"/>
      <c r="DQ603" s="64"/>
      <c r="DR603" s="64"/>
      <c r="DS603" s="64"/>
      <c r="DT603" s="64"/>
      <c r="DU603" s="64"/>
      <c r="DV603" s="64"/>
      <c r="DW603" s="64"/>
      <c r="DX603" s="64"/>
      <c r="DY603" s="64"/>
      <c r="DZ603" s="64"/>
      <c r="EA603" s="64"/>
      <c r="EB603" s="64"/>
      <c r="EC603" s="64"/>
      <c r="ED603" s="64"/>
    </row>
    <row r="604" spans="26:134" ht="15.75" customHeight="1">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4"/>
      <c r="DL604" s="64"/>
      <c r="DM604" s="64"/>
      <c r="DN604" s="64"/>
      <c r="DO604" s="64"/>
      <c r="DP604" s="64"/>
      <c r="DQ604" s="64"/>
      <c r="DR604" s="64"/>
      <c r="DS604" s="64"/>
      <c r="DT604" s="64"/>
      <c r="DU604" s="64"/>
      <c r="DV604" s="64"/>
      <c r="DW604" s="64"/>
      <c r="DX604" s="64"/>
      <c r="DY604" s="64"/>
      <c r="DZ604" s="64"/>
      <c r="EA604" s="64"/>
      <c r="EB604" s="64"/>
      <c r="EC604" s="64"/>
      <c r="ED604" s="64"/>
    </row>
    <row r="605" spans="26:134" ht="15.75" customHeight="1">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4"/>
      <c r="DL605" s="64"/>
      <c r="DM605" s="64"/>
      <c r="DN605" s="64"/>
      <c r="DO605" s="64"/>
      <c r="DP605" s="64"/>
      <c r="DQ605" s="64"/>
      <c r="DR605" s="64"/>
      <c r="DS605" s="64"/>
      <c r="DT605" s="64"/>
      <c r="DU605" s="64"/>
      <c r="DV605" s="64"/>
      <c r="DW605" s="64"/>
      <c r="DX605" s="64"/>
      <c r="DY605" s="64"/>
      <c r="DZ605" s="64"/>
      <c r="EA605" s="64"/>
      <c r="EB605" s="64"/>
      <c r="EC605" s="64"/>
      <c r="ED605" s="64"/>
    </row>
    <row r="606" spans="26:134" ht="15.75" customHeight="1">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4"/>
      <c r="DL606" s="64"/>
      <c r="DM606" s="64"/>
      <c r="DN606" s="64"/>
      <c r="DO606" s="64"/>
      <c r="DP606" s="64"/>
      <c r="DQ606" s="64"/>
      <c r="DR606" s="64"/>
      <c r="DS606" s="64"/>
      <c r="DT606" s="64"/>
      <c r="DU606" s="64"/>
      <c r="DV606" s="64"/>
      <c r="DW606" s="64"/>
      <c r="DX606" s="64"/>
      <c r="DY606" s="64"/>
      <c r="DZ606" s="64"/>
      <c r="EA606" s="64"/>
      <c r="EB606" s="64"/>
      <c r="EC606" s="64"/>
      <c r="ED606" s="64"/>
    </row>
    <row r="607" spans="26:134" ht="15.75" customHeight="1">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4"/>
      <c r="DL607" s="64"/>
      <c r="DM607" s="64"/>
      <c r="DN607" s="64"/>
      <c r="DO607" s="64"/>
      <c r="DP607" s="64"/>
      <c r="DQ607" s="64"/>
      <c r="DR607" s="64"/>
      <c r="DS607" s="64"/>
      <c r="DT607" s="64"/>
      <c r="DU607" s="64"/>
      <c r="DV607" s="64"/>
      <c r="DW607" s="64"/>
      <c r="DX607" s="64"/>
      <c r="DY607" s="64"/>
      <c r="DZ607" s="64"/>
      <c r="EA607" s="64"/>
      <c r="EB607" s="64"/>
      <c r="EC607" s="64"/>
      <c r="ED607" s="64"/>
    </row>
    <row r="608" spans="26:134" ht="15.75" customHeight="1">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4"/>
      <c r="DL608" s="64"/>
      <c r="DM608" s="64"/>
      <c r="DN608" s="64"/>
      <c r="DO608" s="64"/>
      <c r="DP608" s="64"/>
      <c r="DQ608" s="64"/>
      <c r="DR608" s="64"/>
      <c r="DS608" s="64"/>
      <c r="DT608" s="64"/>
      <c r="DU608" s="64"/>
      <c r="DV608" s="64"/>
      <c r="DW608" s="64"/>
      <c r="DX608" s="64"/>
      <c r="DY608" s="64"/>
      <c r="DZ608" s="64"/>
      <c r="EA608" s="64"/>
      <c r="EB608" s="64"/>
      <c r="EC608" s="64"/>
      <c r="ED608" s="64"/>
    </row>
    <row r="609" spans="26:134" ht="15.75" customHeight="1">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4"/>
      <c r="DL609" s="64"/>
      <c r="DM609" s="64"/>
      <c r="DN609" s="64"/>
      <c r="DO609" s="64"/>
      <c r="DP609" s="64"/>
      <c r="DQ609" s="64"/>
      <c r="DR609" s="64"/>
      <c r="DS609" s="64"/>
      <c r="DT609" s="64"/>
      <c r="DU609" s="64"/>
      <c r="DV609" s="64"/>
      <c r="DW609" s="64"/>
      <c r="DX609" s="64"/>
      <c r="DY609" s="64"/>
      <c r="DZ609" s="64"/>
      <c r="EA609" s="64"/>
      <c r="EB609" s="64"/>
      <c r="EC609" s="64"/>
      <c r="ED609" s="64"/>
    </row>
    <row r="610" spans="26:134" ht="15.75" customHeight="1">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4"/>
      <c r="DL610" s="64"/>
      <c r="DM610" s="64"/>
      <c r="DN610" s="64"/>
      <c r="DO610" s="64"/>
      <c r="DP610" s="64"/>
      <c r="DQ610" s="64"/>
      <c r="DR610" s="64"/>
      <c r="DS610" s="64"/>
      <c r="DT610" s="64"/>
      <c r="DU610" s="64"/>
      <c r="DV610" s="64"/>
      <c r="DW610" s="64"/>
      <c r="DX610" s="64"/>
      <c r="DY610" s="64"/>
      <c r="DZ610" s="64"/>
      <c r="EA610" s="64"/>
      <c r="EB610" s="64"/>
      <c r="EC610" s="64"/>
      <c r="ED610" s="64"/>
    </row>
    <row r="611" spans="26:134" ht="15.75" customHeight="1">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4"/>
      <c r="DL611" s="64"/>
      <c r="DM611" s="64"/>
      <c r="DN611" s="64"/>
      <c r="DO611" s="64"/>
      <c r="DP611" s="64"/>
      <c r="DQ611" s="64"/>
      <c r="DR611" s="64"/>
      <c r="DS611" s="64"/>
      <c r="DT611" s="64"/>
      <c r="DU611" s="64"/>
      <c r="DV611" s="64"/>
      <c r="DW611" s="64"/>
      <c r="DX611" s="64"/>
      <c r="DY611" s="64"/>
      <c r="DZ611" s="64"/>
      <c r="EA611" s="64"/>
      <c r="EB611" s="64"/>
      <c r="EC611" s="64"/>
      <c r="ED611" s="64"/>
    </row>
    <row r="612" spans="26:134" ht="15.75" customHeight="1">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4"/>
      <c r="DL612" s="64"/>
      <c r="DM612" s="64"/>
      <c r="DN612" s="64"/>
      <c r="DO612" s="64"/>
      <c r="DP612" s="64"/>
      <c r="DQ612" s="64"/>
      <c r="DR612" s="64"/>
      <c r="DS612" s="64"/>
      <c r="DT612" s="64"/>
      <c r="DU612" s="64"/>
      <c r="DV612" s="64"/>
      <c r="DW612" s="64"/>
      <c r="DX612" s="64"/>
      <c r="DY612" s="64"/>
      <c r="DZ612" s="64"/>
      <c r="EA612" s="64"/>
      <c r="EB612" s="64"/>
      <c r="EC612" s="64"/>
      <c r="ED612" s="64"/>
    </row>
    <row r="613" spans="26:134" ht="15.75" customHeight="1">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4"/>
      <c r="DL613" s="64"/>
      <c r="DM613" s="64"/>
      <c r="DN613" s="64"/>
      <c r="DO613" s="64"/>
      <c r="DP613" s="64"/>
      <c r="DQ613" s="64"/>
      <c r="DR613" s="64"/>
      <c r="DS613" s="64"/>
      <c r="DT613" s="64"/>
      <c r="DU613" s="64"/>
      <c r="DV613" s="64"/>
      <c r="DW613" s="64"/>
      <c r="DX613" s="64"/>
      <c r="DY613" s="64"/>
      <c r="DZ613" s="64"/>
      <c r="EA613" s="64"/>
      <c r="EB613" s="64"/>
      <c r="EC613" s="64"/>
      <c r="ED613" s="64"/>
    </row>
    <row r="614" spans="26:134" ht="15.75" customHeight="1">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4"/>
      <c r="DL614" s="64"/>
      <c r="DM614" s="64"/>
      <c r="DN614" s="64"/>
      <c r="DO614" s="64"/>
      <c r="DP614" s="64"/>
      <c r="DQ614" s="64"/>
      <c r="DR614" s="64"/>
      <c r="DS614" s="64"/>
      <c r="DT614" s="64"/>
      <c r="DU614" s="64"/>
      <c r="DV614" s="64"/>
      <c r="DW614" s="64"/>
      <c r="DX614" s="64"/>
      <c r="DY614" s="64"/>
      <c r="DZ614" s="64"/>
      <c r="EA614" s="64"/>
      <c r="EB614" s="64"/>
      <c r="EC614" s="64"/>
      <c r="ED614" s="64"/>
    </row>
    <row r="615" spans="26:134" ht="15.75" customHeight="1">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4"/>
      <c r="DL615" s="64"/>
      <c r="DM615" s="64"/>
      <c r="DN615" s="64"/>
      <c r="DO615" s="64"/>
      <c r="DP615" s="64"/>
      <c r="DQ615" s="64"/>
      <c r="DR615" s="64"/>
      <c r="DS615" s="64"/>
      <c r="DT615" s="64"/>
      <c r="DU615" s="64"/>
      <c r="DV615" s="64"/>
      <c r="DW615" s="64"/>
      <c r="DX615" s="64"/>
      <c r="DY615" s="64"/>
      <c r="DZ615" s="64"/>
      <c r="EA615" s="64"/>
      <c r="EB615" s="64"/>
      <c r="EC615" s="64"/>
      <c r="ED615" s="64"/>
    </row>
    <row r="616" spans="26:134" ht="15.75" customHeight="1">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4"/>
      <c r="DL616" s="64"/>
      <c r="DM616" s="64"/>
      <c r="DN616" s="64"/>
      <c r="DO616" s="64"/>
      <c r="DP616" s="64"/>
      <c r="DQ616" s="64"/>
      <c r="DR616" s="64"/>
      <c r="DS616" s="64"/>
      <c r="DT616" s="64"/>
      <c r="DU616" s="64"/>
      <c r="DV616" s="64"/>
      <c r="DW616" s="64"/>
      <c r="DX616" s="64"/>
      <c r="DY616" s="64"/>
      <c r="DZ616" s="64"/>
      <c r="EA616" s="64"/>
      <c r="EB616" s="64"/>
      <c r="EC616" s="64"/>
      <c r="ED616" s="64"/>
    </row>
    <row r="617" spans="26:134" ht="15.75" customHeight="1">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4"/>
      <c r="DL617" s="64"/>
      <c r="DM617" s="64"/>
      <c r="DN617" s="64"/>
      <c r="DO617" s="64"/>
      <c r="DP617" s="64"/>
      <c r="DQ617" s="64"/>
      <c r="DR617" s="64"/>
      <c r="DS617" s="64"/>
      <c r="DT617" s="64"/>
      <c r="DU617" s="64"/>
      <c r="DV617" s="64"/>
      <c r="DW617" s="64"/>
      <c r="DX617" s="64"/>
      <c r="DY617" s="64"/>
      <c r="DZ617" s="64"/>
      <c r="EA617" s="64"/>
      <c r="EB617" s="64"/>
      <c r="EC617" s="64"/>
      <c r="ED617" s="64"/>
    </row>
    <row r="618" spans="26:134" ht="15.75" customHeight="1">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4"/>
      <c r="DL618" s="64"/>
      <c r="DM618" s="64"/>
      <c r="DN618" s="64"/>
      <c r="DO618" s="64"/>
      <c r="DP618" s="64"/>
      <c r="DQ618" s="64"/>
      <c r="DR618" s="64"/>
      <c r="DS618" s="64"/>
      <c r="DT618" s="64"/>
      <c r="DU618" s="64"/>
      <c r="DV618" s="64"/>
      <c r="DW618" s="64"/>
      <c r="DX618" s="64"/>
      <c r="DY618" s="64"/>
      <c r="DZ618" s="64"/>
      <c r="EA618" s="64"/>
      <c r="EB618" s="64"/>
      <c r="EC618" s="64"/>
      <c r="ED618" s="64"/>
    </row>
    <row r="619" spans="26:134" ht="15.75" customHeight="1">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4"/>
      <c r="DL619" s="64"/>
      <c r="DM619" s="64"/>
      <c r="DN619" s="64"/>
      <c r="DO619" s="64"/>
      <c r="DP619" s="64"/>
      <c r="DQ619" s="64"/>
      <c r="DR619" s="64"/>
      <c r="DS619" s="64"/>
      <c r="DT619" s="64"/>
      <c r="DU619" s="64"/>
      <c r="DV619" s="64"/>
      <c r="DW619" s="64"/>
      <c r="DX619" s="64"/>
      <c r="DY619" s="64"/>
      <c r="DZ619" s="64"/>
      <c r="EA619" s="64"/>
      <c r="EB619" s="64"/>
      <c r="EC619" s="64"/>
      <c r="ED619" s="64"/>
    </row>
    <row r="620" spans="26:134" ht="15.75" customHeight="1">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4"/>
      <c r="DL620" s="64"/>
      <c r="DM620" s="64"/>
      <c r="DN620" s="64"/>
      <c r="DO620" s="64"/>
      <c r="DP620" s="64"/>
      <c r="DQ620" s="64"/>
      <c r="DR620" s="64"/>
      <c r="DS620" s="64"/>
      <c r="DT620" s="64"/>
      <c r="DU620" s="64"/>
      <c r="DV620" s="64"/>
      <c r="DW620" s="64"/>
      <c r="DX620" s="64"/>
      <c r="DY620" s="64"/>
      <c r="DZ620" s="64"/>
      <c r="EA620" s="64"/>
      <c r="EB620" s="64"/>
      <c r="EC620" s="64"/>
      <c r="ED620" s="64"/>
    </row>
    <row r="621" spans="26:134" ht="15.75" customHeight="1">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4"/>
      <c r="DL621" s="64"/>
      <c r="DM621" s="64"/>
      <c r="DN621" s="64"/>
      <c r="DO621" s="64"/>
      <c r="DP621" s="64"/>
      <c r="DQ621" s="64"/>
      <c r="DR621" s="64"/>
      <c r="DS621" s="64"/>
      <c r="DT621" s="64"/>
      <c r="DU621" s="64"/>
      <c r="DV621" s="64"/>
      <c r="DW621" s="64"/>
      <c r="DX621" s="64"/>
      <c r="DY621" s="64"/>
      <c r="DZ621" s="64"/>
      <c r="EA621" s="64"/>
      <c r="EB621" s="64"/>
      <c r="EC621" s="64"/>
      <c r="ED621" s="64"/>
    </row>
    <row r="622" spans="26:134" ht="15.75" customHeight="1">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4"/>
      <c r="DL622" s="64"/>
      <c r="DM622" s="64"/>
      <c r="DN622" s="64"/>
      <c r="DO622" s="64"/>
      <c r="DP622" s="64"/>
      <c r="DQ622" s="64"/>
      <c r="DR622" s="64"/>
      <c r="DS622" s="64"/>
      <c r="DT622" s="64"/>
      <c r="DU622" s="64"/>
      <c r="DV622" s="64"/>
      <c r="DW622" s="64"/>
      <c r="DX622" s="64"/>
      <c r="DY622" s="64"/>
      <c r="DZ622" s="64"/>
      <c r="EA622" s="64"/>
      <c r="EB622" s="64"/>
      <c r="EC622" s="64"/>
      <c r="ED622" s="64"/>
    </row>
    <row r="623" spans="26:134" ht="15.75" customHeight="1">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4"/>
      <c r="DL623" s="64"/>
      <c r="DM623" s="64"/>
      <c r="DN623" s="64"/>
      <c r="DO623" s="64"/>
      <c r="DP623" s="64"/>
      <c r="DQ623" s="64"/>
      <c r="DR623" s="64"/>
      <c r="DS623" s="64"/>
      <c r="DT623" s="64"/>
      <c r="DU623" s="64"/>
      <c r="DV623" s="64"/>
      <c r="DW623" s="64"/>
      <c r="DX623" s="64"/>
      <c r="DY623" s="64"/>
      <c r="DZ623" s="64"/>
      <c r="EA623" s="64"/>
      <c r="EB623" s="64"/>
      <c r="EC623" s="64"/>
      <c r="ED623" s="64"/>
    </row>
    <row r="624" spans="26:134" ht="15.75" customHeight="1">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4"/>
      <c r="DL624" s="64"/>
      <c r="DM624" s="64"/>
      <c r="DN624" s="64"/>
      <c r="DO624" s="64"/>
      <c r="DP624" s="64"/>
      <c r="DQ624" s="64"/>
      <c r="DR624" s="64"/>
      <c r="DS624" s="64"/>
      <c r="DT624" s="64"/>
      <c r="DU624" s="64"/>
      <c r="DV624" s="64"/>
      <c r="DW624" s="64"/>
      <c r="DX624" s="64"/>
      <c r="DY624" s="64"/>
      <c r="DZ624" s="64"/>
      <c r="EA624" s="64"/>
      <c r="EB624" s="64"/>
      <c r="EC624" s="64"/>
      <c r="ED624" s="64"/>
    </row>
    <row r="625" spans="26:134" ht="15.75" customHeight="1">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4"/>
      <c r="DL625" s="64"/>
      <c r="DM625" s="64"/>
      <c r="DN625" s="64"/>
      <c r="DO625" s="64"/>
      <c r="DP625" s="64"/>
      <c r="DQ625" s="64"/>
      <c r="DR625" s="64"/>
      <c r="DS625" s="64"/>
      <c r="DT625" s="64"/>
      <c r="DU625" s="64"/>
      <c r="DV625" s="64"/>
      <c r="DW625" s="64"/>
      <c r="DX625" s="64"/>
      <c r="DY625" s="64"/>
      <c r="DZ625" s="64"/>
      <c r="EA625" s="64"/>
      <c r="EB625" s="64"/>
      <c r="EC625" s="64"/>
      <c r="ED625" s="64"/>
    </row>
    <row r="626" spans="26:134" ht="15.75" customHeight="1">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4"/>
      <c r="DL626" s="64"/>
      <c r="DM626" s="64"/>
      <c r="DN626" s="64"/>
      <c r="DO626" s="64"/>
      <c r="DP626" s="64"/>
      <c r="DQ626" s="64"/>
      <c r="DR626" s="64"/>
      <c r="DS626" s="64"/>
      <c r="DT626" s="64"/>
      <c r="DU626" s="64"/>
      <c r="DV626" s="64"/>
      <c r="DW626" s="64"/>
      <c r="DX626" s="64"/>
      <c r="DY626" s="64"/>
      <c r="DZ626" s="64"/>
      <c r="EA626" s="64"/>
      <c r="EB626" s="64"/>
      <c r="EC626" s="64"/>
      <c r="ED626" s="64"/>
    </row>
    <row r="627" spans="26:134" ht="15.75" customHeight="1">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4"/>
      <c r="DL627" s="64"/>
      <c r="DM627" s="64"/>
      <c r="DN627" s="64"/>
      <c r="DO627" s="64"/>
      <c r="DP627" s="64"/>
      <c r="DQ627" s="64"/>
      <c r="DR627" s="64"/>
      <c r="DS627" s="64"/>
      <c r="DT627" s="64"/>
      <c r="DU627" s="64"/>
      <c r="DV627" s="64"/>
      <c r="DW627" s="64"/>
      <c r="DX627" s="64"/>
      <c r="DY627" s="64"/>
      <c r="DZ627" s="64"/>
      <c r="EA627" s="64"/>
      <c r="EB627" s="64"/>
      <c r="EC627" s="64"/>
      <c r="ED627" s="64"/>
    </row>
    <row r="628" spans="26:134" ht="15.75" customHeight="1">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4"/>
      <c r="DL628" s="64"/>
      <c r="DM628" s="64"/>
      <c r="DN628" s="64"/>
      <c r="DO628" s="64"/>
      <c r="DP628" s="64"/>
      <c r="DQ628" s="64"/>
      <c r="DR628" s="64"/>
      <c r="DS628" s="64"/>
      <c r="DT628" s="64"/>
      <c r="DU628" s="64"/>
      <c r="DV628" s="64"/>
      <c r="DW628" s="64"/>
      <c r="DX628" s="64"/>
      <c r="DY628" s="64"/>
      <c r="DZ628" s="64"/>
      <c r="EA628" s="64"/>
      <c r="EB628" s="64"/>
      <c r="EC628" s="64"/>
      <c r="ED628" s="64"/>
    </row>
    <row r="629" spans="26:134" ht="15.75" customHeight="1">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4"/>
      <c r="DL629" s="64"/>
      <c r="DM629" s="64"/>
      <c r="DN629" s="64"/>
      <c r="DO629" s="64"/>
      <c r="DP629" s="64"/>
      <c r="DQ629" s="64"/>
      <c r="DR629" s="64"/>
      <c r="DS629" s="64"/>
      <c r="DT629" s="64"/>
      <c r="DU629" s="64"/>
      <c r="DV629" s="64"/>
      <c r="DW629" s="64"/>
      <c r="DX629" s="64"/>
      <c r="DY629" s="64"/>
      <c r="DZ629" s="64"/>
      <c r="EA629" s="64"/>
      <c r="EB629" s="64"/>
      <c r="EC629" s="64"/>
      <c r="ED629" s="64"/>
    </row>
    <row r="630" spans="26:134" ht="15.75" customHeight="1">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4"/>
      <c r="DL630" s="64"/>
      <c r="DM630" s="64"/>
      <c r="DN630" s="64"/>
      <c r="DO630" s="64"/>
      <c r="DP630" s="64"/>
      <c r="DQ630" s="64"/>
      <c r="DR630" s="64"/>
      <c r="DS630" s="64"/>
      <c r="DT630" s="64"/>
      <c r="DU630" s="64"/>
      <c r="DV630" s="64"/>
      <c r="DW630" s="64"/>
      <c r="DX630" s="64"/>
      <c r="DY630" s="64"/>
      <c r="DZ630" s="64"/>
      <c r="EA630" s="64"/>
      <c r="EB630" s="64"/>
      <c r="EC630" s="64"/>
      <c r="ED630" s="64"/>
    </row>
    <row r="631" spans="26:134" ht="15.75" customHeight="1">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4"/>
      <c r="DL631" s="64"/>
      <c r="DM631" s="64"/>
      <c r="DN631" s="64"/>
      <c r="DO631" s="64"/>
      <c r="DP631" s="64"/>
      <c r="DQ631" s="64"/>
      <c r="DR631" s="64"/>
      <c r="DS631" s="64"/>
      <c r="DT631" s="64"/>
      <c r="DU631" s="64"/>
      <c r="DV631" s="64"/>
      <c r="DW631" s="64"/>
      <c r="DX631" s="64"/>
      <c r="DY631" s="64"/>
      <c r="DZ631" s="64"/>
      <c r="EA631" s="64"/>
      <c r="EB631" s="64"/>
      <c r="EC631" s="64"/>
      <c r="ED631" s="64"/>
    </row>
    <row r="632" spans="26:134" ht="15.75" customHeight="1">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4"/>
      <c r="DL632" s="64"/>
      <c r="DM632" s="64"/>
      <c r="DN632" s="64"/>
      <c r="DO632" s="64"/>
      <c r="DP632" s="64"/>
      <c r="DQ632" s="64"/>
      <c r="DR632" s="64"/>
      <c r="DS632" s="64"/>
      <c r="DT632" s="64"/>
      <c r="DU632" s="64"/>
      <c r="DV632" s="64"/>
      <c r="DW632" s="64"/>
      <c r="DX632" s="64"/>
      <c r="DY632" s="64"/>
      <c r="DZ632" s="64"/>
      <c r="EA632" s="64"/>
      <c r="EB632" s="64"/>
      <c r="EC632" s="64"/>
      <c r="ED632" s="64"/>
    </row>
    <row r="633" spans="26:134" ht="15.75" customHeight="1">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4"/>
      <c r="DL633" s="64"/>
      <c r="DM633" s="64"/>
      <c r="DN633" s="64"/>
      <c r="DO633" s="64"/>
      <c r="DP633" s="64"/>
      <c r="DQ633" s="64"/>
      <c r="DR633" s="64"/>
      <c r="DS633" s="64"/>
      <c r="DT633" s="64"/>
      <c r="DU633" s="64"/>
      <c r="DV633" s="64"/>
      <c r="DW633" s="64"/>
      <c r="DX633" s="64"/>
      <c r="DY633" s="64"/>
      <c r="DZ633" s="64"/>
      <c r="EA633" s="64"/>
      <c r="EB633" s="64"/>
      <c r="EC633" s="64"/>
      <c r="ED633" s="64"/>
    </row>
    <row r="634" spans="26:134" ht="15.75" customHeight="1">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4"/>
      <c r="DL634" s="64"/>
      <c r="DM634" s="64"/>
      <c r="DN634" s="64"/>
      <c r="DO634" s="64"/>
      <c r="DP634" s="64"/>
      <c r="DQ634" s="64"/>
      <c r="DR634" s="64"/>
      <c r="DS634" s="64"/>
      <c r="DT634" s="64"/>
      <c r="DU634" s="64"/>
      <c r="DV634" s="64"/>
      <c r="DW634" s="64"/>
      <c r="DX634" s="64"/>
      <c r="DY634" s="64"/>
      <c r="DZ634" s="64"/>
      <c r="EA634" s="64"/>
      <c r="EB634" s="64"/>
      <c r="EC634" s="64"/>
      <c r="ED634" s="64"/>
    </row>
    <row r="635" spans="26:134" ht="15.75" customHeight="1">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4"/>
      <c r="DL635" s="64"/>
      <c r="DM635" s="64"/>
      <c r="DN635" s="64"/>
      <c r="DO635" s="64"/>
      <c r="DP635" s="64"/>
      <c r="DQ635" s="64"/>
      <c r="DR635" s="64"/>
      <c r="DS635" s="64"/>
      <c r="DT635" s="64"/>
      <c r="DU635" s="64"/>
      <c r="DV635" s="64"/>
      <c r="DW635" s="64"/>
      <c r="DX635" s="64"/>
      <c r="DY635" s="64"/>
      <c r="DZ635" s="64"/>
      <c r="EA635" s="64"/>
      <c r="EB635" s="64"/>
      <c r="EC635" s="64"/>
      <c r="ED635" s="64"/>
    </row>
    <row r="636" spans="26:134" ht="15.75" customHeight="1">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4"/>
      <c r="DL636" s="64"/>
      <c r="DM636" s="64"/>
      <c r="DN636" s="64"/>
      <c r="DO636" s="64"/>
      <c r="DP636" s="64"/>
      <c r="DQ636" s="64"/>
      <c r="DR636" s="64"/>
      <c r="DS636" s="64"/>
      <c r="DT636" s="64"/>
      <c r="DU636" s="64"/>
      <c r="DV636" s="64"/>
      <c r="DW636" s="64"/>
      <c r="DX636" s="64"/>
      <c r="DY636" s="64"/>
      <c r="DZ636" s="64"/>
      <c r="EA636" s="64"/>
      <c r="EB636" s="64"/>
      <c r="EC636" s="64"/>
      <c r="ED636" s="64"/>
    </row>
    <row r="637" spans="26:134" ht="15.75" customHeight="1">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4"/>
      <c r="DL637" s="64"/>
      <c r="DM637" s="64"/>
      <c r="DN637" s="64"/>
      <c r="DO637" s="64"/>
      <c r="DP637" s="64"/>
      <c r="DQ637" s="64"/>
      <c r="DR637" s="64"/>
      <c r="DS637" s="64"/>
      <c r="DT637" s="64"/>
      <c r="DU637" s="64"/>
      <c r="DV637" s="64"/>
      <c r="DW637" s="64"/>
      <c r="DX637" s="64"/>
      <c r="DY637" s="64"/>
      <c r="DZ637" s="64"/>
      <c r="EA637" s="64"/>
      <c r="EB637" s="64"/>
      <c r="EC637" s="64"/>
      <c r="ED637" s="64"/>
    </row>
    <row r="638" spans="26:134" ht="15.75" customHeight="1">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4"/>
      <c r="DL638" s="64"/>
      <c r="DM638" s="64"/>
      <c r="DN638" s="64"/>
      <c r="DO638" s="64"/>
      <c r="DP638" s="64"/>
      <c r="DQ638" s="64"/>
      <c r="DR638" s="64"/>
      <c r="DS638" s="64"/>
      <c r="DT638" s="64"/>
      <c r="DU638" s="64"/>
      <c r="DV638" s="64"/>
      <c r="DW638" s="64"/>
      <c r="DX638" s="64"/>
      <c r="DY638" s="64"/>
      <c r="DZ638" s="64"/>
      <c r="EA638" s="64"/>
      <c r="EB638" s="64"/>
      <c r="EC638" s="64"/>
      <c r="ED638" s="64"/>
    </row>
    <row r="639" spans="26:134" ht="15.75" customHeight="1">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4"/>
      <c r="DL639" s="64"/>
      <c r="DM639" s="64"/>
      <c r="DN639" s="64"/>
      <c r="DO639" s="64"/>
      <c r="DP639" s="64"/>
      <c r="DQ639" s="64"/>
      <c r="DR639" s="64"/>
      <c r="DS639" s="64"/>
      <c r="DT639" s="64"/>
      <c r="DU639" s="64"/>
      <c r="DV639" s="64"/>
      <c r="DW639" s="64"/>
      <c r="DX639" s="64"/>
      <c r="DY639" s="64"/>
      <c r="DZ639" s="64"/>
      <c r="EA639" s="64"/>
      <c r="EB639" s="64"/>
      <c r="EC639" s="64"/>
      <c r="ED639" s="64"/>
    </row>
    <row r="640" spans="26:134" ht="15.75" customHeight="1">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4"/>
      <c r="DL640" s="64"/>
      <c r="DM640" s="64"/>
      <c r="DN640" s="64"/>
      <c r="DO640" s="64"/>
      <c r="DP640" s="64"/>
      <c r="DQ640" s="64"/>
      <c r="DR640" s="64"/>
      <c r="DS640" s="64"/>
      <c r="DT640" s="64"/>
      <c r="DU640" s="64"/>
      <c r="DV640" s="64"/>
      <c r="DW640" s="64"/>
      <c r="DX640" s="64"/>
      <c r="DY640" s="64"/>
      <c r="DZ640" s="64"/>
      <c r="EA640" s="64"/>
      <c r="EB640" s="64"/>
      <c r="EC640" s="64"/>
      <c r="ED640" s="64"/>
    </row>
    <row r="641" spans="26:134" ht="15.75" customHeight="1">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4"/>
      <c r="DL641" s="64"/>
      <c r="DM641" s="64"/>
      <c r="DN641" s="64"/>
      <c r="DO641" s="64"/>
      <c r="DP641" s="64"/>
      <c r="DQ641" s="64"/>
      <c r="DR641" s="64"/>
      <c r="DS641" s="64"/>
      <c r="DT641" s="64"/>
      <c r="DU641" s="64"/>
      <c r="DV641" s="64"/>
      <c r="DW641" s="64"/>
      <c r="DX641" s="64"/>
      <c r="DY641" s="64"/>
      <c r="DZ641" s="64"/>
      <c r="EA641" s="64"/>
      <c r="EB641" s="64"/>
      <c r="EC641" s="64"/>
      <c r="ED641" s="64"/>
    </row>
    <row r="642" spans="26:134" ht="15.75" customHeight="1">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4"/>
      <c r="DL642" s="64"/>
      <c r="DM642" s="64"/>
      <c r="DN642" s="64"/>
      <c r="DO642" s="64"/>
      <c r="DP642" s="64"/>
      <c r="DQ642" s="64"/>
      <c r="DR642" s="64"/>
      <c r="DS642" s="64"/>
      <c r="DT642" s="64"/>
      <c r="DU642" s="64"/>
      <c r="DV642" s="64"/>
      <c r="DW642" s="64"/>
      <c r="DX642" s="64"/>
      <c r="DY642" s="64"/>
      <c r="DZ642" s="64"/>
      <c r="EA642" s="64"/>
      <c r="EB642" s="64"/>
      <c r="EC642" s="64"/>
      <c r="ED642" s="64"/>
    </row>
    <row r="643" spans="26:134" ht="15.75" customHeight="1">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4"/>
      <c r="DL643" s="64"/>
      <c r="DM643" s="64"/>
      <c r="DN643" s="64"/>
      <c r="DO643" s="64"/>
      <c r="DP643" s="64"/>
      <c r="DQ643" s="64"/>
      <c r="DR643" s="64"/>
      <c r="DS643" s="64"/>
      <c r="DT643" s="64"/>
      <c r="DU643" s="64"/>
      <c r="DV643" s="64"/>
      <c r="DW643" s="64"/>
      <c r="DX643" s="64"/>
      <c r="DY643" s="64"/>
      <c r="DZ643" s="64"/>
      <c r="EA643" s="64"/>
      <c r="EB643" s="64"/>
      <c r="EC643" s="64"/>
      <c r="ED643" s="64"/>
    </row>
    <row r="644" spans="26:134" ht="15.75" customHeight="1">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4"/>
      <c r="DL644" s="64"/>
      <c r="DM644" s="64"/>
      <c r="DN644" s="64"/>
      <c r="DO644" s="64"/>
      <c r="DP644" s="64"/>
      <c r="DQ644" s="64"/>
      <c r="DR644" s="64"/>
      <c r="DS644" s="64"/>
      <c r="DT644" s="64"/>
      <c r="DU644" s="64"/>
      <c r="DV644" s="64"/>
      <c r="DW644" s="64"/>
      <c r="DX644" s="64"/>
      <c r="DY644" s="64"/>
      <c r="DZ644" s="64"/>
      <c r="EA644" s="64"/>
      <c r="EB644" s="64"/>
      <c r="EC644" s="64"/>
      <c r="ED644" s="64"/>
    </row>
    <row r="645" spans="26:134" ht="15.75" customHeight="1">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4"/>
      <c r="DL645" s="64"/>
      <c r="DM645" s="64"/>
      <c r="DN645" s="64"/>
      <c r="DO645" s="64"/>
      <c r="DP645" s="64"/>
      <c r="DQ645" s="64"/>
      <c r="DR645" s="64"/>
      <c r="DS645" s="64"/>
      <c r="DT645" s="64"/>
      <c r="DU645" s="64"/>
      <c r="DV645" s="64"/>
      <c r="DW645" s="64"/>
      <c r="DX645" s="64"/>
      <c r="DY645" s="64"/>
      <c r="DZ645" s="64"/>
      <c r="EA645" s="64"/>
      <c r="EB645" s="64"/>
      <c r="EC645" s="64"/>
      <c r="ED645" s="64"/>
    </row>
    <row r="646" spans="26:134" ht="15.75" customHeight="1">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4"/>
      <c r="DL646" s="64"/>
      <c r="DM646" s="64"/>
      <c r="DN646" s="64"/>
      <c r="DO646" s="64"/>
      <c r="DP646" s="64"/>
      <c r="DQ646" s="64"/>
      <c r="DR646" s="64"/>
      <c r="DS646" s="64"/>
      <c r="DT646" s="64"/>
      <c r="DU646" s="64"/>
      <c r="DV646" s="64"/>
      <c r="DW646" s="64"/>
      <c r="DX646" s="64"/>
      <c r="DY646" s="64"/>
      <c r="DZ646" s="64"/>
      <c r="EA646" s="64"/>
      <c r="EB646" s="64"/>
      <c r="EC646" s="64"/>
      <c r="ED646" s="64"/>
    </row>
    <row r="647" spans="26:134" ht="15.75" customHeight="1">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4"/>
      <c r="DL647" s="64"/>
      <c r="DM647" s="64"/>
      <c r="DN647" s="64"/>
      <c r="DO647" s="64"/>
      <c r="DP647" s="64"/>
      <c r="DQ647" s="64"/>
      <c r="DR647" s="64"/>
      <c r="DS647" s="64"/>
      <c r="DT647" s="64"/>
      <c r="DU647" s="64"/>
      <c r="DV647" s="64"/>
      <c r="DW647" s="64"/>
      <c r="DX647" s="64"/>
      <c r="DY647" s="64"/>
      <c r="DZ647" s="64"/>
      <c r="EA647" s="64"/>
      <c r="EB647" s="64"/>
      <c r="EC647" s="64"/>
      <c r="ED647" s="64"/>
    </row>
    <row r="648" spans="26:134" ht="15.75" customHeight="1">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4"/>
      <c r="DL648" s="64"/>
      <c r="DM648" s="64"/>
      <c r="DN648" s="64"/>
      <c r="DO648" s="64"/>
      <c r="DP648" s="64"/>
      <c r="DQ648" s="64"/>
      <c r="DR648" s="64"/>
      <c r="DS648" s="64"/>
      <c r="DT648" s="64"/>
      <c r="DU648" s="64"/>
      <c r="DV648" s="64"/>
      <c r="DW648" s="64"/>
      <c r="DX648" s="64"/>
      <c r="DY648" s="64"/>
      <c r="DZ648" s="64"/>
      <c r="EA648" s="64"/>
      <c r="EB648" s="64"/>
      <c r="EC648" s="64"/>
      <c r="ED648" s="64"/>
    </row>
    <row r="649" spans="26:134" ht="15.75" customHeight="1">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4"/>
      <c r="DL649" s="64"/>
      <c r="DM649" s="64"/>
      <c r="DN649" s="64"/>
      <c r="DO649" s="64"/>
      <c r="DP649" s="64"/>
      <c r="DQ649" s="64"/>
      <c r="DR649" s="64"/>
      <c r="DS649" s="64"/>
      <c r="DT649" s="64"/>
      <c r="DU649" s="64"/>
      <c r="DV649" s="64"/>
      <c r="DW649" s="64"/>
      <c r="DX649" s="64"/>
      <c r="DY649" s="64"/>
      <c r="DZ649" s="64"/>
      <c r="EA649" s="64"/>
      <c r="EB649" s="64"/>
      <c r="EC649" s="64"/>
      <c r="ED649" s="64"/>
    </row>
    <row r="650" spans="26:134" ht="15.75" customHeight="1">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4"/>
      <c r="DL650" s="64"/>
      <c r="DM650" s="64"/>
      <c r="DN650" s="64"/>
      <c r="DO650" s="64"/>
      <c r="DP650" s="64"/>
      <c r="DQ650" s="64"/>
      <c r="DR650" s="64"/>
      <c r="DS650" s="64"/>
      <c r="DT650" s="64"/>
      <c r="DU650" s="64"/>
      <c r="DV650" s="64"/>
      <c r="DW650" s="64"/>
      <c r="DX650" s="64"/>
      <c r="DY650" s="64"/>
      <c r="DZ650" s="64"/>
      <c r="EA650" s="64"/>
      <c r="EB650" s="64"/>
      <c r="EC650" s="64"/>
      <c r="ED650" s="64"/>
    </row>
    <row r="651" spans="26:134" ht="15.75" customHeight="1">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4"/>
      <c r="DL651" s="64"/>
      <c r="DM651" s="64"/>
      <c r="DN651" s="64"/>
      <c r="DO651" s="64"/>
      <c r="DP651" s="64"/>
      <c r="DQ651" s="64"/>
      <c r="DR651" s="64"/>
      <c r="DS651" s="64"/>
      <c r="DT651" s="64"/>
      <c r="DU651" s="64"/>
      <c r="DV651" s="64"/>
      <c r="DW651" s="64"/>
      <c r="DX651" s="64"/>
      <c r="DY651" s="64"/>
      <c r="DZ651" s="64"/>
      <c r="EA651" s="64"/>
      <c r="EB651" s="64"/>
      <c r="EC651" s="64"/>
      <c r="ED651" s="64"/>
    </row>
    <row r="652" spans="26:134" ht="15.75" customHeight="1">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4"/>
      <c r="DL652" s="64"/>
      <c r="DM652" s="64"/>
      <c r="DN652" s="64"/>
      <c r="DO652" s="64"/>
      <c r="DP652" s="64"/>
      <c r="DQ652" s="64"/>
      <c r="DR652" s="64"/>
      <c r="DS652" s="64"/>
      <c r="DT652" s="64"/>
      <c r="DU652" s="64"/>
      <c r="DV652" s="64"/>
      <c r="DW652" s="64"/>
      <c r="DX652" s="64"/>
      <c r="DY652" s="64"/>
      <c r="DZ652" s="64"/>
      <c r="EA652" s="64"/>
      <c r="EB652" s="64"/>
      <c r="EC652" s="64"/>
      <c r="ED652" s="64"/>
    </row>
    <row r="653" spans="26:134" ht="15.75" customHeight="1">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4"/>
      <c r="DL653" s="64"/>
      <c r="DM653" s="64"/>
      <c r="DN653" s="64"/>
      <c r="DO653" s="64"/>
      <c r="DP653" s="64"/>
      <c r="DQ653" s="64"/>
      <c r="DR653" s="64"/>
      <c r="DS653" s="64"/>
      <c r="DT653" s="64"/>
      <c r="DU653" s="64"/>
      <c r="DV653" s="64"/>
      <c r="DW653" s="64"/>
      <c r="DX653" s="64"/>
      <c r="DY653" s="64"/>
      <c r="DZ653" s="64"/>
      <c r="EA653" s="64"/>
      <c r="EB653" s="64"/>
      <c r="EC653" s="64"/>
      <c r="ED653" s="64"/>
    </row>
    <row r="654" spans="26:134" ht="15.75" customHeight="1">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4"/>
      <c r="DL654" s="64"/>
      <c r="DM654" s="64"/>
      <c r="DN654" s="64"/>
      <c r="DO654" s="64"/>
      <c r="DP654" s="64"/>
      <c r="DQ654" s="64"/>
      <c r="DR654" s="64"/>
      <c r="DS654" s="64"/>
      <c r="DT654" s="64"/>
      <c r="DU654" s="64"/>
      <c r="DV654" s="64"/>
      <c r="DW654" s="64"/>
      <c r="DX654" s="64"/>
      <c r="DY654" s="64"/>
      <c r="DZ654" s="64"/>
      <c r="EA654" s="64"/>
      <c r="EB654" s="64"/>
      <c r="EC654" s="64"/>
      <c r="ED654" s="64"/>
    </row>
    <row r="655" spans="26:134" ht="15.75" customHeight="1">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4"/>
      <c r="DL655" s="64"/>
      <c r="DM655" s="64"/>
      <c r="DN655" s="64"/>
      <c r="DO655" s="64"/>
      <c r="DP655" s="64"/>
      <c r="DQ655" s="64"/>
      <c r="DR655" s="64"/>
      <c r="DS655" s="64"/>
      <c r="DT655" s="64"/>
      <c r="DU655" s="64"/>
      <c r="DV655" s="64"/>
      <c r="DW655" s="64"/>
      <c r="DX655" s="64"/>
      <c r="DY655" s="64"/>
      <c r="DZ655" s="64"/>
      <c r="EA655" s="64"/>
      <c r="EB655" s="64"/>
      <c r="EC655" s="64"/>
      <c r="ED655" s="64"/>
    </row>
    <row r="656" spans="26:134" ht="15.75" customHeight="1">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4"/>
      <c r="DL656" s="64"/>
      <c r="DM656" s="64"/>
      <c r="DN656" s="64"/>
      <c r="DO656" s="64"/>
      <c r="DP656" s="64"/>
      <c r="DQ656" s="64"/>
      <c r="DR656" s="64"/>
      <c r="DS656" s="64"/>
      <c r="DT656" s="64"/>
      <c r="DU656" s="64"/>
      <c r="DV656" s="64"/>
      <c r="DW656" s="64"/>
      <c r="DX656" s="64"/>
      <c r="DY656" s="64"/>
      <c r="DZ656" s="64"/>
      <c r="EA656" s="64"/>
      <c r="EB656" s="64"/>
      <c r="EC656" s="64"/>
      <c r="ED656" s="64"/>
    </row>
    <row r="657" spans="26:134" ht="15.75" customHeight="1">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4"/>
      <c r="DL657" s="64"/>
      <c r="DM657" s="64"/>
      <c r="DN657" s="64"/>
      <c r="DO657" s="64"/>
      <c r="DP657" s="64"/>
      <c r="DQ657" s="64"/>
      <c r="DR657" s="64"/>
      <c r="DS657" s="64"/>
      <c r="DT657" s="64"/>
      <c r="DU657" s="64"/>
      <c r="DV657" s="64"/>
      <c r="DW657" s="64"/>
      <c r="DX657" s="64"/>
      <c r="DY657" s="64"/>
      <c r="DZ657" s="64"/>
      <c r="EA657" s="64"/>
      <c r="EB657" s="64"/>
      <c r="EC657" s="64"/>
      <c r="ED657" s="64"/>
    </row>
    <row r="658" spans="26:134" ht="15.75" customHeight="1">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4"/>
      <c r="DL658" s="64"/>
      <c r="DM658" s="64"/>
      <c r="DN658" s="64"/>
      <c r="DO658" s="64"/>
      <c r="DP658" s="64"/>
      <c r="DQ658" s="64"/>
      <c r="DR658" s="64"/>
      <c r="DS658" s="64"/>
      <c r="DT658" s="64"/>
      <c r="DU658" s="64"/>
      <c r="DV658" s="64"/>
      <c r="DW658" s="64"/>
      <c r="DX658" s="64"/>
      <c r="DY658" s="64"/>
      <c r="DZ658" s="64"/>
      <c r="EA658" s="64"/>
      <c r="EB658" s="64"/>
      <c r="EC658" s="64"/>
      <c r="ED658" s="64"/>
    </row>
    <row r="659" spans="26:134" ht="15.75" customHeight="1">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4"/>
      <c r="DL659" s="64"/>
      <c r="DM659" s="64"/>
      <c r="DN659" s="64"/>
      <c r="DO659" s="64"/>
      <c r="DP659" s="64"/>
      <c r="DQ659" s="64"/>
      <c r="DR659" s="64"/>
      <c r="DS659" s="64"/>
      <c r="DT659" s="64"/>
      <c r="DU659" s="64"/>
      <c r="DV659" s="64"/>
      <c r="DW659" s="64"/>
      <c r="DX659" s="64"/>
      <c r="DY659" s="64"/>
      <c r="DZ659" s="64"/>
      <c r="EA659" s="64"/>
      <c r="EB659" s="64"/>
      <c r="EC659" s="64"/>
      <c r="ED659" s="64"/>
    </row>
    <row r="660" spans="26:134" ht="15.75" customHeight="1">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4"/>
      <c r="DL660" s="64"/>
      <c r="DM660" s="64"/>
      <c r="DN660" s="64"/>
      <c r="DO660" s="64"/>
      <c r="DP660" s="64"/>
      <c r="DQ660" s="64"/>
      <c r="DR660" s="64"/>
      <c r="DS660" s="64"/>
      <c r="DT660" s="64"/>
      <c r="DU660" s="64"/>
      <c r="DV660" s="64"/>
      <c r="DW660" s="64"/>
      <c r="DX660" s="64"/>
      <c r="DY660" s="64"/>
      <c r="DZ660" s="64"/>
      <c r="EA660" s="64"/>
      <c r="EB660" s="64"/>
      <c r="EC660" s="64"/>
      <c r="ED660" s="64"/>
    </row>
    <row r="661" spans="26:134" ht="15.75" customHeight="1">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4"/>
      <c r="DL661" s="64"/>
      <c r="DM661" s="64"/>
      <c r="DN661" s="64"/>
      <c r="DO661" s="64"/>
      <c r="DP661" s="64"/>
      <c r="DQ661" s="64"/>
      <c r="DR661" s="64"/>
      <c r="DS661" s="64"/>
      <c r="DT661" s="64"/>
      <c r="DU661" s="64"/>
      <c r="DV661" s="64"/>
      <c r="DW661" s="64"/>
      <c r="DX661" s="64"/>
      <c r="DY661" s="64"/>
      <c r="DZ661" s="64"/>
      <c r="EA661" s="64"/>
      <c r="EB661" s="64"/>
      <c r="EC661" s="64"/>
      <c r="ED661" s="64"/>
    </row>
    <row r="662" spans="26:134" ht="15.75" customHeight="1">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4"/>
      <c r="DL662" s="64"/>
      <c r="DM662" s="64"/>
      <c r="DN662" s="64"/>
      <c r="DO662" s="64"/>
      <c r="DP662" s="64"/>
      <c r="DQ662" s="64"/>
      <c r="DR662" s="64"/>
      <c r="DS662" s="64"/>
      <c r="DT662" s="64"/>
      <c r="DU662" s="64"/>
      <c r="DV662" s="64"/>
      <c r="DW662" s="64"/>
      <c r="DX662" s="64"/>
      <c r="DY662" s="64"/>
      <c r="DZ662" s="64"/>
      <c r="EA662" s="64"/>
      <c r="EB662" s="64"/>
      <c r="EC662" s="64"/>
      <c r="ED662" s="64"/>
    </row>
    <row r="663" spans="26:134" ht="15.75" customHeight="1">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4"/>
      <c r="DL663" s="64"/>
      <c r="DM663" s="64"/>
      <c r="DN663" s="64"/>
      <c r="DO663" s="64"/>
      <c r="DP663" s="64"/>
      <c r="DQ663" s="64"/>
      <c r="DR663" s="64"/>
      <c r="DS663" s="64"/>
      <c r="DT663" s="64"/>
      <c r="DU663" s="64"/>
      <c r="DV663" s="64"/>
      <c r="DW663" s="64"/>
      <c r="DX663" s="64"/>
      <c r="DY663" s="64"/>
      <c r="DZ663" s="64"/>
      <c r="EA663" s="64"/>
      <c r="EB663" s="64"/>
      <c r="EC663" s="64"/>
      <c r="ED663" s="64"/>
    </row>
    <row r="664" spans="26:134" ht="15.75" customHeight="1">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4"/>
      <c r="DL664" s="64"/>
      <c r="DM664" s="64"/>
      <c r="DN664" s="64"/>
      <c r="DO664" s="64"/>
      <c r="DP664" s="64"/>
      <c r="DQ664" s="64"/>
      <c r="DR664" s="64"/>
      <c r="DS664" s="64"/>
      <c r="DT664" s="64"/>
      <c r="DU664" s="64"/>
      <c r="DV664" s="64"/>
      <c r="DW664" s="64"/>
      <c r="DX664" s="64"/>
      <c r="DY664" s="64"/>
      <c r="DZ664" s="64"/>
      <c r="EA664" s="64"/>
      <c r="EB664" s="64"/>
      <c r="EC664" s="64"/>
      <c r="ED664" s="64"/>
    </row>
    <row r="665" spans="26:134" ht="15.75" customHeight="1">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4"/>
      <c r="DL665" s="64"/>
      <c r="DM665" s="64"/>
      <c r="DN665" s="64"/>
      <c r="DO665" s="64"/>
      <c r="DP665" s="64"/>
      <c r="DQ665" s="64"/>
      <c r="DR665" s="64"/>
      <c r="DS665" s="64"/>
      <c r="DT665" s="64"/>
      <c r="DU665" s="64"/>
      <c r="DV665" s="64"/>
      <c r="DW665" s="64"/>
      <c r="DX665" s="64"/>
      <c r="DY665" s="64"/>
      <c r="DZ665" s="64"/>
      <c r="EA665" s="64"/>
      <c r="EB665" s="64"/>
      <c r="EC665" s="64"/>
      <c r="ED665" s="64"/>
    </row>
    <row r="666" spans="26:134" ht="15.75" customHeight="1">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4"/>
      <c r="DL666" s="64"/>
      <c r="DM666" s="64"/>
      <c r="DN666" s="64"/>
      <c r="DO666" s="64"/>
      <c r="DP666" s="64"/>
      <c r="DQ666" s="64"/>
      <c r="DR666" s="64"/>
      <c r="DS666" s="64"/>
      <c r="DT666" s="64"/>
      <c r="DU666" s="64"/>
      <c r="DV666" s="64"/>
      <c r="DW666" s="64"/>
      <c r="DX666" s="64"/>
      <c r="DY666" s="64"/>
      <c r="DZ666" s="64"/>
      <c r="EA666" s="64"/>
      <c r="EB666" s="64"/>
      <c r="EC666" s="64"/>
      <c r="ED666" s="64"/>
    </row>
    <row r="667" spans="26:134" ht="15.75" customHeight="1">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4"/>
      <c r="DL667" s="64"/>
      <c r="DM667" s="64"/>
      <c r="DN667" s="64"/>
      <c r="DO667" s="64"/>
      <c r="DP667" s="64"/>
      <c r="DQ667" s="64"/>
      <c r="DR667" s="64"/>
      <c r="DS667" s="64"/>
      <c r="DT667" s="64"/>
      <c r="DU667" s="64"/>
      <c r="DV667" s="64"/>
      <c r="DW667" s="64"/>
      <c r="DX667" s="64"/>
      <c r="DY667" s="64"/>
      <c r="DZ667" s="64"/>
      <c r="EA667" s="64"/>
      <c r="EB667" s="64"/>
      <c r="EC667" s="64"/>
      <c r="ED667" s="64"/>
    </row>
    <row r="668" spans="26:134" ht="15.75" customHeight="1">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4"/>
      <c r="DL668" s="64"/>
      <c r="DM668" s="64"/>
      <c r="DN668" s="64"/>
      <c r="DO668" s="64"/>
      <c r="DP668" s="64"/>
      <c r="DQ668" s="64"/>
      <c r="DR668" s="64"/>
      <c r="DS668" s="64"/>
      <c r="DT668" s="64"/>
      <c r="DU668" s="64"/>
      <c r="DV668" s="64"/>
      <c r="DW668" s="64"/>
      <c r="DX668" s="64"/>
      <c r="DY668" s="64"/>
      <c r="DZ668" s="64"/>
      <c r="EA668" s="64"/>
      <c r="EB668" s="64"/>
      <c r="EC668" s="64"/>
      <c r="ED668" s="64"/>
    </row>
    <row r="669" spans="26:134" ht="15.75" customHeight="1">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4"/>
      <c r="DL669" s="64"/>
      <c r="DM669" s="64"/>
      <c r="DN669" s="64"/>
      <c r="DO669" s="64"/>
      <c r="DP669" s="64"/>
      <c r="DQ669" s="64"/>
      <c r="DR669" s="64"/>
      <c r="DS669" s="64"/>
      <c r="DT669" s="64"/>
      <c r="DU669" s="64"/>
      <c r="DV669" s="64"/>
      <c r="DW669" s="64"/>
      <c r="DX669" s="64"/>
      <c r="DY669" s="64"/>
      <c r="DZ669" s="64"/>
      <c r="EA669" s="64"/>
      <c r="EB669" s="64"/>
      <c r="EC669" s="64"/>
      <c r="ED669" s="64"/>
    </row>
    <row r="670" spans="26:134" ht="15.75" customHeight="1">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4"/>
      <c r="DL670" s="64"/>
      <c r="DM670" s="64"/>
      <c r="DN670" s="64"/>
      <c r="DO670" s="64"/>
      <c r="DP670" s="64"/>
      <c r="DQ670" s="64"/>
      <c r="DR670" s="64"/>
      <c r="DS670" s="64"/>
      <c r="DT670" s="64"/>
      <c r="DU670" s="64"/>
      <c r="DV670" s="64"/>
      <c r="DW670" s="64"/>
      <c r="DX670" s="64"/>
      <c r="DY670" s="64"/>
      <c r="DZ670" s="64"/>
      <c r="EA670" s="64"/>
      <c r="EB670" s="64"/>
      <c r="EC670" s="64"/>
      <c r="ED670" s="64"/>
    </row>
    <row r="671" spans="26:134" ht="15.75" customHeight="1">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4"/>
      <c r="DL671" s="64"/>
      <c r="DM671" s="64"/>
      <c r="DN671" s="64"/>
      <c r="DO671" s="64"/>
      <c r="DP671" s="64"/>
      <c r="DQ671" s="64"/>
      <c r="DR671" s="64"/>
      <c r="DS671" s="64"/>
      <c r="DT671" s="64"/>
      <c r="DU671" s="64"/>
      <c r="DV671" s="64"/>
      <c r="DW671" s="64"/>
      <c r="DX671" s="64"/>
      <c r="DY671" s="64"/>
      <c r="DZ671" s="64"/>
      <c r="EA671" s="64"/>
      <c r="EB671" s="64"/>
      <c r="EC671" s="64"/>
      <c r="ED671" s="64"/>
    </row>
    <row r="672" spans="26:134" ht="15.75" customHeight="1">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4"/>
      <c r="DL672" s="64"/>
      <c r="DM672" s="64"/>
      <c r="DN672" s="64"/>
      <c r="DO672" s="64"/>
      <c r="DP672" s="64"/>
      <c r="DQ672" s="64"/>
      <c r="DR672" s="64"/>
      <c r="DS672" s="64"/>
      <c r="DT672" s="64"/>
      <c r="DU672" s="64"/>
      <c r="DV672" s="64"/>
      <c r="DW672" s="64"/>
      <c r="DX672" s="64"/>
      <c r="DY672" s="64"/>
      <c r="DZ672" s="64"/>
      <c r="EA672" s="64"/>
      <c r="EB672" s="64"/>
      <c r="EC672" s="64"/>
      <c r="ED672" s="64"/>
    </row>
    <row r="673" spans="26:134" ht="15.75" customHeight="1">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4"/>
      <c r="DL673" s="64"/>
      <c r="DM673" s="64"/>
      <c r="DN673" s="64"/>
      <c r="DO673" s="64"/>
      <c r="DP673" s="64"/>
      <c r="DQ673" s="64"/>
      <c r="DR673" s="64"/>
      <c r="DS673" s="64"/>
      <c r="DT673" s="64"/>
      <c r="DU673" s="64"/>
      <c r="DV673" s="64"/>
      <c r="DW673" s="64"/>
      <c r="DX673" s="64"/>
      <c r="DY673" s="64"/>
      <c r="DZ673" s="64"/>
      <c r="EA673" s="64"/>
      <c r="EB673" s="64"/>
      <c r="EC673" s="64"/>
      <c r="ED673" s="64"/>
    </row>
    <row r="674" spans="26:134" ht="15.75" customHeight="1">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4"/>
      <c r="DL674" s="64"/>
      <c r="DM674" s="64"/>
      <c r="DN674" s="64"/>
      <c r="DO674" s="64"/>
      <c r="DP674" s="64"/>
      <c r="DQ674" s="64"/>
      <c r="DR674" s="64"/>
      <c r="DS674" s="64"/>
      <c r="DT674" s="64"/>
      <c r="DU674" s="64"/>
      <c r="DV674" s="64"/>
      <c r="DW674" s="64"/>
      <c r="DX674" s="64"/>
      <c r="DY674" s="64"/>
      <c r="DZ674" s="64"/>
      <c r="EA674" s="64"/>
      <c r="EB674" s="64"/>
      <c r="EC674" s="64"/>
      <c r="ED674" s="64"/>
    </row>
    <row r="675" spans="26:134" ht="15.75" customHeight="1">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4"/>
      <c r="DL675" s="64"/>
      <c r="DM675" s="64"/>
      <c r="DN675" s="64"/>
      <c r="DO675" s="64"/>
      <c r="DP675" s="64"/>
      <c r="DQ675" s="64"/>
      <c r="DR675" s="64"/>
      <c r="DS675" s="64"/>
      <c r="DT675" s="64"/>
      <c r="DU675" s="64"/>
      <c r="DV675" s="64"/>
      <c r="DW675" s="64"/>
      <c r="DX675" s="64"/>
      <c r="DY675" s="64"/>
      <c r="DZ675" s="64"/>
      <c r="EA675" s="64"/>
      <c r="EB675" s="64"/>
      <c r="EC675" s="64"/>
      <c r="ED675" s="64"/>
    </row>
    <row r="676" spans="26:134" ht="15.75" customHeight="1">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4"/>
      <c r="DL676" s="64"/>
      <c r="DM676" s="64"/>
      <c r="DN676" s="64"/>
      <c r="DO676" s="64"/>
      <c r="DP676" s="64"/>
      <c r="DQ676" s="64"/>
      <c r="DR676" s="64"/>
      <c r="DS676" s="64"/>
      <c r="DT676" s="64"/>
      <c r="DU676" s="64"/>
      <c r="DV676" s="64"/>
      <c r="DW676" s="64"/>
      <c r="DX676" s="64"/>
      <c r="DY676" s="64"/>
      <c r="DZ676" s="64"/>
      <c r="EA676" s="64"/>
      <c r="EB676" s="64"/>
      <c r="EC676" s="64"/>
      <c r="ED676" s="64"/>
    </row>
    <row r="677" spans="26:134" ht="15.75" customHeight="1">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4"/>
      <c r="DL677" s="64"/>
      <c r="DM677" s="64"/>
      <c r="DN677" s="64"/>
      <c r="DO677" s="64"/>
      <c r="DP677" s="64"/>
      <c r="DQ677" s="64"/>
      <c r="DR677" s="64"/>
      <c r="DS677" s="64"/>
      <c r="DT677" s="64"/>
      <c r="DU677" s="64"/>
      <c r="DV677" s="64"/>
      <c r="DW677" s="64"/>
      <c r="DX677" s="64"/>
      <c r="DY677" s="64"/>
      <c r="DZ677" s="64"/>
      <c r="EA677" s="64"/>
      <c r="EB677" s="64"/>
      <c r="EC677" s="64"/>
      <c r="ED677" s="64"/>
    </row>
    <row r="678" spans="26:134" ht="15.75" customHeight="1">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4"/>
      <c r="DL678" s="64"/>
      <c r="DM678" s="64"/>
      <c r="DN678" s="64"/>
      <c r="DO678" s="64"/>
      <c r="DP678" s="64"/>
      <c r="DQ678" s="64"/>
      <c r="DR678" s="64"/>
      <c r="DS678" s="64"/>
      <c r="DT678" s="64"/>
      <c r="DU678" s="64"/>
      <c r="DV678" s="64"/>
      <c r="DW678" s="64"/>
      <c r="DX678" s="64"/>
      <c r="DY678" s="64"/>
      <c r="DZ678" s="64"/>
      <c r="EA678" s="64"/>
      <c r="EB678" s="64"/>
      <c r="EC678" s="64"/>
      <c r="ED678" s="64"/>
    </row>
    <row r="679" spans="26:134" ht="15.75" customHeight="1">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4"/>
      <c r="DL679" s="64"/>
      <c r="DM679" s="64"/>
      <c r="DN679" s="64"/>
      <c r="DO679" s="64"/>
      <c r="DP679" s="64"/>
      <c r="DQ679" s="64"/>
      <c r="DR679" s="64"/>
      <c r="DS679" s="64"/>
      <c r="DT679" s="64"/>
      <c r="DU679" s="64"/>
      <c r="DV679" s="64"/>
      <c r="DW679" s="64"/>
      <c r="DX679" s="64"/>
      <c r="DY679" s="64"/>
      <c r="DZ679" s="64"/>
      <c r="EA679" s="64"/>
      <c r="EB679" s="64"/>
      <c r="EC679" s="64"/>
      <c r="ED679" s="64"/>
    </row>
    <row r="680" spans="26:134" ht="15.75" customHeight="1">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4"/>
      <c r="DL680" s="64"/>
      <c r="DM680" s="64"/>
      <c r="DN680" s="64"/>
      <c r="DO680" s="64"/>
      <c r="DP680" s="64"/>
      <c r="DQ680" s="64"/>
      <c r="DR680" s="64"/>
      <c r="DS680" s="64"/>
      <c r="DT680" s="64"/>
      <c r="DU680" s="64"/>
      <c r="DV680" s="64"/>
      <c r="DW680" s="64"/>
      <c r="DX680" s="64"/>
      <c r="DY680" s="64"/>
      <c r="DZ680" s="64"/>
      <c r="EA680" s="64"/>
      <c r="EB680" s="64"/>
      <c r="EC680" s="64"/>
      <c r="ED680" s="64"/>
    </row>
    <row r="681" spans="26:134" ht="15.75" customHeight="1">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4"/>
      <c r="DL681" s="64"/>
      <c r="DM681" s="64"/>
      <c r="DN681" s="64"/>
      <c r="DO681" s="64"/>
      <c r="DP681" s="64"/>
      <c r="DQ681" s="64"/>
      <c r="DR681" s="64"/>
      <c r="DS681" s="64"/>
      <c r="DT681" s="64"/>
      <c r="DU681" s="64"/>
      <c r="DV681" s="64"/>
      <c r="DW681" s="64"/>
      <c r="DX681" s="64"/>
      <c r="DY681" s="64"/>
      <c r="DZ681" s="64"/>
      <c r="EA681" s="64"/>
      <c r="EB681" s="64"/>
      <c r="EC681" s="64"/>
      <c r="ED681" s="64"/>
    </row>
    <row r="682" spans="26:134" ht="15.75" customHeight="1">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4"/>
      <c r="DL682" s="64"/>
      <c r="DM682" s="64"/>
      <c r="DN682" s="64"/>
      <c r="DO682" s="64"/>
      <c r="DP682" s="64"/>
      <c r="DQ682" s="64"/>
      <c r="DR682" s="64"/>
      <c r="DS682" s="64"/>
      <c r="DT682" s="64"/>
      <c r="DU682" s="64"/>
      <c r="DV682" s="64"/>
      <c r="DW682" s="64"/>
      <c r="DX682" s="64"/>
      <c r="DY682" s="64"/>
      <c r="DZ682" s="64"/>
      <c r="EA682" s="64"/>
      <c r="EB682" s="64"/>
      <c r="EC682" s="64"/>
      <c r="ED682" s="64"/>
    </row>
    <row r="683" spans="26:134" ht="15.75" customHeight="1">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4"/>
      <c r="DL683" s="64"/>
      <c r="DM683" s="64"/>
      <c r="DN683" s="64"/>
      <c r="DO683" s="64"/>
      <c r="DP683" s="64"/>
      <c r="DQ683" s="64"/>
      <c r="DR683" s="64"/>
      <c r="DS683" s="64"/>
      <c r="DT683" s="64"/>
      <c r="DU683" s="64"/>
      <c r="DV683" s="64"/>
      <c r="DW683" s="64"/>
      <c r="DX683" s="64"/>
      <c r="DY683" s="64"/>
      <c r="DZ683" s="64"/>
      <c r="EA683" s="64"/>
      <c r="EB683" s="64"/>
      <c r="EC683" s="64"/>
      <c r="ED683" s="64"/>
    </row>
    <row r="684" spans="26:134" ht="15.75" customHeight="1">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4"/>
      <c r="DL684" s="64"/>
      <c r="DM684" s="64"/>
      <c r="DN684" s="64"/>
      <c r="DO684" s="64"/>
      <c r="DP684" s="64"/>
      <c r="DQ684" s="64"/>
      <c r="DR684" s="64"/>
      <c r="DS684" s="64"/>
      <c r="DT684" s="64"/>
      <c r="DU684" s="64"/>
      <c r="DV684" s="64"/>
      <c r="DW684" s="64"/>
      <c r="DX684" s="64"/>
      <c r="DY684" s="64"/>
      <c r="DZ684" s="64"/>
      <c r="EA684" s="64"/>
      <c r="EB684" s="64"/>
      <c r="EC684" s="64"/>
      <c r="ED684" s="64"/>
    </row>
    <row r="685" spans="26:134" ht="15.75" customHeight="1">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4"/>
      <c r="DL685" s="64"/>
      <c r="DM685" s="64"/>
      <c r="DN685" s="64"/>
      <c r="DO685" s="64"/>
      <c r="DP685" s="64"/>
      <c r="DQ685" s="64"/>
      <c r="DR685" s="64"/>
      <c r="DS685" s="64"/>
      <c r="DT685" s="64"/>
      <c r="DU685" s="64"/>
      <c r="DV685" s="64"/>
      <c r="DW685" s="64"/>
      <c r="DX685" s="64"/>
      <c r="DY685" s="64"/>
      <c r="DZ685" s="64"/>
      <c r="EA685" s="64"/>
      <c r="EB685" s="64"/>
      <c r="EC685" s="64"/>
      <c r="ED685" s="64"/>
    </row>
    <row r="686" spans="26:134" ht="15.75" customHeight="1">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4"/>
      <c r="DL686" s="64"/>
      <c r="DM686" s="64"/>
      <c r="DN686" s="64"/>
      <c r="DO686" s="64"/>
      <c r="DP686" s="64"/>
      <c r="DQ686" s="64"/>
      <c r="DR686" s="64"/>
      <c r="DS686" s="64"/>
      <c r="DT686" s="64"/>
      <c r="DU686" s="64"/>
      <c r="DV686" s="64"/>
      <c r="DW686" s="64"/>
      <c r="DX686" s="64"/>
      <c r="DY686" s="64"/>
      <c r="DZ686" s="64"/>
      <c r="EA686" s="64"/>
      <c r="EB686" s="64"/>
      <c r="EC686" s="64"/>
      <c r="ED686" s="64"/>
    </row>
    <row r="687" spans="26:134" ht="15.75" customHeight="1">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4"/>
      <c r="DL687" s="64"/>
      <c r="DM687" s="64"/>
      <c r="DN687" s="64"/>
      <c r="DO687" s="64"/>
      <c r="DP687" s="64"/>
      <c r="DQ687" s="64"/>
      <c r="DR687" s="64"/>
      <c r="DS687" s="64"/>
      <c r="DT687" s="64"/>
      <c r="DU687" s="64"/>
      <c r="DV687" s="64"/>
      <c r="DW687" s="64"/>
      <c r="DX687" s="64"/>
      <c r="DY687" s="64"/>
      <c r="DZ687" s="64"/>
      <c r="EA687" s="64"/>
      <c r="EB687" s="64"/>
      <c r="EC687" s="64"/>
      <c r="ED687" s="64"/>
    </row>
    <row r="688" spans="26:134" ht="15.75" customHeight="1">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4"/>
      <c r="DL688" s="64"/>
      <c r="DM688" s="64"/>
      <c r="DN688" s="64"/>
      <c r="DO688" s="64"/>
      <c r="DP688" s="64"/>
      <c r="DQ688" s="64"/>
      <c r="DR688" s="64"/>
      <c r="DS688" s="64"/>
      <c r="DT688" s="64"/>
      <c r="DU688" s="64"/>
      <c r="DV688" s="64"/>
      <c r="DW688" s="64"/>
      <c r="DX688" s="64"/>
      <c r="DY688" s="64"/>
      <c r="DZ688" s="64"/>
      <c r="EA688" s="64"/>
      <c r="EB688" s="64"/>
      <c r="EC688" s="64"/>
      <c r="ED688" s="64"/>
    </row>
    <row r="689" spans="26:134" ht="15.75" customHeight="1">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4"/>
      <c r="DL689" s="64"/>
      <c r="DM689" s="64"/>
      <c r="DN689" s="64"/>
      <c r="DO689" s="64"/>
      <c r="DP689" s="64"/>
      <c r="DQ689" s="64"/>
      <c r="DR689" s="64"/>
      <c r="DS689" s="64"/>
      <c r="DT689" s="64"/>
      <c r="DU689" s="64"/>
      <c r="DV689" s="64"/>
      <c r="DW689" s="64"/>
      <c r="DX689" s="64"/>
      <c r="DY689" s="64"/>
      <c r="DZ689" s="64"/>
      <c r="EA689" s="64"/>
      <c r="EB689" s="64"/>
      <c r="EC689" s="64"/>
      <c r="ED689" s="64"/>
    </row>
    <row r="690" spans="26:134" ht="15.75" customHeight="1">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4"/>
      <c r="DL690" s="64"/>
      <c r="DM690" s="64"/>
      <c r="DN690" s="64"/>
      <c r="DO690" s="64"/>
      <c r="DP690" s="64"/>
      <c r="DQ690" s="64"/>
      <c r="DR690" s="64"/>
      <c r="DS690" s="64"/>
      <c r="DT690" s="64"/>
      <c r="DU690" s="64"/>
      <c r="DV690" s="64"/>
      <c r="DW690" s="64"/>
      <c r="DX690" s="64"/>
      <c r="DY690" s="64"/>
      <c r="DZ690" s="64"/>
      <c r="EA690" s="64"/>
      <c r="EB690" s="64"/>
      <c r="EC690" s="64"/>
      <c r="ED690" s="64"/>
    </row>
    <row r="691" spans="26:134" ht="15.75" customHeight="1">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4"/>
      <c r="DL691" s="64"/>
      <c r="DM691" s="64"/>
      <c r="DN691" s="64"/>
      <c r="DO691" s="64"/>
      <c r="DP691" s="64"/>
      <c r="DQ691" s="64"/>
      <c r="DR691" s="64"/>
      <c r="DS691" s="64"/>
      <c r="DT691" s="64"/>
      <c r="DU691" s="64"/>
      <c r="DV691" s="64"/>
      <c r="DW691" s="64"/>
      <c r="DX691" s="64"/>
      <c r="DY691" s="64"/>
      <c r="DZ691" s="64"/>
      <c r="EA691" s="64"/>
      <c r="EB691" s="64"/>
      <c r="EC691" s="64"/>
      <c r="ED691" s="64"/>
    </row>
    <row r="692" spans="26:134" ht="15.75" customHeight="1">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4"/>
      <c r="DL692" s="64"/>
      <c r="DM692" s="64"/>
      <c r="DN692" s="64"/>
      <c r="DO692" s="64"/>
      <c r="DP692" s="64"/>
      <c r="DQ692" s="64"/>
      <c r="DR692" s="64"/>
      <c r="DS692" s="64"/>
      <c r="DT692" s="64"/>
      <c r="DU692" s="64"/>
      <c r="DV692" s="64"/>
      <c r="DW692" s="64"/>
      <c r="DX692" s="64"/>
      <c r="DY692" s="64"/>
      <c r="DZ692" s="64"/>
      <c r="EA692" s="64"/>
      <c r="EB692" s="64"/>
      <c r="EC692" s="64"/>
      <c r="ED692" s="64"/>
    </row>
    <row r="693" spans="26:134" ht="15.75" customHeight="1">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4"/>
      <c r="DL693" s="64"/>
      <c r="DM693" s="64"/>
      <c r="DN693" s="64"/>
      <c r="DO693" s="64"/>
      <c r="DP693" s="64"/>
      <c r="DQ693" s="64"/>
      <c r="DR693" s="64"/>
      <c r="DS693" s="64"/>
      <c r="DT693" s="64"/>
      <c r="DU693" s="64"/>
      <c r="DV693" s="64"/>
      <c r="DW693" s="64"/>
      <c r="DX693" s="64"/>
      <c r="DY693" s="64"/>
      <c r="DZ693" s="64"/>
      <c r="EA693" s="64"/>
      <c r="EB693" s="64"/>
      <c r="EC693" s="64"/>
      <c r="ED693" s="64"/>
    </row>
    <row r="694" spans="26:134" ht="15.75" customHeight="1">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4"/>
      <c r="DL694" s="64"/>
      <c r="DM694" s="64"/>
      <c r="DN694" s="64"/>
      <c r="DO694" s="64"/>
      <c r="DP694" s="64"/>
      <c r="DQ694" s="64"/>
      <c r="DR694" s="64"/>
      <c r="DS694" s="64"/>
      <c r="DT694" s="64"/>
      <c r="DU694" s="64"/>
      <c r="DV694" s="64"/>
      <c r="DW694" s="64"/>
      <c r="DX694" s="64"/>
      <c r="DY694" s="64"/>
      <c r="DZ694" s="64"/>
      <c r="EA694" s="64"/>
      <c r="EB694" s="64"/>
      <c r="EC694" s="64"/>
      <c r="ED694" s="64"/>
    </row>
    <row r="695" spans="26:134" ht="15.75" customHeight="1">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4"/>
      <c r="DL695" s="64"/>
      <c r="DM695" s="64"/>
      <c r="DN695" s="64"/>
      <c r="DO695" s="64"/>
      <c r="DP695" s="64"/>
      <c r="DQ695" s="64"/>
      <c r="DR695" s="64"/>
      <c r="DS695" s="64"/>
      <c r="DT695" s="64"/>
      <c r="DU695" s="64"/>
      <c r="DV695" s="64"/>
      <c r="DW695" s="64"/>
      <c r="DX695" s="64"/>
      <c r="DY695" s="64"/>
      <c r="DZ695" s="64"/>
      <c r="EA695" s="64"/>
      <c r="EB695" s="64"/>
      <c r="EC695" s="64"/>
      <c r="ED695" s="64"/>
    </row>
    <row r="696" spans="26:134" ht="15.75" customHeight="1">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4"/>
      <c r="DL696" s="64"/>
      <c r="DM696" s="64"/>
      <c r="DN696" s="64"/>
      <c r="DO696" s="64"/>
      <c r="DP696" s="64"/>
      <c r="DQ696" s="64"/>
      <c r="DR696" s="64"/>
      <c r="DS696" s="64"/>
      <c r="DT696" s="64"/>
      <c r="DU696" s="64"/>
      <c r="DV696" s="64"/>
      <c r="DW696" s="64"/>
      <c r="DX696" s="64"/>
      <c r="DY696" s="64"/>
      <c r="DZ696" s="64"/>
      <c r="EA696" s="64"/>
      <c r="EB696" s="64"/>
      <c r="EC696" s="64"/>
      <c r="ED696" s="64"/>
    </row>
    <row r="697" spans="26:134" ht="15.75" customHeight="1">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4"/>
      <c r="DL697" s="64"/>
      <c r="DM697" s="64"/>
      <c r="DN697" s="64"/>
      <c r="DO697" s="64"/>
      <c r="DP697" s="64"/>
      <c r="DQ697" s="64"/>
      <c r="DR697" s="64"/>
      <c r="DS697" s="64"/>
      <c r="DT697" s="64"/>
      <c r="DU697" s="64"/>
      <c r="DV697" s="64"/>
      <c r="DW697" s="64"/>
      <c r="DX697" s="64"/>
      <c r="DY697" s="64"/>
      <c r="DZ697" s="64"/>
      <c r="EA697" s="64"/>
      <c r="EB697" s="64"/>
      <c r="EC697" s="64"/>
      <c r="ED697" s="64"/>
    </row>
    <row r="698" spans="26:134" ht="15.75" customHeight="1">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4"/>
      <c r="DL698" s="64"/>
      <c r="DM698" s="64"/>
      <c r="DN698" s="64"/>
      <c r="DO698" s="64"/>
      <c r="DP698" s="64"/>
      <c r="DQ698" s="64"/>
      <c r="DR698" s="64"/>
      <c r="DS698" s="64"/>
      <c r="DT698" s="64"/>
      <c r="DU698" s="64"/>
      <c r="DV698" s="64"/>
      <c r="DW698" s="64"/>
      <c r="DX698" s="64"/>
      <c r="DY698" s="64"/>
      <c r="DZ698" s="64"/>
      <c r="EA698" s="64"/>
      <c r="EB698" s="64"/>
      <c r="EC698" s="64"/>
      <c r="ED698" s="64"/>
    </row>
    <row r="699" spans="26:134" ht="15.75" customHeight="1">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4"/>
      <c r="DL699" s="64"/>
      <c r="DM699" s="64"/>
      <c r="DN699" s="64"/>
      <c r="DO699" s="64"/>
      <c r="DP699" s="64"/>
      <c r="DQ699" s="64"/>
      <c r="DR699" s="64"/>
      <c r="DS699" s="64"/>
      <c r="DT699" s="64"/>
      <c r="DU699" s="64"/>
      <c r="DV699" s="64"/>
      <c r="DW699" s="64"/>
      <c r="DX699" s="64"/>
      <c r="DY699" s="64"/>
      <c r="DZ699" s="64"/>
      <c r="EA699" s="64"/>
      <c r="EB699" s="64"/>
      <c r="EC699" s="64"/>
      <c r="ED699" s="64"/>
    </row>
    <row r="700" spans="26:134" ht="15.75" customHeight="1">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4"/>
      <c r="DL700" s="64"/>
      <c r="DM700" s="64"/>
      <c r="DN700" s="64"/>
      <c r="DO700" s="64"/>
      <c r="DP700" s="64"/>
      <c r="DQ700" s="64"/>
      <c r="DR700" s="64"/>
      <c r="DS700" s="64"/>
      <c r="DT700" s="64"/>
      <c r="DU700" s="64"/>
      <c r="DV700" s="64"/>
      <c r="DW700" s="64"/>
      <c r="DX700" s="64"/>
      <c r="DY700" s="64"/>
      <c r="DZ700" s="64"/>
      <c r="EA700" s="64"/>
      <c r="EB700" s="64"/>
      <c r="EC700" s="64"/>
      <c r="ED700" s="64"/>
    </row>
    <row r="701" spans="26:134" ht="15.75" customHeight="1">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4"/>
      <c r="DL701" s="64"/>
      <c r="DM701" s="64"/>
      <c r="DN701" s="64"/>
      <c r="DO701" s="64"/>
      <c r="DP701" s="64"/>
      <c r="DQ701" s="64"/>
      <c r="DR701" s="64"/>
      <c r="DS701" s="64"/>
      <c r="DT701" s="64"/>
      <c r="DU701" s="64"/>
      <c r="DV701" s="64"/>
      <c r="DW701" s="64"/>
      <c r="DX701" s="64"/>
      <c r="DY701" s="64"/>
      <c r="DZ701" s="64"/>
      <c r="EA701" s="64"/>
      <c r="EB701" s="64"/>
      <c r="EC701" s="64"/>
      <c r="ED701" s="64"/>
    </row>
    <row r="702" spans="26:134" ht="15.75" customHeight="1">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4"/>
      <c r="DL702" s="64"/>
      <c r="DM702" s="64"/>
      <c r="DN702" s="64"/>
      <c r="DO702" s="64"/>
      <c r="DP702" s="64"/>
      <c r="DQ702" s="64"/>
      <c r="DR702" s="64"/>
      <c r="DS702" s="64"/>
      <c r="DT702" s="64"/>
      <c r="DU702" s="64"/>
      <c r="DV702" s="64"/>
      <c r="DW702" s="64"/>
      <c r="DX702" s="64"/>
      <c r="DY702" s="64"/>
      <c r="DZ702" s="64"/>
      <c r="EA702" s="64"/>
      <c r="EB702" s="64"/>
      <c r="EC702" s="64"/>
      <c r="ED702" s="64"/>
    </row>
    <row r="703" spans="26:134" ht="15.75" customHeight="1">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4"/>
      <c r="DL703" s="64"/>
      <c r="DM703" s="64"/>
      <c r="DN703" s="64"/>
      <c r="DO703" s="64"/>
      <c r="DP703" s="64"/>
      <c r="DQ703" s="64"/>
      <c r="DR703" s="64"/>
      <c r="DS703" s="64"/>
      <c r="DT703" s="64"/>
      <c r="DU703" s="64"/>
      <c r="DV703" s="64"/>
      <c r="DW703" s="64"/>
      <c r="DX703" s="64"/>
      <c r="DY703" s="64"/>
      <c r="DZ703" s="64"/>
      <c r="EA703" s="64"/>
      <c r="EB703" s="64"/>
      <c r="EC703" s="64"/>
      <c r="ED703" s="64"/>
    </row>
    <row r="704" spans="26:134" ht="15.75" customHeight="1">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4"/>
      <c r="DL704" s="64"/>
      <c r="DM704" s="64"/>
      <c r="DN704" s="64"/>
      <c r="DO704" s="64"/>
      <c r="DP704" s="64"/>
      <c r="DQ704" s="64"/>
      <c r="DR704" s="64"/>
      <c r="DS704" s="64"/>
      <c r="DT704" s="64"/>
      <c r="DU704" s="64"/>
      <c r="DV704" s="64"/>
      <c r="DW704" s="64"/>
      <c r="DX704" s="64"/>
      <c r="DY704" s="64"/>
      <c r="DZ704" s="64"/>
      <c r="EA704" s="64"/>
      <c r="EB704" s="64"/>
      <c r="EC704" s="64"/>
      <c r="ED704" s="64"/>
    </row>
    <row r="705" spans="26:134" ht="15.75" customHeight="1">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4"/>
      <c r="DL705" s="64"/>
      <c r="DM705" s="64"/>
      <c r="DN705" s="64"/>
      <c r="DO705" s="64"/>
      <c r="DP705" s="64"/>
      <c r="DQ705" s="64"/>
      <c r="DR705" s="64"/>
      <c r="DS705" s="64"/>
      <c r="DT705" s="64"/>
      <c r="DU705" s="64"/>
      <c r="DV705" s="64"/>
      <c r="DW705" s="64"/>
      <c r="DX705" s="64"/>
      <c r="DY705" s="64"/>
      <c r="DZ705" s="64"/>
      <c r="EA705" s="64"/>
      <c r="EB705" s="64"/>
      <c r="EC705" s="64"/>
      <c r="ED705" s="64"/>
    </row>
    <row r="706" spans="26:134" ht="15.75" customHeight="1">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4"/>
      <c r="DL706" s="64"/>
      <c r="DM706" s="64"/>
      <c r="DN706" s="64"/>
      <c r="DO706" s="64"/>
      <c r="DP706" s="64"/>
      <c r="DQ706" s="64"/>
      <c r="DR706" s="64"/>
      <c r="DS706" s="64"/>
      <c r="DT706" s="64"/>
      <c r="DU706" s="64"/>
      <c r="DV706" s="64"/>
      <c r="DW706" s="64"/>
      <c r="DX706" s="64"/>
      <c r="DY706" s="64"/>
      <c r="DZ706" s="64"/>
      <c r="EA706" s="64"/>
      <c r="EB706" s="64"/>
      <c r="EC706" s="64"/>
      <c r="ED706" s="64"/>
    </row>
    <row r="707" spans="26:134" ht="15.75" customHeight="1">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4"/>
      <c r="DL707" s="64"/>
      <c r="DM707" s="64"/>
      <c r="DN707" s="64"/>
      <c r="DO707" s="64"/>
      <c r="DP707" s="64"/>
      <c r="DQ707" s="64"/>
      <c r="DR707" s="64"/>
      <c r="DS707" s="64"/>
      <c r="DT707" s="64"/>
      <c r="DU707" s="64"/>
      <c r="DV707" s="64"/>
      <c r="DW707" s="64"/>
      <c r="DX707" s="64"/>
      <c r="DY707" s="64"/>
      <c r="DZ707" s="64"/>
      <c r="EA707" s="64"/>
      <c r="EB707" s="64"/>
      <c r="EC707" s="64"/>
      <c r="ED707" s="64"/>
    </row>
    <row r="708" spans="26:134" ht="15.75" customHeight="1">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4"/>
      <c r="DL708" s="64"/>
      <c r="DM708" s="64"/>
      <c r="DN708" s="64"/>
      <c r="DO708" s="64"/>
      <c r="DP708" s="64"/>
      <c r="DQ708" s="64"/>
      <c r="DR708" s="64"/>
      <c r="DS708" s="64"/>
      <c r="DT708" s="64"/>
      <c r="DU708" s="64"/>
      <c r="DV708" s="64"/>
      <c r="DW708" s="64"/>
      <c r="DX708" s="64"/>
      <c r="DY708" s="64"/>
      <c r="DZ708" s="64"/>
      <c r="EA708" s="64"/>
      <c r="EB708" s="64"/>
      <c r="EC708" s="64"/>
      <c r="ED708" s="64"/>
    </row>
    <row r="709" spans="26:134" ht="15.75" customHeight="1">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4"/>
      <c r="DL709" s="64"/>
      <c r="DM709" s="64"/>
      <c r="DN709" s="64"/>
      <c r="DO709" s="64"/>
      <c r="DP709" s="64"/>
      <c r="DQ709" s="64"/>
      <c r="DR709" s="64"/>
      <c r="DS709" s="64"/>
      <c r="DT709" s="64"/>
      <c r="DU709" s="64"/>
      <c r="DV709" s="64"/>
      <c r="DW709" s="64"/>
      <c r="DX709" s="64"/>
      <c r="DY709" s="64"/>
      <c r="DZ709" s="64"/>
      <c r="EA709" s="64"/>
      <c r="EB709" s="64"/>
      <c r="EC709" s="64"/>
      <c r="ED709" s="64"/>
    </row>
    <row r="710" spans="26:134" ht="15.75" customHeight="1">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4"/>
      <c r="DL710" s="64"/>
      <c r="DM710" s="64"/>
      <c r="DN710" s="64"/>
      <c r="DO710" s="64"/>
      <c r="DP710" s="64"/>
      <c r="DQ710" s="64"/>
      <c r="DR710" s="64"/>
      <c r="DS710" s="64"/>
      <c r="DT710" s="64"/>
      <c r="DU710" s="64"/>
      <c r="DV710" s="64"/>
      <c r="DW710" s="64"/>
      <c r="DX710" s="64"/>
      <c r="DY710" s="64"/>
      <c r="DZ710" s="64"/>
      <c r="EA710" s="64"/>
      <c r="EB710" s="64"/>
      <c r="EC710" s="64"/>
      <c r="ED710" s="64"/>
    </row>
    <row r="711" spans="26:134" ht="15.75" customHeight="1">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4"/>
      <c r="DL711" s="64"/>
      <c r="DM711" s="64"/>
      <c r="DN711" s="64"/>
      <c r="DO711" s="64"/>
      <c r="DP711" s="64"/>
      <c r="DQ711" s="64"/>
      <c r="DR711" s="64"/>
      <c r="DS711" s="64"/>
      <c r="DT711" s="64"/>
      <c r="DU711" s="64"/>
      <c r="DV711" s="64"/>
      <c r="DW711" s="64"/>
      <c r="DX711" s="64"/>
      <c r="DY711" s="64"/>
      <c r="DZ711" s="64"/>
      <c r="EA711" s="64"/>
      <c r="EB711" s="64"/>
      <c r="EC711" s="64"/>
      <c r="ED711" s="64"/>
    </row>
    <row r="712" spans="26:134" ht="15.75" customHeight="1">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4"/>
      <c r="DL712" s="64"/>
      <c r="DM712" s="64"/>
      <c r="DN712" s="64"/>
      <c r="DO712" s="64"/>
      <c r="DP712" s="64"/>
      <c r="DQ712" s="64"/>
      <c r="DR712" s="64"/>
      <c r="DS712" s="64"/>
      <c r="DT712" s="64"/>
      <c r="DU712" s="64"/>
      <c r="DV712" s="64"/>
      <c r="DW712" s="64"/>
      <c r="DX712" s="64"/>
      <c r="DY712" s="64"/>
      <c r="DZ712" s="64"/>
      <c r="EA712" s="64"/>
      <c r="EB712" s="64"/>
      <c r="EC712" s="64"/>
      <c r="ED712" s="64"/>
    </row>
    <row r="713" spans="26:134" ht="15.75" customHeight="1">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4"/>
      <c r="DL713" s="64"/>
      <c r="DM713" s="64"/>
      <c r="DN713" s="64"/>
      <c r="DO713" s="64"/>
      <c r="DP713" s="64"/>
      <c r="DQ713" s="64"/>
      <c r="DR713" s="64"/>
      <c r="DS713" s="64"/>
      <c r="DT713" s="64"/>
      <c r="DU713" s="64"/>
      <c r="DV713" s="64"/>
      <c r="DW713" s="64"/>
      <c r="DX713" s="64"/>
      <c r="DY713" s="64"/>
      <c r="DZ713" s="64"/>
      <c r="EA713" s="64"/>
      <c r="EB713" s="64"/>
      <c r="EC713" s="64"/>
      <c r="ED713" s="64"/>
    </row>
    <row r="714" spans="26:134" ht="15.75" customHeight="1">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4"/>
      <c r="DL714" s="64"/>
      <c r="DM714" s="64"/>
      <c r="DN714" s="64"/>
      <c r="DO714" s="64"/>
      <c r="DP714" s="64"/>
      <c r="DQ714" s="64"/>
      <c r="DR714" s="64"/>
      <c r="DS714" s="64"/>
      <c r="DT714" s="64"/>
      <c r="DU714" s="64"/>
      <c r="DV714" s="64"/>
      <c r="DW714" s="64"/>
      <c r="DX714" s="64"/>
      <c r="DY714" s="64"/>
      <c r="DZ714" s="64"/>
      <c r="EA714" s="64"/>
      <c r="EB714" s="64"/>
      <c r="EC714" s="64"/>
      <c r="ED714" s="64"/>
    </row>
    <row r="715" spans="26:134" ht="15.75" customHeight="1">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4"/>
      <c r="DL715" s="64"/>
      <c r="DM715" s="64"/>
      <c r="DN715" s="64"/>
      <c r="DO715" s="64"/>
      <c r="DP715" s="64"/>
      <c r="DQ715" s="64"/>
      <c r="DR715" s="64"/>
      <c r="DS715" s="64"/>
      <c r="DT715" s="64"/>
      <c r="DU715" s="64"/>
      <c r="DV715" s="64"/>
      <c r="DW715" s="64"/>
      <c r="DX715" s="64"/>
      <c r="DY715" s="64"/>
      <c r="DZ715" s="64"/>
      <c r="EA715" s="64"/>
      <c r="EB715" s="64"/>
      <c r="EC715" s="64"/>
      <c r="ED715" s="64"/>
    </row>
    <row r="716" spans="26:134" ht="15.75" customHeight="1">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4"/>
      <c r="DL716" s="64"/>
      <c r="DM716" s="64"/>
      <c r="DN716" s="64"/>
      <c r="DO716" s="64"/>
      <c r="DP716" s="64"/>
      <c r="DQ716" s="64"/>
      <c r="DR716" s="64"/>
      <c r="DS716" s="64"/>
      <c r="DT716" s="64"/>
      <c r="DU716" s="64"/>
      <c r="DV716" s="64"/>
      <c r="DW716" s="64"/>
      <c r="DX716" s="64"/>
      <c r="DY716" s="64"/>
      <c r="DZ716" s="64"/>
      <c r="EA716" s="64"/>
      <c r="EB716" s="64"/>
      <c r="EC716" s="64"/>
      <c r="ED716" s="64"/>
    </row>
    <row r="717" spans="26:134" ht="15.75" customHeight="1">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4"/>
      <c r="DL717" s="64"/>
      <c r="DM717" s="64"/>
      <c r="DN717" s="64"/>
      <c r="DO717" s="64"/>
      <c r="DP717" s="64"/>
      <c r="DQ717" s="64"/>
      <c r="DR717" s="64"/>
      <c r="DS717" s="64"/>
      <c r="DT717" s="64"/>
      <c r="DU717" s="64"/>
      <c r="DV717" s="64"/>
      <c r="DW717" s="64"/>
      <c r="DX717" s="64"/>
      <c r="DY717" s="64"/>
      <c r="DZ717" s="64"/>
      <c r="EA717" s="64"/>
      <c r="EB717" s="64"/>
      <c r="EC717" s="64"/>
      <c r="ED717" s="64"/>
    </row>
    <row r="718" spans="26:134" ht="15.75" customHeight="1">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4"/>
      <c r="DL718" s="64"/>
      <c r="DM718" s="64"/>
      <c r="DN718" s="64"/>
      <c r="DO718" s="64"/>
      <c r="DP718" s="64"/>
      <c r="DQ718" s="64"/>
      <c r="DR718" s="64"/>
      <c r="DS718" s="64"/>
      <c r="DT718" s="64"/>
      <c r="DU718" s="64"/>
      <c r="DV718" s="64"/>
      <c r="DW718" s="64"/>
      <c r="DX718" s="64"/>
      <c r="DY718" s="64"/>
      <c r="DZ718" s="64"/>
      <c r="EA718" s="64"/>
      <c r="EB718" s="64"/>
      <c r="EC718" s="64"/>
      <c r="ED718" s="64"/>
    </row>
    <row r="719" spans="26:134" ht="15.75" customHeight="1">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4"/>
      <c r="DL719" s="64"/>
      <c r="DM719" s="64"/>
      <c r="DN719" s="64"/>
      <c r="DO719" s="64"/>
      <c r="DP719" s="64"/>
      <c r="DQ719" s="64"/>
      <c r="DR719" s="64"/>
      <c r="DS719" s="64"/>
      <c r="DT719" s="64"/>
      <c r="DU719" s="64"/>
      <c r="DV719" s="64"/>
      <c r="DW719" s="64"/>
      <c r="DX719" s="64"/>
      <c r="DY719" s="64"/>
      <c r="DZ719" s="64"/>
      <c r="EA719" s="64"/>
      <c r="EB719" s="64"/>
      <c r="EC719" s="64"/>
      <c r="ED719" s="64"/>
    </row>
    <row r="720" spans="26:134" ht="15.75" customHeight="1">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4"/>
      <c r="DL720" s="64"/>
      <c r="DM720" s="64"/>
      <c r="DN720" s="64"/>
      <c r="DO720" s="64"/>
      <c r="DP720" s="64"/>
      <c r="DQ720" s="64"/>
      <c r="DR720" s="64"/>
      <c r="DS720" s="64"/>
      <c r="DT720" s="64"/>
      <c r="DU720" s="64"/>
      <c r="DV720" s="64"/>
      <c r="DW720" s="64"/>
      <c r="DX720" s="64"/>
      <c r="DY720" s="64"/>
      <c r="DZ720" s="64"/>
      <c r="EA720" s="64"/>
      <c r="EB720" s="64"/>
      <c r="EC720" s="64"/>
      <c r="ED720" s="64"/>
    </row>
    <row r="721" spans="26:134" ht="15.75" customHeight="1">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4"/>
      <c r="DL721" s="64"/>
      <c r="DM721" s="64"/>
      <c r="DN721" s="64"/>
      <c r="DO721" s="64"/>
      <c r="DP721" s="64"/>
      <c r="DQ721" s="64"/>
      <c r="DR721" s="64"/>
      <c r="DS721" s="64"/>
      <c r="DT721" s="64"/>
      <c r="DU721" s="64"/>
      <c r="DV721" s="64"/>
      <c r="DW721" s="64"/>
      <c r="DX721" s="64"/>
      <c r="DY721" s="64"/>
      <c r="DZ721" s="64"/>
      <c r="EA721" s="64"/>
      <c r="EB721" s="64"/>
      <c r="EC721" s="64"/>
      <c r="ED721" s="64"/>
    </row>
    <row r="722" spans="26:134" ht="15.75" customHeight="1">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4"/>
      <c r="DL722" s="64"/>
      <c r="DM722" s="64"/>
      <c r="DN722" s="64"/>
      <c r="DO722" s="64"/>
      <c r="DP722" s="64"/>
      <c r="DQ722" s="64"/>
      <c r="DR722" s="64"/>
      <c r="DS722" s="64"/>
      <c r="DT722" s="64"/>
      <c r="DU722" s="64"/>
      <c r="DV722" s="64"/>
      <c r="DW722" s="64"/>
      <c r="DX722" s="64"/>
      <c r="DY722" s="64"/>
      <c r="DZ722" s="64"/>
      <c r="EA722" s="64"/>
      <c r="EB722" s="64"/>
      <c r="EC722" s="64"/>
      <c r="ED722" s="64"/>
    </row>
    <row r="723" spans="26:134" ht="15.75" customHeight="1">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4"/>
      <c r="DL723" s="64"/>
      <c r="DM723" s="64"/>
      <c r="DN723" s="64"/>
      <c r="DO723" s="64"/>
      <c r="DP723" s="64"/>
      <c r="DQ723" s="64"/>
      <c r="DR723" s="64"/>
      <c r="DS723" s="64"/>
      <c r="DT723" s="64"/>
      <c r="DU723" s="64"/>
      <c r="DV723" s="64"/>
      <c r="DW723" s="64"/>
      <c r="DX723" s="64"/>
      <c r="DY723" s="64"/>
      <c r="DZ723" s="64"/>
      <c r="EA723" s="64"/>
      <c r="EB723" s="64"/>
      <c r="EC723" s="64"/>
      <c r="ED723" s="64"/>
    </row>
    <row r="724" spans="26:134" ht="15.75" customHeight="1">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4"/>
      <c r="DL724" s="64"/>
      <c r="DM724" s="64"/>
      <c r="DN724" s="64"/>
      <c r="DO724" s="64"/>
      <c r="DP724" s="64"/>
      <c r="DQ724" s="64"/>
      <c r="DR724" s="64"/>
      <c r="DS724" s="64"/>
      <c r="DT724" s="64"/>
      <c r="DU724" s="64"/>
      <c r="DV724" s="64"/>
      <c r="DW724" s="64"/>
      <c r="DX724" s="64"/>
      <c r="DY724" s="64"/>
      <c r="DZ724" s="64"/>
      <c r="EA724" s="64"/>
      <c r="EB724" s="64"/>
      <c r="EC724" s="64"/>
      <c r="ED724" s="64"/>
    </row>
    <row r="725" spans="26:134" ht="15.75" customHeight="1">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4"/>
      <c r="DL725" s="64"/>
      <c r="DM725" s="64"/>
      <c r="DN725" s="64"/>
      <c r="DO725" s="64"/>
      <c r="DP725" s="64"/>
      <c r="DQ725" s="64"/>
      <c r="DR725" s="64"/>
      <c r="DS725" s="64"/>
      <c r="DT725" s="64"/>
      <c r="DU725" s="64"/>
      <c r="DV725" s="64"/>
      <c r="DW725" s="64"/>
      <c r="DX725" s="64"/>
      <c r="DY725" s="64"/>
      <c r="DZ725" s="64"/>
      <c r="EA725" s="64"/>
      <c r="EB725" s="64"/>
      <c r="EC725" s="64"/>
      <c r="ED725" s="64"/>
    </row>
    <row r="726" spans="26:134" ht="15.75" customHeight="1">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4"/>
      <c r="DL726" s="64"/>
      <c r="DM726" s="64"/>
      <c r="DN726" s="64"/>
      <c r="DO726" s="64"/>
      <c r="DP726" s="64"/>
      <c r="DQ726" s="64"/>
      <c r="DR726" s="64"/>
      <c r="DS726" s="64"/>
      <c r="DT726" s="64"/>
      <c r="DU726" s="64"/>
      <c r="DV726" s="64"/>
      <c r="DW726" s="64"/>
      <c r="DX726" s="64"/>
      <c r="DY726" s="64"/>
      <c r="DZ726" s="64"/>
      <c r="EA726" s="64"/>
      <c r="EB726" s="64"/>
      <c r="EC726" s="64"/>
      <c r="ED726" s="64"/>
    </row>
    <row r="727" spans="26:134" ht="15.75" customHeight="1">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4"/>
      <c r="DL727" s="64"/>
      <c r="DM727" s="64"/>
      <c r="DN727" s="64"/>
      <c r="DO727" s="64"/>
      <c r="DP727" s="64"/>
      <c r="DQ727" s="64"/>
      <c r="DR727" s="64"/>
      <c r="DS727" s="64"/>
      <c r="DT727" s="64"/>
      <c r="DU727" s="64"/>
      <c r="DV727" s="64"/>
      <c r="DW727" s="64"/>
      <c r="DX727" s="64"/>
      <c r="DY727" s="64"/>
      <c r="DZ727" s="64"/>
      <c r="EA727" s="64"/>
      <c r="EB727" s="64"/>
      <c r="EC727" s="64"/>
      <c r="ED727" s="64"/>
    </row>
    <row r="728" spans="26:134" ht="15.75" customHeight="1">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4"/>
      <c r="DL728" s="64"/>
      <c r="DM728" s="64"/>
      <c r="DN728" s="64"/>
      <c r="DO728" s="64"/>
      <c r="DP728" s="64"/>
      <c r="DQ728" s="64"/>
      <c r="DR728" s="64"/>
      <c r="DS728" s="64"/>
      <c r="DT728" s="64"/>
      <c r="DU728" s="64"/>
      <c r="DV728" s="64"/>
      <c r="DW728" s="64"/>
      <c r="DX728" s="64"/>
      <c r="DY728" s="64"/>
      <c r="DZ728" s="64"/>
      <c r="EA728" s="64"/>
      <c r="EB728" s="64"/>
      <c r="EC728" s="64"/>
      <c r="ED728" s="64"/>
    </row>
    <row r="729" spans="26:134" ht="15.75" customHeight="1">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4"/>
      <c r="DL729" s="64"/>
      <c r="DM729" s="64"/>
      <c r="DN729" s="64"/>
      <c r="DO729" s="64"/>
      <c r="DP729" s="64"/>
      <c r="DQ729" s="64"/>
      <c r="DR729" s="64"/>
      <c r="DS729" s="64"/>
      <c r="DT729" s="64"/>
      <c r="DU729" s="64"/>
      <c r="DV729" s="64"/>
      <c r="DW729" s="64"/>
      <c r="DX729" s="64"/>
      <c r="DY729" s="64"/>
      <c r="DZ729" s="64"/>
      <c r="EA729" s="64"/>
      <c r="EB729" s="64"/>
      <c r="EC729" s="64"/>
      <c r="ED729" s="64"/>
    </row>
    <row r="730" spans="26:134" ht="15.75" customHeight="1">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4"/>
      <c r="DL730" s="64"/>
      <c r="DM730" s="64"/>
      <c r="DN730" s="64"/>
      <c r="DO730" s="64"/>
      <c r="DP730" s="64"/>
      <c r="DQ730" s="64"/>
      <c r="DR730" s="64"/>
      <c r="DS730" s="64"/>
      <c r="DT730" s="64"/>
      <c r="DU730" s="64"/>
      <c r="DV730" s="64"/>
      <c r="DW730" s="64"/>
      <c r="DX730" s="64"/>
      <c r="DY730" s="64"/>
      <c r="DZ730" s="64"/>
      <c r="EA730" s="64"/>
      <c r="EB730" s="64"/>
      <c r="EC730" s="64"/>
      <c r="ED730" s="64"/>
    </row>
    <row r="731" spans="26:134" ht="15.75" customHeight="1">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4"/>
      <c r="DL731" s="64"/>
      <c r="DM731" s="64"/>
      <c r="DN731" s="64"/>
      <c r="DO731" s="64"/>
      <c r="DP731" s="64"/>
      <c r="DQ731" s="64"/>
      <c r="DR731" s="64"/>
      <c r="DS731" s="64"/>
      <c r="DT731" s="64"/>
      <c r="DU731" s="64"/>
      <c r="DV731" s="64"/>
      <c r="DW731" s="64"/>
      <c r="DX731" s="64"/>
      <c r="DY731" s="64"/>
      <c r="DZ731" s="64"/>
      <c r="EA731" s="64"/>
      <c r="EB731" s="64"/>
      <c r="EC731" s="64"/>
      <c r="ED731" s="64"/>
    </row>
    <row r="732" spans="26:134" ht="15.75" customHeight="1">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4"/>
      <c r="DL732" s="64"/>
      <c r="DM732" s="64"/>
      <c r="DN732" s="64"/>
      <c r="DO732" s="64"/>
      <c r="DP732" s="64"/>
      <c r="DQ732" s="64"/>
      <c r="DR732" s="64"/>
      <c r="DS732" s="64"/>
      <c r="DT732" s="64"/>
      <c r="DU732" s="64"/>
      <c r="DV732" s="64"/>
      <c r="DW732" s="64"/>
      <c r="DX732" s="64"/>
      <c r="DY732" s="64"/>
      <c r="DZ732" s="64"/>
      <c r="EA732" s="64"/>
      <c r="EB732" s="64"/>
      <c r="EC732" s="64"/>
      <c r="ED732" s="64"/>
    </row>
    <row r="733" spans="26:134" ht="15.75" customHeight="1">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4"/>
      <c r="DL733" s="64"/>
      <c r="DM733" s="64"/>
      <c r="DN733" s="64"/>
      <c r="DO733" s="64"/>
      <c r="DP733" s="64"/>
      <c r="DQ733" s="64"/>
      <c r="DR733" s="64"/>
      <c r="DS733" s="64"/>
      <c r="DT733" s="64"/>
      <c r="DU733" s="64"/>
      <c r="DV733" s="64"/>
      <c r="DW733" s="64"/>
      <c r="DX733" s="64"/>
      <c r="DY733" s="64"/>
      <c r="DZ733" s="64"/>
      <c r="EA733" s="64"/>
      <c r="EB733" s="64"/>
      <c r="EC733" s="64"/>
      <c r="ED733" s="64"/>
    </row>
    <row r="734" spans="26:134" ht="15.75" customHeight="1">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4"/>
      <c r="DL734" s="64"/>
      <c r="DM734" s="64"/>
      <c r="DN734" s="64"/>
      <c r="DO734" s="64"/>
      <c r="DP734" s="64"/>
      <c r="DQ734" s="64"/>
      <c r="DR734" s="64"/>
      <c r="DS734" s="64"/>
      <c r="DT734" s="64"/>
      <c r="DU734" s="64"/>
      <c r="DV734" s="64"/>
      <c r="DW734" s="64"/>
      <c r="DX734" s="64"/>
      <c r="DY734" s="64"/>
      <c r="DZ734" s="64"/>
      <c r="EA734" s="64"/>
      <c r="EB734" s="64"/>
      <c r="EC734" s="64"/>
      <c r="ED734" s="64"/>
    </row>
    <row r="735" spans="26:134" ht="15.75" customHeight="1">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4"/>
      <c r="DL735" s="64"/>
      <c r="DM735" s="64"/>
      <c r="DN735" s="64"/>
      <c r="DO735" s="64"/>
      <c r="DP735" s="64"/>
      <c r="DQ735" s="64"/>
      <c r="DR735" s="64"/>
      <c r="DS735" s="64"/>
      <c r="DT735" s="64"/>
      <c r="DU735" s="64"/>
      <c r="DV735" s="64"/>
      <c r="DW735" s="64"/>
      <c r="DX735" s="64"/>
      <c r="DY735" s="64"/>
      <c r="DZ735" s="64"/>
      <c r="EA735" s="64"/>
      <c r="EB735" s="64"/>
      <c r="EC735" s="64"/>
      <c r="ED735" s="64"/>
    </row>
    <row r="736" spans="26:134" ht="15.75" customHeight="1">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4"/>
      <c r="DL736" s="64"/>
      <c r="DM736" s="64"/>
      <c r="DN736" s="64"/>
      <c r="DO736" s="64"/>
      <c r="DP736" s="64"/>
      <c r="DQ736" s="64"/>
      <c r="DR736" s="64"/>
      <c r="DS736" s="64"/>
      <c r="DT736" s="64"/>
      <c r="DU736" s="64"/>
      <c r="DV736" s="64"/>
      <c r="DW736" s="64"/>
      <c r="DX736" s="64"/>
      <c r="DY736" s="64"/>
      <c r="DZ736" s="64"/>
      <c r="EA736" s="64"/>
      <c r="EB736" s="64"/>
      <c r="EC736" s="64"/>
      <c r="ED736" s="64"/>
    </row>
    <row r="737" spans="26:134" ht="15.75" customHeight="1">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4"/>
      <c r="DL737" s="64"/>
      <c r="DM737" s="64"/>
      <c r="DN737" s="64"/>
      <c r="DO737" s="64"/>
      <c r="DP737" s="64"/>
      <c r="DQ737" s="64"/>
      <c r="DR737" s="64"/>
      <c r="DS737" s="64"/>
      <c r="DT737" s="64"/>
      <c r="DU737" s="64"/>
      <c r="DV737" s="64"/>
      <c r="DW737" s="64"/>
      <c r="DX737" s="64"/>
      <c r="DY737" s="64"/>
      <c r="DZ737" s="64"/>
      <c r="EA737" s="64"/>
      <c r="EB737" s="64"/>
      <c r="EC737" s="64"/>
      <c r="ED737" s="64"/>
    </row>
    <row r="738" spans="26:134" ht="15.75" customHeight="1">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4"/>
      <c r="DL738" s="64"/>
      <c r="DM738" s="64"/>
      <c r="DN738" s="64"/>
      <c r="DO738" s="64"/>
      <c r="DP738" s="64"/>
      <c r="DQ738" s="64"/>
      <c r="DR738" s="64"/>
      <c r="DS738" s="64"/>
      <c r="DT738" s="64"/>
      <c r="DU738" s="64"/>
      <c r="DV738" s="64"/>
      <c r="DW738" s="64"/>
      <c r="DX738" s="64"/>
      <c r="DY738" s="64"/>
      <c r="DZ738" s="64"/>
      <c r="EA738" s="64"/>
      <c r="EB738" s="64"/>
      <c r="EC738" s="64"/>
      <c r="ED738" s="64"/>
    </row>
    <row r="739" spans="26:134" ht="15.75" customHeight="1">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4"/>
      <c r="DL739" s="64"/>
      <c r="DM739" s="64"/>
      <c r="DN739" s="64"/>
      <c r="DO739" s="64"/>
      <c r="DP739" s="64"/>
      <c r="DQ739" s="64"/>
      <c r="DR739" s="64"/>
      <c r="DS739" s="64"/>
      <c r="DT739" s="64"/>
      <c r="DU739" s="64"/>
      <c r="DV739" s="64"/>
      <c r="DW739" s="64"/>
      <c r="DX739" s="64"/>
      <c r="DY739" s="64"/>
      <c r="DZ739" s="64"/>
      <c r="EA739" s="64"/>
      <c r="EB739" s="64"/>
      <c r="EC739" s="64"/>
      <c r="ED739" s="64"/>
    </row>
    <row r="740" spans="26:134" ht="15.75" customHeight="1">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4"/>
      <c r="DL740" s="64"/>
      <c r="DM740" s="64"/>
      <c r="DN740" s="64"/>
      <c r="DO740" s="64"/>
      <c r="DP740" s="64"/>
      <c r="DQ740" s="64"/>
      <c r="DR740" s="64"/>
      <c r="DS740" s="64"/>
      <c r="DT740" s="64"/>
      <c r="DU740" s="64"/>
      <c r="DV740" s="64"/>
      <c r="DW740" s="64"/>
      <c r="DX740" s="64"/>
      <c r="DY740" s="64"/>
      <c r="DZ740" s="64"/>
      <c r="EA740" s="64"/>
      <c r="EB740" s="64"/>
      <c r="EC740" s="64"/>
      <c r="ED740" s="64"/>
    </row>
    <row r="741" spans="26:134" ht="15.75" customHeight="1">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4"/>
      <c r="DL741" s="64"/>
      <c r="DM741" s="64"/>
      <c r="DN741" s="64"/>
      <c r="DO741" s="64"/>
      <c r="DP741" s="64"/>
      <c r="DQ741" s="64"/>
      <c r="DR741" s="64"/>
      <c r="DS741" s="64"/>
      <c r="DT741" s="64"/>
      <c r="DU741" s="64"/>
      <c r="DV741" s="64"/>
      <c r="DW741" s="64"/>
      <c r="DX741" s="64"/>
      <c r="DY741" s="64"/>
      <c r="DZ741" s="64"/>
      <c r="EA741" s="64"/>
      <c r="EB741" s="64"/>
      <c r="EC741" s="64"/>
      <c r="ED741" s="64"/>
    </row>
    <row r="742" spans="26:134" ht="15.75" customHeight="1">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4"/>
      <c r="DL742" s="64"/>
      <c r="DM742" s="64"/>
      <c r="DN742" s="64"/>
      <c r="DO742" s="64"/>
      <c r="DP742" s="64"/>
      <c r="DQ742" s="64"/>
      <c r="DR742" s="64"/>
      <c r="DS742" s="64"/>
      <c r="DT742" s="64"/>
      <c r="DU742" s="64"/>
      <c r="DV742" s="64"/>
      <c r="DW742" s="64"/>
      <c r="DX742" s="64"/>
      <c r="DY742" s="64"/>
      <c r="DZ742" s="64"/>
      <c r="EA742" s="64"/>
      <c r="EB742" s="64"/>
      <c r="EC742" s="64"/>
      <c r="ED742" s="64"/>
    </row>
    <row r="743" spans="26:134" ht="15.75" customHeight="1">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4"/>
      <c r="DL743" s="64"/>
      <c r="DM743" s="64"/>
      <c r="DN743" s="64"/>
      <c r="DO743" s="64"/>
      <c r="DP743" s="64"/>
      <c r="DQ743" s="64"/>
      <c r="DR743" s="64"/>
      <c r="DS743" s="64"/>
      <c r="DT743" s="64"/>
      <c r="DU743" s="64"/>
      <c r="DV743" s="64"/>
      <c r="DW743" s="64"/>
      <c r="DX743" s="64"/>
      <c r="DY743" s="64"/>
      <c r="DZ743" s="64"/>
      <c r="EA743" s="64"/>
      <c r="EB743" s="64"/>
      <c r="EC743" s="64"/>
      <c r="ED743" s="64"/>
    </row>
    <row r="744" spans="26:134" ht="15.75" customHeight="1">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4"/>
      <c r="DL744" s="64"/>
      <c r="DM744" s="64"/>
      <c r="DN744" s="64"/>
      <c r="DO744" s="64"/>
      <c r="DP744" s="64"/>
      <c r="DQ744" s="64"/>
      <c r="DR744" s="64"/>
      <c r="DS744" s="64"/>
      <c r="DT744" s="64"/>
      <c r="DU744" s="64"/>
      <c r="DV744" s="64"/>
      <c r="DW744" s="64"/>
      <c r="DX744" s="64"/>
      <c r="DY744" s="64"/>
      <c r="DZ744" s="64"/>
      <c r="EA744" s="64"/>
      <c r="EB744" s="64"/>
      <c r="EC744" s="64"/>
      <c r="ED744" s="64"/>
    </row>
    <row r="745" spans="26:134" ht="15.75" customHeight="1">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4"/>
      <c r="DL745" s="64"/>
      <c r="DM745" s="64"/>
      <c r="DN745" s="64"/>
      <c r="DO745" s="64"/>
      <c r="DP745" s="64"/>
      <c r="DQ745" s="64"/>
      <c r="DR745" s="64"/>
      <c r="DS745" s="64"/>
      <c r="DT745" s="64"/>
      <c r="DU745" s="64"/>
      <c r="DV745" s="64"/>
      <c r="DW745" s="64"/>
      <c r="DX745" s="64"/>
      <c r="DY745" s="64"/>
      <c r="DZ745" s="64"/>
      <c r="EA745" s="64"/>
      <c r="EB745" s="64"/>
      <c r="EC745" s="64"/>
      <c r="ED745" s="64"/>
    </row>
    <row r="746" spans="26:134" ht="15.75" customHeight="1">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4"/>
      <c r="DL746" s="64"/>
      <c r="DM746" s="64"/>
      <c r="DN746" s="64"/>
      <c r="DO746" s="64"/>
      <c r="DP746" s="64"/>
      <c r="DQ746" s="64"/>
      <c r="DR746" s="64"/>
      <c r="DS746" s="64"/>
      <c r="DT746" s="64"/>
      <c r="DU746" s="64"/>
      <c r="DV746" s="64"/>
      <c r="DW746" s="64"/>
      <c r="DX746" s="64"/>
      <c r="DY746" s="64"/>
      <c r="DZ746" s="64"/>
      <c r="EA746" s="64"/>
      <c r="EB746" s="64"/>
      <c r="EC746" s="64"/>
      <c r="ED746" s="64"/>
    </row>
    <row r="747" spans="26:134" ht="15.75" customHeight="1">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4"/>
      <c r="DL747" s="64"/>
      <c r="DM747" s="64"/>
      <c r="DN747" s="64"/>
      <c r="DO747" s="64"/>
      <c r="DP747" s="64"/>
      <c r="DQ747" s="64"/>
      <c r="DR747" s="64"/>
      <c r="DS747" s="64"/>
      <c r="DT747" s="64"/>
      <c r="DU747" s="64"/>
      <c r="DV747" s="64"/>
      <c r="DW747" s="64"/>
      <c r="DX747" s="64"/>
      <c r="DY747" s="64"/>
      <c r="DZ747" s="64"/>
      <c r="EA747" s="64"/>
      <c r="EB747" s="64"/>
      <c r="EC747" s="64"/>
      <c r="ED747" s="64"/>
    </row>
    <row r="748" spans="26:134" ht="15.75" customHeight="1">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4"/>
      <c r="DL748" s="64"/>
      <c r="DM748" s="64"/>
      <c r="DN748" s="64"/>
      <c r="DO748" s="64"/>
      <c r="DP748" s="64"/>
      <c r="DQ748" s="64"/>
      <c r="DR748" s="64"/>
      <c r="DS748" s="64"/>
      <c r="DT748" s="64"/>
      <c r="DU748" s="64"/>
      <c r="DV748" s="64"/>
      <c r="DW748" s="64"/>
      <c r="DX748" s="64"/>
      <c r="DY748" s="64"/>
      <c r="DZ748" s="64"/>
      <c r="EA748" s="64"/>
      <c r="EB748" s="64"/>
      <c r="EC748" s="64"/>
      <c r="ED748" s="64"/>
    </row>
    <row r="749" spans="26:134" ht="15.75" customHeight="1">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4"/>
      <c r="DL749" s="64"/>
      <c r="DM749" s="64"/>
      <c r="DN749" s="64"/>
      <c r="DO749" s="64"/>
      <c r="DP749" s="64"/>
      <c r="DQ749" s="64"/>
      <c r="DR749" s="64"/>
      <c r="DS749" s="64"/>
      <c r="DT749" s="64"/>
      <c r="DU749" s="64"/>
      <c r="DV749" s="64"/>
      <c r="DW749" s="64"/>
      <c r="DX749" s="64"/>
      <c r="DY749" s="64"/>
      <c r="DZ749" s="64"/>
      <c r="EA749" s="64"/>
      <c r="EB749" s="64"/>
      <c r="EC749" s="64"/>
      <c r="ED749" s="64"/>
    </row>
    <row r="750" spans="26:134" ht="15.75" customHeight="1">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4"/>
      <c r="DL750" s="64"/>
      <c r="DM750" s="64"/>
      <c r="DN750" s="64"/>
      <c r="DO750" s="64"/>
      <c r="DP750" s="64"/>
      <c r="DQ750" s="64"/>
      <c r="DR750" s="64"/>
      <c r="DS750" s="64"/>
      <c r="DT750" s="64"/>
      <c r="DU750" s="64"/>
      <c r="DV750" s="64"/>
      <c r="DW750" s="64"/>
      <c r="DX750" s="64"/>
      <c r="DY750" s="64"/>
      <c r="DZ750" s="64"/>
      <c r="EA750" s="64"/>
      <c r="EB750" s="64"/>
      <c r="EC750" s="64"/>
      <c r="ED750" s="64"/>
    </row>
    <row r="751" spans="26:134" ht="15.75" customHeight="1">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4"/>
      <c r="DL751" s="64"/>
      <c r="DM751" s="64"/>
      <c r="DN751" s="64"/>
      <c r="DO751" s="64"/>
      <c r="DP751" s="64"/>
      <c r="DQ751" s="64"/>
      <c r="DR751" s="64"/>
      <c r="DS751" s="64"/>
      <c r="DT751" s="64"/>
      <c r="DU751" s="64"/>
      <c r="DV751" s="64"/>
      <c r="DW751" s="64"/>
      <c r="DX751" s="64"/>
      <c r="DY751" s="64"/>
      <c r="DZ751" s="64"/>
      <c r="EA751" s="64"/>
      <c r="EB751" s="64"/>
      <c r="EC751" s="64"/>
      <c r="ED751" s="64"/>
    </row>
    <row r="752" spans="26:134" ht="15.75" customHeight="1">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4"/>
      <c r="DL752" s="64"/>
      <c r="DM752" s="64"/>
      <c r="DN752" s="64"/>
      <c r="DO752" s="64"/>
      <c r="DP752" s="64"/>
      <c r="DQ752" s="64"/>
      <c r="DR752" s="64"/>
      <c r="DS752" s="64"/>
      <c r="DT752" s="64"/>
      <c r="DU752" s="64"/>
      <c r="DV752" s="64"/>
      <c r="DW752" s="64"/>
      <c r="DX752" s="64"/>
      <c r="DY752" s="64"/>
      <c r="DZ752" s="64"/>
      <c r="EA752" s="64"/>
      <c r="EB752" s="64"/>
      <c r="EC752" s="64"/>
      <c r="ED752" s="64"/>
    </row>
    <row r="753" spans="26:134" ht="15.75" customHeight="1">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4"/>
      <c r="DL753" s="64"/>
      <c r="DM753" s="64"/>
      <c r="DN753" s="64"/>
      <c r="DO753" s="64"/>
      <c r="DP753" s="64"/>
      <c r="DQ753" s="64"/>
      <c r="DR753" s="64"/>
      <c r="DS753" s="64"/>
      <c r="DT753" s="64"/>
      <c r="DU753" s="64"/>
      <c r="DV753" s="64"/>
      <c r="DW753" s="64"/>
      <c r="DX753" s="64"/>
      <c r="DY753" s="64"/>
      <c r="DZ753" s="64"/>
      <c r="EA753" s="64"/>
      <c r="EB753" s="64"/>
      <c r="EC753" s="64"/>
      <c r="ED753" s="64"/>
    </row>
    <row r="754" spans="26:134" ht="15.75" customHeight="1">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4"/>
      <c r="DL754" s="64"/>
      <c r="DM754" s="64"/>
      <c r="DN754" s="64"/>
      <c r="DO754" s="64"/>
      <c r="DP754" s="64"/>
      <c r="DQ754" s="64"/>
      <c r="DR754" s="64"/>
      <c r="DS754" s="64"/>
      <c r="DT754" s="64"/>
      <c r="DU754" s="64"/>
      <c r="DV754" s="64"/>
      <c r="DW754" s="64"/>
      <c r="DX754" s="64"/>
      <c r="DY754" s="64"/>
      <c r="DZ754" s="64"/>
      <c r="EA754" s="64"/>
      <c r="EB754" s="64"/>
      <c r="EC754" s="64"/>
      <c r="ED754" s="64"/>
    </row>
    <row r="755" spans="26:134" ht="15.75" customHeight="1">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4"/>
      <c r="DL755" s="64"/>
      <c r="DM755" s="64"/>
      <c r="DN755" s="64"/>
      <c r="DO755" s="64"/>
      <c r="DP755" s="64"/>
      <c r="DQ755" s="64"/>
      <c r="DR755" s="64"/>
      <c r="DS755" s="64"/>
      <c r="DT755" s="64"/>
      <c r="DU755" s="64"/>
      <c r="DV755" s="64"/>
      <c r="DW755" s="64"/>
      <c r="DX755" s="64"/>
      <c r="DY755" s="64"/>
      <c r="DZ755" s="64"/>
      <c r="EA755" s="64"/>
      <c r="EB755" s="64"/>
      <c r="EC755" s="64"/>
      <c r="ED755" s="64"/>
    </row>
    <row r="756" spans="26:134" ht="15.75" customHeight="1">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4"/>
      <c r="DL756" s="64"/>
      <c r="DM756" s="64"/>
      <c r="DN756" s="64"/>
      <c r="DO756" s="64"/>
      <c r="DP756" s="64"/>
      <c r="DQ756" s="64"/>
      <c r="DR756" s="64"/>
      <c r="DS756" s="64"/>
      <c r="DT756" s="64"/>
      <c r="DU756" s="64"/>
      <c r="DV756" s="64"/>
      <c r="DW756" s="64"/>
      <c r="DX756" s="64"/>
      <c r="DY756" s="64"/>
      <c r="DZ756" s="64"/>
      <c r="EA756" s="64"/>
      <c r="EB756" s="64"/>
      <c r="EC756" s="64"/>
      <c r="ED756" s="64"/>
    </row>
    <row r="757" spans="26:134" ht="15.75" customHeight="1">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4"/>
      <c r="DL757" s="64"/>
      <c r="DM757" s="64"/>
      <c r="DN757" s="64"/>
      <c r="DO757" s="64"/>
      <c r="DP757" s="64"/>
      <c r="DQ757" s="64"/>
      <c r="DR757" s="64"/>
      <c r="DS757" s="64"/>
      <c r="DT757" s="64"/>
      <c r="DU757" s="64"/>
      <c r="DV757" s="64"/>
      <c r="DW757" s="64"/>
      <c r="DX757" s="64"/>
      <c r="DY757" s="64"/>
      <c r="DZ757" s="64"/>
      <c r="EA757" s="64"/>
      <c r="EB757" s="64"/>
      <c r="EC757" s="64"/>
      <c r="ED757" s="64"/>
    </row>
    <row r="758" spans="26:134" ht="15.75" customHeight="1">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4"/>
      <c r="DL758" s="64"/>
      <c r="DM758" s="64"/>
      <c r="DN758" s="64"/>
      <c r="DO758" s="64"/>
      <c r="DP758" s="64"/>
      <c r="DQ758" s="64"/>
      <c r="DR758" s="64"/>
      <c r="DS758" s="64"/>
      <c r="DT758" s="64"/>
      <c r="DU758" s="64"/>
      <c r="DV758" s="64"/>
      <c r="DW758" s="64"/>
      <c r="DX758" s="64"/>
      <c r="DY758" s="64"/>
      <c r="DZ758" s="64"/>
      <c r="EA758" s="64"/>
      <c r="EB758" s="64"/>
      <c r="EC758" s="64"/>
      <c r="ED758" s="64"/>
    </row>
    <row r="759" spans="26:134" ht="15.75" customHeight="1">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4"/>
      <c r="DL759" s="64"/>
      <c r="DM759" s="64"/>
      <c r="DN759" s="64"/>
      <c r="DO759" s="64"/>
      <c r="DP759" s="64"/>
      <c r="DQ759" s="64"/>
      <c r="DR759" s="64"/>
      <c r="DS759" s="64"/>
      <c r="DT759" s="64"/>
      <c r="DU759" s="64"/>
      <c r="DV759" s="64"/>
      <c r="DW759" s="64"/>
      <c r="DX759" s="64"/>
      <c r="DY759" s="64"/>
      <c r="DZ759" s="64"/>
      <c r="EA759" s="64"/>
      <c r="EB759" s="64"/>
      <c r="EC759" s="64"/>
      <c r="ED759" s="64"/>
    </row>
    <row r="760" spans="26:134" ht="15.75" customHeight="1">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4"/>
      <c r="DL760" s="64"/>
      <c r="DM760" s="64"/>
      <c r="DN760" s="64"/>
      <c r="DO760" s="64"/>
      <c r="DP760" s="64"/>
      <c r="DQ760" s="64"/>
      <c r="DR760" s="64"/>
      <c r="DS760" s="64"/>
      <c r="DT760" s="64"/>
      <c r="DU760" s="64"/>
      <c r="DV760" s="64"/>
      <c r="DW760" s="64"/>
      <c r="DX760" s="64"/>
      <c r="DY760" s="64"/>
      <c r="DZ760" s="64"/>
      <c r="EA760" s="64"/>
      <c r="EB760" s="64"/>
      <c r="EC760" s="64"/>
      <c r="ED760" s="64"/>
    </row>
    <row r="761" spans="26:134" ht="15.75" customHeight="1">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4"/>
      <c r="DL761" s="64"/>
      <c r="DM761" s="64"/>
      <c r="DN761" s="64"/>
      <c r="DO761" s="64"/>
      <c r="DP761" s="64"/>
      <c r="DQ761" s="64"/>
      <c r="DR761" s="64"/>
      <c r="DS761" s="64"/>
      <c r="DT761" s="64"/>
      <c r="DU761" s="64"/>
      <c r="DV761" s="64"/>
      <c r="DW761" s="64"/>
      <c r="DX761" s="64"/>
      <c r="DY761" s="64"/>
      <c r="DZ761" s="64"/>
      <c r="EA761" s="64"/>
      <c r="EB761" s="64"/>
      <c r="EC761" s="64"/>
      <c r="ED761" s="64"/>
    </row>
    <row r="762" spans="26:134" ht="15.75" customHeight="1">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4"/>
      <c r="DL762" s="64"/>
      <c r="DM762" s="64"/>
      <c r="DN762" s="64"/>
      <c r="DO762" s="64"/>
      <c r="DP762" s="64"/>
      <c r="DQ762" s="64"/>
      <c r="DR762" s="64"/>
      <c r="DS762" s="64"/>
      <c r="DT762" s="64"/>
      <c r="DU762" s="64"/>
      <c r="DV762" s="64"/>
      <c r="DW762" s="64"/>
      <c r="DX762" s="64"/>
      <c r="DY762" s="64"/>
      <c r="DZ762" s="64"/>
      <c r="EA762" s="64"/>
      <c r="EB762" s="64"/>
      <c r="EC762" s="64"/>
      <c r="ED762" s="64"/>
    </row>
    <row r="763" spans="26:134" ht="15.75" customHeight="1">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4"/>
      <c r="DL763" s="64"/>
      <c r="DM763" s="64"/>
      <c r="DN763" s="64"/>
      <c r="DO763" s="64"/>
      <c r="DP763" s="64"/>
      <c r="DQ763" s="64"/>
      <c r="DR763" s="64"/>
      <c r="DS763" s="64"/>
      <c r="DT763" s="64"/>
      <c r="DU763" s="64"/>
      <c r="DV763" s="64"/>
      <c r="DW763" s="64"/>
      <c r="DX763" s="64"/>
      <c r="DY763" s="64"/>
      <c r="DZ763" s="64"/>
      <c r="EA763" s="64"/>
      <c r="EB763" s="64"/>
      <c r="EC763" s="64"/>
      <c r="ED763" s="64"/>
    </row>
    <row r="764" spans="26:134" ht="15.75" customHeight="1">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4"/>
      <c r="DL764" s="64"/>
      <c r="DM764" s="64"/>
      <c r="DN764" s="64"/>
      <c r="DO764" s="64"/>
      <c r="DP764" s="64"/>
      <c r="DQ764" s="64"/>
      <c r="DR764" s="64"/>
      <c r="DS764" s="64"/>
      <c r="DT764" s="64"/>
      <c r="DU764" s="64"/>
      <c r="DV764" s="64"/>
      <c r="DW764" s="64"/>
      <c r="DX764" s="64"/>
      <c r="DY764" s="64"/>
      <c r="DZ764" s="64"/>
      <c r="EA764" s="64"/>
      <c r="EB764" s="64"/>
      <c r="EC764" s="64"/>
      <c r="ED764" s="64"/>
    </row>
    <row r="765" spans="26:134" ht="15.75" customHeight="1">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4"/>
      <c r="DL765" s="64"/>
      <c r="DM765" s="64"/>
      <c r="DN765" s="64"/>
      <c r="DO765" s="64"/>
      <c r="DP765" s="64"/>
      <c r="DQ765" s="64"/>
      <c r="DR765" s="64"/>
      <c r="DS765" s="64"/>
      <c r="DT765" s="64"/>
      <c r="DU765" s="64"/>
      <c r="DV765" s="64"/>
      <c r="DW765" s="64"/>
      <c r="DX765" s="64"/>
      <c r="DY765" s="64"/>
      <c r="DZ765" s="64"/>
      <c r="EA765" s="64"/>
      <c r="EB765" s="64"/>
      <c r="EC765" s="64"/>
      <c r="ED765" s="64"/>
    </row>
    <row r="766" spans="26:134" ht="15.75" customHeight="1">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4"/>
      <c r="DL766" s="64"/>
      <c r="DM766" s="64"/>
      <c r="DN766" s="64"/>
      <c r="DO766" s="64"/>
      <c r="DP766" s="64"/>
      <c r="DQ766" s="64"/>
      <c r="DR766" s="64"/>
      <c r="DS766" s="64"/>
      <c r="DT766" s="64"/>
      <c r="DU766" s="64"/>
      <c r="DV766" s="64"/>
      <c r="DW766" s="64"/>
      <c r="DX766" s="64"/>
      <c r="DY766" s="64"/>
      <c r="DZ766" s="64"/>
      <c r="EA766" s="64"/>
      <c r="EB766" s="64"/>
      <c r="EC766" s="64"/>
      <c r="ED766" s="64"/>
    </row>
    <row r="767" spans="26:134" ht="15.75" customHeight="1">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4"/>
      <c r="DL767" s="64"/>
      <c r="DM767" s="64"/>
      <c r="DN767" s="64"/>
      <c r="DO767" s="64"/>
      <c r="DP767" s="64"/>
      <c r="DQ767" s="64"/>
      <c r="DR767" s="64"/>
      <c r="DS767" s="64"/>
      <c r="DT767" s="64"/>
      <c r="DU767" s="64"/>
      <c r="DV767" s="64"/>
      <c r="DW767" s="64"/>
      <c r="DX767" s="64"/>
      <c r="DY767" s="64"/>
      <c r="DZ767" s="64"/>
      <c r="EA767" s="64"/>
      <c r="EB767" s="64"/>
      <c r="EC767" s="64"/>
      <c r="ED767" s="64"/>
    </row>
    <row r="768" spans="26:134" ht="15.75" customHeight="1">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4"/>
      <c r="DL768" s="64"/>
      <c r="DM768" s="64"/>
      <c r="DN768" s="64"/>
      <c r="DO768" s="64"/>
      <c r="DP768" s="64"/>
      <c r="DQ768" s="64"/>
      <c r="DR768" s="64"/>
      <c r="DS768" s="64"/>
      <c r="DT768" s="64"/>
      <c r="DU768" s="64"/>
      <c r="DV768" s="64"/>
      <c r="DW768" s="64"/>
      <c r="DX768" s="64"/>
      <c r="DY768" s="64"/>
      <c r="DZ768" s="64"/>
      <c r="EA768" s="64"/>
      <c r="EB768" s="64"/>
      <c r="EC768" s="64"/>
      <c r="ED768" s="64"/>
    </row>
    <row r="769" spans="26:134" ht="15.75" customHeight="1">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4"/>
      <c r="DL769" s="64"/>
      <c r="DM769" s="64"/>
      <c r="DN769" s="64"/>
      <c r="DO769" s="64"/>
      <c r="DP769" s="64"/>
      <c r="DQ769" s="64"/>
      <c r="DR769" s="64"/>
      <c r="DS769" s="64"/>
      <c r="DT769" s="64"/>
      <c r="DU769" s="64"/>
      <c r="DV769" s="64"/>
      <c r="DW769" s="64"/>
      <c r="DX769" s="64"/>
      <c r="DY769" s="64"/>
      <c r="DZ769" s="64"/>
      <c r="EA769" s="64"/>
      <c r="EB769" s="64"/>
      <c r="EC769" s="64"/>
      <c r="ED769" s="64"/>
    </row>
    <row r="770" spans="26:134" ht="15.75" customHeight="1">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4"/>
      <c r="DL770" s="64"/>
      <c r="DM770" s="64"/>
      <c r="DN770" s="64"/>
      <c r="DO770" s="64"/>
      <c r="DP770" s="64"/>
      <c r="DQ770" s="64"/>
      <c r="DR770" s="64"/>
      <c r="DS770" s="64"/>
      <c r="DT770" s="64"/>
      <c r="DU770" s="64"/>
      <c r="DV770" s="64"/>
      <c r="DW770" s="64"/>
      <c r="DX770" s="64"/>
      <c r="DY770" s="64"/>
      <c r="DZ770" s="64"/>
      <c r="EA770" s="64"/>
      <c r="EB770" s="64"/>
      <c r="EC770" s="64"/>
      <c r="ED770" s="64"/>
    </row>
    <row r="771" spans="26:134" ht="15.75" customHeight="1">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4"/>
      <c r="DL771" s="64"/>
      <c r="DM771" s="64"/>
      <c r="DN771" s="64"/>
      <c r="DO771" s="64"/>
      <c r="DP771" s="64"/>
      <c r="DQ771" s="64"/>
      <c r="DR771" s="64"/>
      <c r="DS771" s="64"/>
      <c r="DT771" s="64"/>
      <c r="DU771" s="64"/>
      <c r="DV771" s="64"/>
      <c r="DW771" s="64"/>
      <c r="DX771" s="64"/>
      <c r="DY771" s="64"/>
      <c r="DZ771" s="64"/>
      <c r="EA771" s="64"/>
      <c r="EB771" s="64"/>
      <c r="EC771" s="64"/>
      <c r="ED771" s="64"/>
    </row>
    <row r="772" spans="26:134" ht="15.75" customHeight="1">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4"/>
      <c r="DL772" s="64"/>
      <c r="DM772" s="64"/>
      <c r="DN772" s="64"/>
      <c r="DO772" s="64"/>
      <c r="DP772" s="64"/>
      <c r="DQ772" s="64"/>
      <c r="DR772" s="64"/>
      <c r="DS772" s="64"/>
      <c r="DT772" s="64"/>
      <c r="DU772" s="64"/>
      <c r="DV772" s="64"/>
      <c r="DW772" s="64"/>
      <c r="DX772" s="64"/>
      <c r="DY772" s="64"/>
      <c r="DZ772" s="64"/>
      <c r="EA772" s="64"/>
      <c r="EB772" s="64"/>
      <c r="EC772" s="64"/>
      <c r="ED772" s="64"/>
    </row>
    <row r="773" spans="26:134" ht="15.75" customHeight="1">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4"/>
      <c r="DL773" s="64"/>
      <c r="DM773" s="64"/>
      <c r="DN773" s="64"/>
      <c r="DO773" s="64"/>
      <c r="DP773" s="64"/>
      <c r="DQ773" s="64"/>
      <c r="DR773" s="64"/>
      <c r="DS773" s="64"/>
      <c r="DT773" s="64"/>
      <c r="DU773" s="64"/>
      <c r="DV773" s="64"/>
      <c r="DW773" s="64"/>
      <c r="DX773" s="64"/>
      <c r="DY773" s="64"/>
      <c r="DZ773" s="64"/>
      <c r="EA773" s="64"/>
      <c r="EB773" s="64"/>
      <c r="EC773" s="64"/>
      <c r="ED773" s="64"/>
    </row>
    <row r="774" spans="26:134" ht="15.75" customHeight="1">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4"/>
      <c r="DL774" s="64"/>
      <c r="DM774" s="64"/>
      <c r="DN774" s="64"/>
      <c r="DO774" s="64"/>
      <c r="DP774" s="64"/>
      <c r="DQ774" s="64"/>
      <c r="DR774" s="64"/>
      <c r="DS774" s="64"/>
      <c r="DT774" s="64"/>
      <c r="DU774" s="64"/>
      <c r="DV774" s="64"/>
      <c r="DW774" s="64"/>
      <c r="DX774" s="64"/>
      <c r="DY774" s="64"/>
      <c r="DZ774" s="64"/>
      <c r="EA774" s="64"/>
      <c r="EB774" s="64"/>
      <c r="EC774" s="64"/>
      <c r="ED774" s="64"/>
    </row>
    <row r="775" spans="26:134" ht="15.75" customHeight="1">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4"/>
      <c r="DL775" s="64"/>
      <c r="DM775" s="64"/>
      <c r="DN775" s="64"/>
      <c r="DO775" s="64"/>
      <c r="DP775" s="64"/>
      <c r="DQ775" s="64"/>
      <c r="DR775" s="64"/>
      <c r="DS775" s="64"/>
      <c r="DT775" s="64"/>
      <c r="DU775" s="64"/>
      <c r="DV775" s="64"/>
      <c r="DW775" s="64"/>
      <c r="DX775" s="64"/>
      <c r="DY775" s="64"/>
      <c r="DZ775" s="64"/>
      <c r="EA775" s="64"/>
      <c r="EB775" s="64"/>
      <c r="EC775" s="64"/>
      <c r="ED775" s="64"/>
    </row>
    <row r="776" spans="26:134" ht="15.75" customHeight="1">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4"/>
      <c r="DL776" s="64"/>
      <c r="DM776" s="64"/>
      <c r="DN776" s="64"/>
      <c r="DO776" s="64"/>
      <c r="DP776" s="64"/>
      <c r="DQ776" s="64"/>
      <c r="DR776" s="64"/>
      <c r="DS776" s="64"/>
      <c r="DT776" s="64"/>
      <c r="DU776" s="64"/>
      <c r="DV776" s="64"/>
      <c r="DW776" s="64"/>
      <c r="DX776" s="64"/>
      <c r="DY776" s="64"/>
      <c r="DZ776" s="64"/>
      <c r="EA776" s="64"/>
      <c r="EB776" s="64"/>
      <c r="EC776" s="64"/>
      <c r="ED776" s="64"/>
    </row>
    <row r="777" spans="26:134" ht="15.75" customHeight="1">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4"/>
      <c r="DL777" s="64"/>
      <c r="DM777" s="64"/>
      <c r="DN777" s="64"/>
      <c r="DO777" s="64"/>
      <c r="DP777" s="64"/>
      <c r="DQ777" s="64"/>
      <c r="DR777" s="64"/>
      <c r="DS777" s="64"/>
      <c r="DT777" s="64"/>
      <c r="DU777" s="64"/>
      <c r="DV777" s="64"/>
      <c r="DW777" s="64"/>
      <c r="DX777" s="64"/>
      <c r="DY777" s="64"/>
      <c r="DZ777" s="64"/>
      <c r="EA777" s="64"/>
      <c r="EB777" s="64"/>
      <c r="EC777" s="64"/>
      <c r="ED777" s="64"/>
    </row>
    <row r="778" spans="26:134" ht="15.75" customHeight="1">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4"/>
      <c r="DL778" s="64"/>
      <c r="DM778" s="64"/>
      <c r="DN778" s="64"/>
      <c r="DO778" s="64"/>
      <c r="DP778" s="64"/>
      <c r="DQ778" s="64"/>
      <c r="DR778" s="64"/>
      <c r="DS778" s="64"/>
      <c r="DT778" s="64"/>
      <c r="DU778" s="64"/>
      <c r="DV778" s="64"/>
      <c r="DW778" s="64"/>
      <c r="DX778" s="64"/>
      <c r="DY778" s="64"/>
      <c r="DZ778" s="64"/>
      <c r="EA778" s="64"/>
      <c r="EB778" s="64"/>
      <c r="EC778" s="64"/>
      <c r="ED778" s="64"/>
    </row>
    <row r="779" spans="26:134" ht="15.75" customHeight="1">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4"/>
      <c r="DL779" s="64"/>
      <c r="DM779" s="64"/>
      <c r="DN779" s="64"/>
      <c r="DO779" s="64"/>
      <c r="DP779" s="64"/>
      <c r="DQ779" s="64"/>
      <c r="DR779" s="64"/>
      <c r="DS779" s="64"/>
      <c r="DT779" s="64"/>
      <c r="DU779" s="64"/>
      <c r="DV779" s="64"/>
      <c r="DW779" s="64"/>
      <c r="DX779" s="64"/>
      <c r="DY779" s="64"/>
      <c r="DZ779" s="64"/>
      <c r="EA779" s="64"/>
      <c r="EB779" s="64"/>
      <c r="EC779" s="64"/>
      <c r="ED779" s="64"/>
    </row>
    <row r="780" spans="26:134" ht="15.75" customHeight="1">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4"/>
      <c r="DL780" s="64"/>
      <c r="DM780" s="64"/>
      <c r="DN780" s="64"/>
      <c r="DO780" s="64"/>
      <c r="DP780" s="64"/>
      <c r="DQ780" s="64"/>
      <c r="DR780" s="64"/>
      <c r="DS780" s="64"/>
      <c r="DT780" s="64"/>
      <c r="DU780" s="64"/>
      <c r="DV780" s="64"/>
      <c r="DW780" s="64"/>
      <c r="DX780" s="64"/>
      <c r="DY780" s="64"/>
      <c r="DZ780" s="64"/>
      <c r="EA780" s="64"/>
      <c r="EB780" s="64"/>
      <c r="EC780" s="64"/>
      <c r="ED780" s="64"/>
    </row>
    <row r="781" spans="26:134" ht="15.75" customHeight="1">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4"/>
      <c r="DL781" s="64"/>
      <c r="DM781" s="64"/>
      <c r="DN781" s="64"/>
      <c r="DO781" s="64"/>
      <c r="DP781" s="64"/>
      <c r="DQ781" s="64"/>
      <c r="DR781" s="64"/>
      <c r="DS781" s="64"/>
      <c r="DT781" s="64"/>
      <c r="DU781" s="64"/>
      <c r="DV781" s="64"/>
      <c r="DW781" s="64"/>
      <c r="DX781" s="64"/>
      <c r="DY781" s="64"/>
      <c r="DZ781" s="64"/>
      <c r="EA781" s="64"/>
      <c r="EB781" s="64"/>
      <c r="EC781" s="64"/>
      <c r="ED781" s="64"/>
    </row>
    <row r="782" spans="26:134" ht="15.75" customHeight="1">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4"/>
      <c r="DL782" s="64"/>
      <c r="DM782" s="64"/>
      <c r="DN782" s="64"/>
      <c r="DO782" s="64"/>
      <c r="DP782" s="64"/>
      <c r="DQ782" s="64"/>
      <c r="DR782" s="64"/>
      <c r="DS782" s="64"/>
      <c r="DT782" s="64"/>
      <c r="DU782" s="64"/>
      <c r="DV782" s="64"/>
      <c r="DW782" s="64"/>
      <c r="DX782" s="64"/>
      <c r="DY782" s="64"/>
      <c r="DZ782" s="64"/>
      <c r="EA782" s="64"/>
      <c r="EB782" s="64"/>
      <c r="EC782" s="64"/>
      <c r="ED782" s="64"/>
    </row>
    <row r="783" spans="26:134" ht="15.75" customHeight="1">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4"/>
      <c r="DL783" s="64"/>
      <c r="DM783" s="64"/>
      <c r="DN783" s="64"/>
      <c r="DO783" s="64"/>
      <c r="DP783" s="64"/>
      <c r="DQ783" s="64"/>
      <c r="DR783" s="64"/>
      <c r="DS783" s="64"/>
      <c r="DT783" s="64"/>
      <c r="DU783" s="64"/>
      <c r="DV783" s="64"/>
      <c r="DW783" s="64"/>
      <c r="DX783" s="64"/>
      <c r="DY783" s="64"/>
      <c r="DZ783" s="64"/>
      <c r="EA783" s="64"/>
      <c r="EB783" s="64"/>
      <c r="EC783" s="64"/>
      <c r="ED783" s="64"/>
    </row>
    <row r="784" spans="26:134" ht="15.75" customHeight="1">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4"/>
      <c r="DL784" s="64"/>
      <c r="DM784" s="64"/>
      <c r="DN784" s="64"/>
      <c r="DO784" s="64"/>
      <c r="DP784" s="64"/>
      <c r="DQ784" s="64"/>
      <c r="DR784" s="64"/>
      <c r="DS784" s="64"/>
      <c r="DT784" s="64"/>
      <c r="DU784" s="64"/>
      <c r="DV784" s="64"/>
      <c r="DW784" s="64"/>
      <c r="DX784" s="64"/>
      <c r="DY784" s="64"/>
      <c r="DZ784" s="64"/>
      <c r="EA784" s="64"/>
      <c r="EB784" s="64"/>
      <c r="EC784" s="64"/>
      <c r="ED784" s="64"/>
    </row>
    <row r="785" spans="26:134" ht="15.75" customHeight="1">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4"/>
      <c r="DL785" s="64"/>
      <c r="DM785" s="64"/>
      <c r="DN785" s="64"/>
      <c r="DO785" s="64"/>
      <c r="DP785" s="64"/>
      <c r="DQ785" s="64"/>
      <c r="DR785" s="64"/>
      <c r="DS785" s="64"/>
      <c r="DT785" s="64"/>
      <c r="DU785" s="64"/>
      <c r="DV785" s="64"/>
      <c r="DW785" s="64"/>
      <c r="DX785" s="64"/>
      <c r="DY785" s="64"/>
      <c r="DZ785" s="64"/>
      <c r="EA785" s="64"/>
      <c r="EB785" s="64"/>
      <c r="EC785" s="64"/>
      <c r="ED785" s="64"/>
    </row>
    <row r="786" spans="26:134" ht="15.75" customHeight="1">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4"/>
      <c r="DL786" s="64"/>
      <c r="DM786" s="64"/>
      <c r="DN786" s="64"/>
      <c r="DO786" s="64"/>
      <c r="DP786" s="64"/>
      <c r="DQ786" s="64"/>
      <c r="DR786" s="64"/>
      <c r="DS786" s="64"/>
      <c r="DT786" s="64"/>
      <c r="DU786" s="64"/>
      <c r="DV786" s="64"/>
      <c r="DW786" s="64"/>
      <c r="DX786" s="64"/>
      <c r="DY786" s="64"/>
      <c r="DZ786" s="64"/>
      <c r="EA786" s="64"/>
      <c r="EB786" s="64"/>
      <c r="EC786" s="64"/>
      <c r="ED786" s="64"/>
    </row>
    <row r="787" spans="26:134" ht="15.75" customHeight="1">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4"/>
      <c r="DL787" s="64"/>
      <c r="DM787" s="64"/>
      <c r="DN787" s="64"/>
      <c r="DO787" s="64"/>
      <c r="DP787" s="64"/>
      <c r="DQ787" s="64"/>
      <c r="DR787" s="64"/>
      <c r="DS787" s="64"/>
      <c r="DT787" s="64"/>
      <c r="DU787" s="64"/>
      <c r="DV787" s="64"/>
      <c r="DW787" s="64"/>
      <c r="DX787" s="64"/>
      <c r="DY787" s="64"/>
      <c r="DZ787" s="64"/>
      <c r="EA787" s="64"/>
      <c r="EB787" s="64"/>
      <c r="EC787" s="64"/>
      <c r="ED787" s="64"/>
    </row>
    <row r="788" spans="26:134" ht="15.75" customHeight="1">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4"/>
      <c r="DL788" s="64"/>
      <c r="DM788" s="64"/>
      <c r="DN788" s="64"/>
      <c r="DO788" s="64"/>
      <c r="DP788" s="64"/>
      <c r="DQ788" s="64"/>
      <c r="DR788" s="64"/>
      <c r="DS788" s="64"/>
      <c r="DT788" s="64"/>
      <c r="DU788" s="64"/>
      <c r="DV788" s="64"/>
      <c r="DW788" s="64"/>
      <c r="DX788" s="64"/>
      <c r="DY788" s="64"/>
      <c r="DZ788" s="64"/>
      <c r="EA788" s="64"/>
      <c r="EB788" s="64"/>
      <c r="EC788" s="64"/>
      <c r="ED788" s="64"/>
    </row>
    <row r="789" spans="26:134" ht="15.75" customHeight="1">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4"/>
      <c r="DL789" s="64"/>
      <c r="DM789" s="64"/>
      <c r="DN789" s="64"/>
      <c r="DO789" s="64"/>
      <c r="DP789" s="64"/>
      <c r="DQ789" s="64"/>
      <c r="DR789" s="64"/>
      <c r="DS789" s="64"/>
      <c r="DT789" s="64"/>
      <c r="DU789" s="64"/>
      <c r="DV789" s="64"/>
      <c r="DW789" s="64"/>
      <c r="DX789" s="64"/>
      <c r="DY789" s="64"/>
      <c r="DZ789" s="64"/>
      <c r="EA789" s="64"/>
      <c r="EB789" s="64"/>
      <c r="EC789" s="64"/>
      <c r="ED789" s="64"/>
    </row>
    <row r="790" spans="26:134" ht="15.75" customHeight="1">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4"/>
      <c r="DL790" s="64"/>
      <c r="DM790" s="64"/>
      <c r="DN790" s="64"/>
      <c r="DO790" s="64"/>
      <c r="DP790" s="64"/>
      <c r="DQ790" s="64"/>
      <c r="DR790" s="64"/>
      <c r="DS790" s="64"/>
      <c r="DT790" s="64"/>
      <c r="DU790" s="64"/>
      <c r="DV790" s="64"/>
      <c r="DW790" s="64"/>
      <c r="DX790" s="64"/>
      <c r="DY790" s="64"/>
      <c r="DZ790" s="64"/>
      <c r="EA790" s="64"/>
      <c r="EB790" s="64"/>
      <c r="EC790" s="64"/>
      <c r="ED790" s="64"/>
    </row>
    <row r="791" spans="26:134" ht="15.75" customHeight="1">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4"/>
      <c r="DL791" s="64"/>
      <c r="DM791" s="64"/>
      <c r="DN791" s="64"/>
      <c r="DO791" s="64"/>
      <c r="DP791" s="64"/>
      <c r="DQ791" s="64"/>
      <c r="DR791" s="64"/>
      <c r="DS791" s="64"/>
      <c r="DT791" s="64"/>
      <c r="DU791" s="64"/>
      <c r="DV791" s="64"/>
      <c r="DW791" s="64"/>
      <c r="DX791" s="64"/>
      <c r="DY791" s="64"/>
      <c r="DZ791" s="64"/>
      <c r="EA791" s="64"/>
      <c r="EB791" s="64"/>
      <c r="EC791" s="64"/>
      <c r="ED791" s="64"/>
    </row>
    <row r="792" spans="26:134" ht="15.75" customHeight="1">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4"/>
      <c r="DL792" s="64"/>
      <c r="DM792" s="64"/>
      <c r="DN792" s="64"/>
      <c r="DO792" s="64"/>
      <c r="DP792" s="64"/>
      <c r="DQ792" s="64"/>
      <c r="DR792" s="64"/>
      <c r="DS792" s="64"/>
      <c r="DT792" s="64"/>
      <c r="DU792" s="64"/>
      <c r="DV792" s="64"/>
      <c r="DW792" s="64"/>
      <c r="DX792" s="64"/>
      <c r="DY792" s="64"/>
      <c r="DZ792" s="64"/>
      <c r="EA792" s="64"/>
      <c r="EB792" s="64"/>
      <c r="EC792" s="64"/>
      <c r="ED792" s="64"/>
    </row>
    <row r="793" spans="26:134" ht="15.75" customHeight="1">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4"/>
      <c r="DL793" s="64"/>
      <c r="DM793" s="64"/>
      <c r="DN793" s="64"/>
      <c r="DO793" s="64"/>
      <c r="DP793" s="64"/>
      <c r="DQ793" s="64"/>
      <c r="DR793" s="64"/>
      <c r="DS793" s="64"/>
      <c r="DT793" s="64"/>
      <c r="DU793" s="64"/>
      <c r="DV793" s="64"/>
      <c r="DW793" s="64"/>
      <c r="DX793" s="64"/>
      <c r="DY793" s="64"/>
      <c r="DZ793" s="64"/>
      <c r="EA793" s="64"/>
      <c r="EB793" s="64"/>
      <c r="EC793" s="64"/>
      <c r="ED793" s="64"/>
    </row>
    <row r="794" spans="26:134" ht="15.75" customHeight="1">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4"/>
      <c r="DL794" s="64"/>
      <c r="DM794" s="64"/>
      <c r="DN794" s="64"/>
      <c r="DO794" s="64"/>
      <c r="DP794" s="64"/>
      <c r="DQ794" s="64"/>
      <c r="DR794" s="64"/>
      <c r="DS794" s="64"/>
      <c r="DT794" s="64"/>
      <c r="DU794" s="64"/>
      <c r="DV794" s="64"/>
      <c r="DW794" s="64"/>
      <c r="DX794" s="64"/>
      <c r="DY794" s="64"/>
      <c r="DZ794" s="64"/>
      <c r="EA794" s="64"/>
      <c r="EB794" s="64"/>
      <c r="EC794" s="64"/>
      <c r="ED794" s="64"/>
    </row>
    <row r="795" spans="26:134" ht="15.75" customHeight="1">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4"/>
      <c r="DL795" s="64"/>
      <c r="DM795" s="64"/>
      <c r="DN795" s="64"/>
      <c r="DO795" s="64"/>
      <c r="DP795" s="64"/>
      <c r="DQ795" s="64"/>
      <c r="DR795" s="64"/>
      <c r="DS795" s="64"/>
      <c r="DT795" s="64"/>
      <c r="DU795" s="64"/>
      <c r="DV795" s="64"/>
      <c r="DW795" s="64"/>
      <c r="DX795" s="64"/>
      <c r="DY795" s="64"/>
      <c r="DZ795" s="64"/>
      <c r="EA795" s="64"/>
      <c r="EB795" s="64"/>
      <c r="EC795" s="64"/>
      <c r="ED795" s="64"/>
    </row>
    <row r="796" spans="26:134" ht="15.75" customHeight="1">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4"/>
      <c r="DL796" s="64"/>
      <c r="DM796" s="64"/>
      <c r="DN796" s="64"/>
      <c r="DO796" s="64"/>
      <c r="DP796" s="64"/>
      <c r="DQ796" s="64"/>
      <c r="DR796" s="64"/>
      <c r="DS796" s="64"/>
      <c r="DT796" s="64"/>
      <c r="DU796" s="64"/>
      <c r="DV796" s="64"/>
      <c r="DW796" s="64"/>
      <c r="DX796" s="64"/>
      <c r="DY796" s="64"/>
      <c r="DZ796" s="64"/>
      <c r="EA796" s="64"/>
      <c r="EB796" s="64"/>
      <c r="EC796" s="64"/>
      <c r="ED796" s="64"/>
    </row>
    <row r="797" spans="26:134" ht="15.75" customHeight="1">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4"/>
      <c r="DL797" s="64"/>
      <c r="DM797" s="64"/>
      <c r="DN797" s="64"/>
      <c r="DO797" s="64"/>
      <c r="DP797" s="64"/>
      <c r="DQ797" s="64"/>
      <c r="DR797" s="64"/>
      <c r="DS797" s="64"/>
      <c r="DT797" s="64"/>
      <c r="DU797" s="64"/>
      <c r="DV797" s="64"/>
      <c r="DW797" s="64"/>
      <c r="DX797" s="64"/>
      <c r="DY797" s="64"/>
      <c r="DZ797" s="64"/>
      <c r="EA797" s="64"/>
      <c r="EB797" s="64"/>
      <c r="EC797" s="64"/>
      <c r="ED797" s="64"/>
    </row>
    <row r="798" spans="26:134" ht="15.75" customHeight="1">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4"/>
      <c r="DL798" s="64"/>
      <c r="DM798" s="64"/>
      <c r="DN798" s="64"/>
      <c r="DO798" s="64"/>
      <c r="DP798" s="64"/>
      <c r="DQ798" s="64"/>
      <c r="DR798" s="64"/>
      <c r="DS798" s="64"/>
      <c r="DT798" s="64"/>
      <c r="DU798" s="64"/>
      <c r="DV798" s="64"/>
      <c r="DW798" s="64"/>
      <c r="DX798" s="64"/>
      <c r="DY798" s="64"/>
      <c r="DZ798" s="64"/>
      <c r="EA798" s="64"/>
      <c r="EB798" s="64"/>
      <c r="EC798" s="64"/>
      <c r="ED798" s="64"/>
    </row>
    <row r="799" spans="26:134" ht="15.75" customHeight="1">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4"/>
      <c r="DL799" s="64"/>
      <c r="DM799" s="64"/>
      <c r="DN799" s="64"/>
      <c r="DO799" s="64"/>
      <c r="DP799" s="64"/>
      <c r="DQ799" s="64"/>
      <c r="DR799" s="64"/>
      <c r="DS799" s="64"/>
      <c r="DT799" s="64"/>
      <c r="DU799" s="64"/>
      <c r="DV799" s="64"/>
      <c r="DW799" s="64"/>
      <c r="DX799" s="64"/>
      <c r="DY799" s="64"/>
      <c r="DZ799" s="64"/>
      <c r="EA799" s="64"/>
      <c r="EB799" s="64"/>
      <c r="EC799" s="64"/>
      <c r="ED799" s="64"/>
    </row>
    <row r="800" spans="26:134" ht="15.75" customHeight="1">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4"/>
      <c r="DL800" s="64"/>
      <c r="DM800" s="64"/>
      <c r="DN800" s="64"/>
      <c r="DO800" s="64"/>
      <c r="DP800" s="64"/>
      <c r="DQ800" s="64"/>
      <c r="DR800" s="64"/>
      <c r="DS800" s="64"/>
      <c r="DT800" s="64"/>
      <c r="DU800" s="64"/>
      <c r="DV800" s="64"/>
      <c r="DW800" s="64"/>
      <c r="DX800" s="64"/>
      <c r="DY800" s="64"/>
      <c r="DZ800" s="64"/>
      <c r="EA800" s="64"/>
      <c r="EB800" s="64"/>
      <c r="EC800" s="64"/>
      <c r="ED800" s="64"/>
    </row>
    <row r="801" spans="26:134" ht="15.75" customHeight="1">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4"/>
      <c r="DL801" s="64"/>
      <c r="DM801" s="64"/>
      <c r="DN801" s="64"/>
      <c r="DO801" s="64"/>
      <c r="DP801" s="64"/>
      <c r="DQ801" s="64"/>
      <c r="DR801" s="64"/>
      <c r="DS801" s="64"/>
      <c r="DT801" s="64"/>
      <c r="DU801" s="64"/>
      <c r="DV801" s="64"/>
      <c r="DW801" s="64"/>
      <c r="DX801" s="64"/>
      <c r="DY801" s="64"/>
      <c r="DZ801" s="64"/>
      <c r="EA801" s="64"/>
      <c r="EB801" s="64"/>
      <c r="EC801" s="64"/>
      <c r="ED801" s="64"/>
    </row>
    <row r="802" spans="26:134" ht="15.75" customHeight="1">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4"/>
      <c r="DL802" s="64"/>
      <c r="DM802" s="64"/>
      <c r="DN802" s="64"/>
      <c r="DO802" s="64"/>
      <c r="DP802" s="64"/>
      <c r="DQ802" s="64"/>
      <c r="DR802" s="64"/>
      <c r="DS802" s="64"/>
      <c r="DT802" s="64"/>
      <c r="DU802" s="64"/>
      <c r="DV802" s="64"/>
      <c r="DW802" s="64"/>
      <c r="DX802" s="64"/>
      <c r="DY802" s="64"/>
      <c r="DZ802" s="64"/>
      <c r="EA802" s="64"/>
      <c r="EB802" s="64"/>
      <c r="EC802" s="64"/>
      <c r="ED802" s="64"/>
    </row>
    <row r="803" spans="26:134" ht="15.75" customHeight="1">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4"/>
      <c r="DL803" s="64"/>
      <c r="DM803" s="64"/>
      <c r="DN803" s="64"/>
      <c r="DO803" s="64"/>
      <c r="DP803" s="64"/>
      <c r="DQ803" s="64"/>
      <c r="DR803" s="64"/>
      <c r="DS803" s="64"/>
      <c r="DT803" s="64"/>
      <c r="DU803" s="64"/>
      <c r="DV803" s="64"/>
      <c r="DW803" s="64"/>
      <c r="DX803" s="64"/>
      <c r="DY803" s="64"/>
      <c r="DZ803" s="64"/>
      <c r="EA803" s="64"/>
      <c r="EB803" s="64"/>
      <c r="EC803" s="64"/>
      <c r="ED803" s="64"/>
    </row>
    <row r="804" spans="26:134" ht="15.75" customHeight="1">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4"/>
      <c r="DL804" s="64"/>
      <c r="DM804" s="64"/>
      <c r="DN804" s="64"/>
      <c r="DO804" s="64"/>
      <c r="DP804" s="64"/>
      <c r="DQ804" s="64"/>
      <c r="DR804" s="64"/>
      <c r="DS804" s="64"/>
      <c r="DT804" s="64"/>
      <c r="DU804" s="64"/>
      <c r="DV804" s="64"/>
      <c r="DW804" s="64"/>
      <c r="DX804" s="64"/>
      <c r="DY804" s="64"/>
      <c r="DZ804" s="64"/>
      <c r="EA804" s="64"/>
      <c r="EB804" s="64"/>
      <c r="EC804" s="64"/>
      <c r="ED804" s="64"/>
    </row>
    <row r="805" spans="26:134" ht="15.75" customHeight="1">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4"/>
      <c r="DL805" s="64"/>
      <c r="DM805" s="64"/>
      <c r="DN805" s="64"/>
      <c r="DO805" s="64"/>
      <c r="DP805" s="64"/>
      <c r="DQ805" s="64"/>
      <c r="DR805" s="64"/>
      <c r="DS805" s="64"/>
      <c r="DT805" s="64"/>
      <c r="DU805" s="64"/>
      <c r="DV805" s="64"/>
      <c r="DW805" s="64"/>
      <c r="DX805" s="64"/>
      <c r="DY805" s="64"/>
      <c r="DZ805" s="64"/>
      <c r="EA805" s="64"/>
      <c r="EB805" s="64"/>
      <c r="EC805" s="64"/>
      <c r="ED805" s="64"/>
    </row>
    <row r="806" spans="26:134" ht="15.75" customHeight="1">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4"/>
      <c r="DL806" s="64"/>
      <c r="DM806" s="64"/>
      <c r="DN806" s="64"/>
      <c r="DO806" s="64"/>
      <c r="DP806" s="64"/>
      <c r="DQ806" s="64"/>
      <c r="DR806" s="64"/>
      <c r="DS806" s="64"/>
      <c r="DT806" s="64"/>
      <c r="DU806" s="64"/>
      <c r="DV806" s="64"/>
      <c r="DW806" s="64"/>
      <c r="DX806" s="64"/>
      <c r="DY806" s="64"/>
      <c r="DZ806" s="64"/>
      <c r="EA806" s="64"/>
      <c r="EB806" s="64"/>
      <c r="EC806" s="64"/>
      <c r="ED806" s="64"/>
    </row>
    <row r="807" spans="26:134" ht="15.75" customHeight="1">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4"/>
      <c r="DL807" s="64"/>
      <c r="DM807" s="64"/>
      <c r="DN807" s="64"/>
      <c r="DO807" s="64"/>
      <c r="DP807" s="64"/>
      <c r="DQ807" s="64"/>
      <c r="DR807" s="64"/>
      <c r="DS807" s="64"/>
      <c r="DT807" s="64"/>
      <c r="DU807" s="64"/>
      <c r="DV807" s="64"/>
      <c r="DW807" s="64"/>
      <c r="DX807" s="64"/>
      <c r="DY807" s="64"/>
      <c r="DZ807" s="64"/>
      <c r="EA807" s="64"/>
      <c r="EB807" s="64"/>
      <c r="EC807" s="64"/>
      <c r="ED807" s="64"/>
    </row>
    <row r="808" spans="26:134" ht="15.75" customHeight="1">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4"/>
      <c r="DL808" s="64"/>
      <c r="DM808" s="64"/>
      <c r="DN808" s="64"/>
      <c r="DO808" s="64"/>
      <c r="DP808" s="64"/>
      <c r="DQ808" s="64"/>
      <c r="DR808" s="64"/>
      <c r="DS808" s="64"/>
      <c r="DT808" s="64"/>
      <c r="DU808" s="64"/>
      <c r="DV808" s="64"/>
      <c r="DW808" s="64"/>
      <c r="DX808" s="64"/>
      <c r="DY808" s="64"/>
      <c r="DZ808" s="64"/>
      <c r="EA808" s="64"/>
      <c r="EB808" s="64"/>
      <c r="EC808" s="64"/>
      <c r="ED808" s="64"/>
    </row>
    <row r="809" spans="26:134" ht="15.75" customHeight="1">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4"/>
      <c r="DL809" s="64"/>
      <c r="DM809" s="64"/>
      <c r="DN809" s="64"/>
      <c r="DO809" s="64"/>
      <c r="DP809" s="64"/>
      <c r="DQ809" s="64"/>
      <c r="DR809" s="64"/>
      <c r="DS809" s="64"/>
      <c r="DT809" s="64"/>
      <c r="DU809" s="64"/>
      <c r="DV809" s="64"/>
      <c r="DW809" s="64"/>
      <c r="DX809" s="64"/>
      <c r="DY809" s="64"/>
      <c r="DZ809" s="64"/>
      <c r="EA809" s="64"/>
      <c r="EB809" s="64"/>
      <c r="EC809" s="64"/>
      <c r="ED809" s="64"/>
    </row>
    <row r="810" spans="26:134" ht="15.75" customHeight="1">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4"/>
      <c r="DL810" s="64"/>
      <c r="DM810" s="64"/>
      <c r="DN810" s="64"/>
      <c r="DO810" s="64"/>
      <c r="DP810" s="64"/>
      <c r="DQ810" s="64"/>
      <c r="DR810" s="64"/>
      <c r="DS810" s="64"/>
      <c r="DT810" s="64"/>
      <c r="DU810" s="64"/>
      <c r="DV810" s="64"/>
      <c r="DW810" s="64"/>
      <c r="DX810" s="64"/>
      <c r="DY810" s="64"/>
      <c r="DZ810" s="64"/>
      <c r="EA810" s="64"/>
      <c r="EB810" s="64"/>
      <c r="EC810" s="64"/>
      <c r="ED810" s="64"/>
    </row>
    <row r="811" spans="26:134" ht="15.75" customHeight="1">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4"/>
      <c r="DL811" s="64"/>
      <c r="DM811" s="64"/>
      <c r="DN811" s="64"/>
      <c r="DO811" s="64"/>
      <c r="DP811" s="64"/>
      <c r="DQ811" s="64"/>
      <c r="DR811" s="64"/>
      <c r="DS811" s="64"/>
      <c r="DT811" s="64"/>
      <c r="DU811" s="64"/>
      <c r="DV811" s="64"/>
      <c r="DW811" s="64"/>
      <c r="DX811" s="64"/>
      <c r="DY811" s="64"/>
      <c r="DZ811" s="64"/>
      <c r="EA811" s="64"/>
      <c r="EB811" s="64"/>
      <c r="EC811" s="64"/>
      <c r="ED811" s="64"/>
    </row>
    <row r="812" spans="26:134" ht="15.75" customHeight="1">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4"/>
      <c r="DL812" s="64"/>
      <c r="DM812" s="64"/>
      <c r="DN812" s="64"/>
      <c r="DO812" s="64"/>
      <c r="DP812" s="64"/>
      <c r="DQ812" s="64"/>
      <c r="DR812" s="64"/>
      <c r="DS812" s="64"/>
      <c r="DT812" s="64"/>
      <c r="DU812" s="64"/>
      <c r="DV812" s="64"/>
      <c r="DW812" s="64"/>
      <c r="DX812" s="64"/>
      <c r="DY812" s="64"/>
      <c r="DZ812" s="64"/>
      <c r="EA812" s="64"/>
      <c r="EB812" s="64"/>
      <c r="EC812" s="64"/>
      <c r="ED812" s="64"/>
    </row>
    <row r="813" spans="26:134" ht="15.75" customHeight="1">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4"/>
      <c r="DL813" s="64"/>
      <c r="DM813" s="64"/>
      <c r="DN813" s="64"/>
      <c r="DO813" s="64"/>
      <c r="DP813" s="64"/>
      <c r="DQ813" s="64"/>
      <c r="DR813" s="64"/>
      <c r="DS813" s="64"/>
      <c r="DT813" s="64"/>
      <c r="DU813" s="64"/>
      <c r="DV813" s="64"/>
      <c r="DW813" s="64"/>
      <c r="DX813" s="64"/>
      <c r="DY813" s="64"/>
      <c r="DZ813" s="64"/>
      <c r="EA813" s="64"/>
      <c r="EB813" s="64"/>
      <c r="EC813" s="64"/>
      <c r="ED813" s="64"/>
    </row>
    <row r="814" spans="26:134" ht="15.75" customHeight="1">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4"/>
      <c r="DL814" s="64"/>
      <c r="DM814" s="64"/>
      <c r="DN814" s="64"/>
      <c r="DO814" s="64"/>
      <c r="DP814" s="64"/>
      <c r="DQ814" s="64"/>
      <c r="DR814" s="64"/>
      <c r="DS814" s="64"/>
      <c r="DT814" s="64"/>
      <c r="DU814" s="64"/>
      <c r="DV814" s="64"/>
      <c r="DW814" s="64"/>
      <c r="DX814" s="64"/>
      <c r="DY814" s="64"/>
      <c r="DZ814" s="64"/>
      <c r="EA814" s="64"/>
      <c r="EB814" s="64"/>
      <c r="EC814" s="64"/>
      <c r="ED814" s="64"/>
    </row>
    <row r="815" spans="26:134" ht="15.75" customHeight="1">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4"/>
      <c r="DL815" s="64"/>
      <c r="DM815" s="64"/>
      <c r="DN815" s="64"/>
      <c r="DO815" s="64"/>
      <c r="DP815" s="64"/>
      <c r="DQ815" s="64"/>
      <c r="DR815" s="64"/>
      <c r="DS815" s="64"/>
      <c r="DT815" s="64"/>
      <c r="DU815" s="64"/>
      <c r="DV815" s="64"/>
      <c r="DW815" s="64"/>
      <c r="DX815" s="64"/>
      <c r="DY815" s="64"/>
      <c r="DZ815" s="64"/>
      <c r="EA815" s="64"/>
      <c r="EB815" s="64"/>
      <c r="EC815" s="64"/>
      <c r="ED815" s="64"/>
    </row>
    <row r="816" spans="26:134" ht="15.75" customHeight="1">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4"/>
      <c r="DL816" s="64"/>
      <c r="DM816" s="64"/>
      <c r="DN816" s="64"/>
      <c r="DO816" s="64"/>
      <c r="DP816" s="64"/>
      <c r="DQ816" s="64"/>
      <c r="DR816" s="64"/>
      <c r="DS816" s="64"/>
      <c r="DT816" s="64"/>
      <c r="DU816" s="64"/>
      <c r="DV816" s="64"/>
      <c r="DW816" s="64"/>
      <c r="DX816" s="64"/>
      <c r="DY816" s="64"/>
      <c r="DZ816" s="64"/>
      <c r="EA816" s="64"/>
      <c r="EB816" s="64"/>
      <c r="EC816" s="64"/>
      <c r="ED816" s="64"/>
    </row>
    <row r="817" spans="26:134" ht="15.75" customHeight="1">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4"/>
      <c r="DL817" s="64"/>
      <c r="DM817" s="64"/>
      <c r="DN817" s="64"/>
      <c r="DO817" s="64"/>
      <c r="DP817" s="64"/>
      <c r="DQ817" s="64"/>
      <c r="DR817" s="64"/>
      <c r="DS817" s="64"/>
      <c r="DT817" s="64"/>
      <c r="DU817" s="64"/>
      <c r="DV817" s="64"/>
      <c r="DW817" s="64"/>
      <c r="DX817" s="64"/>
      <c r="DY817" s="64"/>
      <c r="DZ817" s="64"/>
      <c r="EA817" s="64"/>
      <c r="EB817" s="64"/>
      <c r="EC817" s="64"/>
      <c r="ED817" s="64"/>
    </row>
    <row r="818" spans="26:134" ht="15.75" customHeight="1">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4"/>
      <c r="DL818" s="64"/>
      <c r="DM818" s="64"/>
      <c r="DN818" s="64"/>
      <c r="DO818" s="64"/>
      <c r="DP818" s="64"/>
      <c r="DQ818" s="64"/>
      <c r="DR818" s="64"/>
      <c r="DS818" s="64"/>
      <c r="DT818" s="64"/>
      <c r="DU818" s="64"/>
      <c r="DV818" s="64"/>
      <c r="DW818" s="64"/>
      <c r="DX818" s="64"/>
      <c r="DY818" s="64"/>
      <c r="DZ818" s="64"/>
      <c r="EA818" s="64"/>
      <c r="EB818" s="64"/>
      <c r="EC818" s="64"/>
      <c r="ED818" s="64"/>
    </row>
    <row r="819" spans="26:134" ht="15.75" customHeight="1">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4"/>
      <c r="DL819" s="64"/>
      <c r="DM819" s="64"/>
      <c r="DN819" s="64"/>
      <c r="DO819" s="64"/>
      <c r="DP819" s="64"/>
      <c r="DQ819" s="64"/>
      <c r="DR819" s="64"/>
      <c r="DS819" s="64"/>
      <c r="DT819" s="64"/>
      <c r="DU819" s="64"/>
      <c r="DV819" s="64"/>
      <c r="DW819" s="64"/>
      <c r="DX819" s="64"/>
      <c r="DY819" s="64"/>
      <c r="DZ819" s="64"/>
      <c r="EA819" s="64"/>
      <c r="EB819" s="64"/>
      <c r="EC819" s="64"/>
      <c r="ED819" s="64"/>
    </row>
    <row r="820" spans="26:134" ht="15.75" customHeight="1">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4"/>
      <c r="DL820" s="64"/>
      <c r="DM820" s="64"/>
      <c r="DN820" s="64"/>
      <c r="DO820" s="64"/>
      <c r="DP820" s="64"/>
      <c r="DQ820" s="64"/>
      <c r="DR820" s="64"/>
      <c r="DS820" s="64"/>
      <c r="DT820" s="64"/>
      <c r="DU820" s="64"/>
      <c r="DV820" s="64"/>
      <c r="DW820" s="64"/>
      <c r="DX820" s="64"/>
      <c r="DY820" s="64"/>
      <c r="DZ820" s="64"/>
      <c r="EA820" s="64"/>
      <c r="EB820" s="64"/>
      <c r="EC820" s="64"/>
      <c r="ED820" s="64"/>
    </row>
    <row r="821" spans="26:134" ht="15.75" customHeight="1">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4"/>
      <c r="DL821" s="64"/>
      <c r="DM821" s="64"/>
      <c r="DN821" s="64"/>
      <c r="DO821" s="64"/>
      <c r="DP821" s="64"/>
      <c r="DQ821" s="64"/>
      <c r="DR821" s="64"/>
      <c r="DS821" s="64"/>
      <c r="DT821" s="64"/>
      <c r="DU821" s="64"/>
      <c r="DV821" s="64"/>
      <c r="DW821" s="64"/>
      <c r="DX821" s="64"/>
      <c r="DY821" s="64"/>
      <c r="DZ821" s="64"/>
      <c r="EA821" s="64"/>
      <c r="EB821" s="64"/>
      <c r="EC821" s="64"/>
      <c r="ED821" s="64"/>
    </row>
    <row r="822" spans="26:134" ht="15.75" customHeight="1">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4"/>
      <c r="DL822" s="64"/>
      <c r="DM822" s="64"/>
      <c r="DN822" s="64"/>
      <c r="DO822" s="64"/>
      <c r="DP822" s="64"/>
      <c r="DQ822" s="64"/>
      <c r="DR822" s="64"/>
      <c r="DS822" s="64"/>
      <c r="DT822" s="64"/>
      <c r="DU822" s="64"/>
      <c r="DV822" s="64"/>
      <c r="DW822" s="64"/>
      <c r="DX822" s="64"/>
      <c r="DY822" s="64"/>
      <c r="DZ822" s="64"/>
      <c r="EA822" s="64"/>
      <c r="EB822" s="64"/>
      <c r="EC822" s="64"/>
      <c r="ED822" s="64"/>
    </row>
    <row r="823" spans="26:134" ht="15.75" customHeight="1">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4"/>
      <c r="DL823" s="64"/>
      <c r="DM823" s="64"/>
      <c r="DN823" s="64"/>
      <c r="DO823" s="64"/>
      <c r="DP823" s="64"/>
      <c r="DQ823" s="64"/>
      <c r="DR823" s="64"/>
      <c r="DS823" s="64"/>
      <c r="DT823" s="64"/>
      <c r="DU823" s="64"/>
      <c r="DV823" s="64"/>
      <c r="DW823" s="64"/>
      <c r="DX823" s="64"/>
      <c r="DY823" s="64"/>
      <c r="DZ823" s="64"/>
      <c r="EA823" s="64"/>
      <c r="EB823" s="64"/>
      <c r="EC823" s="64"/>
      <c r="ED823" s="64"/>
    </row>
    <row r="824" spans="26:134" ht="15.75" customHeight="1">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4"/>
      <c r="DL824" s="64"/>
      <c r="DM824" s="64"/>
      <c r="DN824" s="64"/>
      <c r="DO824" s="64"/>
      <c r="DP824" s="64"/>
      <c r="DQ824" s="64"/>
      <c r="DR824" s="64"/>
      <c r="DS824" s="64"/>
      <c r="DT824" s="64"/>
      <c r="DU824" s="64"/>
      <c r="DV824" s="64"/>
      <c r="DW824" s="64"/>
      <c r="DX824" s="64"/>
      <c r="DY824" s="64"/>
      <c r="DZ824" s="64"/>
      <c r="EA824" s="64"/>
      <c r="EB824" s="64"/>
      <c r="EC824" s="64"/>
      <c r="ED824" s="64"/>
    </row>
    <row r="825" spans="26:134" ht="15.75" customHeight="1">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4"/>
      <c r="DL825" s="64"/>
      <c r="DM825" s="64"/>
      <c r="DN825" s="64"/>
      <c r="DO825" s="64"/>
      <c r="DP825" s="64"/>
      <c r="DQ825" s="64"/>
      <c r="DR825" s="64"/>
      <c r="DS825" s="64"/>
      <c r="DT825" s="64"/>
      <c r="DU825" s="64"/>
      <c r="DV825" s="64"/>
      <c r="DW825" s="64"/>
      <c r="DX825" s="64"/>
      <c r="DY825" s="64"/>
      <c r="DZ825" s="64"/>
      <c r="EA825" s="64"/>
      <c r="EB825" s="64"/>
      <c r="EC825" s="64"/>
      <c r="ED825" s="64"/>
    </row>
    <row r="826" spans="26:134" ht="15.75" customHeight="1">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4"/>
      <c r="DL826" s="64"/>
      <c r="DM826" s="64"/>
      <c r="DN826" s="64"/>
      <c r="DO826" s="64"/>
      <c r="DP826" s="64"/>
      <c r="DQ826" s="64"/>
      <c r="DR826" s="64"/>
      <c r="DS826" s="64"/>
      <c r="DT826" s="64"/>
      <c r="DU826" s="64"/>
      <c r="DV826" s="64"/>
      <c r="DW826" s="64"/>
      <c r="DX826" s="64"/>
      <c r="DY826" s="64"/>
      <c r="DZ826" s="64"/>
      <c r="EA826" s="64"/>
      <c r="EB826" s="64"/>
      <c r="EC826" s="64"/>
      <c r="ED826" s="64"/>
    </row>
    <row r="827" spans="26:134" ht="15.75" customHeight="1">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4"/>
      <c r="DL827" s="64"/>
      <c r="DM827" s="64"/>
      <c r="DN827" s="64"/>
      <c r="DO827" s="64"/>
      <c r="DP827" s="64"/>
      <c r="DQ827" s="64"/>
      <c r="DR827" s="64"/>
      <c r="DS827" s="64"/>
      <c r="DT827" s="64"/>
      <c r="DU827" s="64"/>
      <c r="DV827" s="64"/>
      <c r="DW827" s="64"/>
      <c r="DX827" s="64"/>
      <c r="DY827" s="64"/>
      <c r="DZ827" s="64"/>
      <c r="EA827" s="64"/>
      <c r="EB827" s="64"/>
      <c r="EC827" s="64"/>
      <c r="ED827" s="64"/>
    </row>
    <row r="828" spans="26:134" ht="15.75" customHeight="1">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4"/>
      <c r="DL828" s="64"/>
      <c r="DM828" s="64"/>
      <c r="DN828" s="64"/>
      <c r="DO828" s="64"/>
      <c r="DP828" s="64"/>
      <c r="DQ828" s="64"/>
      <c r="DR828" s="64"/>
      <c r="DS828" s="64"/>
      <c r="DT828" s="64"/>
      <c r="DU828" s="64"/>
      <c r="DV828" s="64"/>
      <c r="DW828" s="64"/>
      <c r="DX828" s="64"/>
      <c r="DY828" s="64"/>
      <c r="DZ828" s="64"/>
      <c r="EA828" s="64"/>
      <c r="EB828" s="64"/>
      <c r="EC828" s="64"/>
      <c r="ED828" s="64"/>
    </row>
    <row r="829" spans="26:134" ht="15.75" customHeight="1">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4"/>
      <c r="DL829" s="64"/>
      <c r="DM829" s="64"/>
      <c r="DN829" s="64"/>
      <c r="DO829" s="64"/>
      <c r="DP829" s="64"/>
      <c r="DQ829" s="64"/>
      <c r="DR829" s="64"/>
      <c r="DS829" s="64"/>
      <c r="DT829" s="64"/>
      <c r="DU829" s="64"/>
      <c r="DV829" s="64"/>
      <c r="DW829" s="64"/>
      <c r="DX829" s="64"/>
      <c r="DY829" s="64"/>
      <c r="DZ829" s="64"/>
      <c r="EA829" s="64"/>
      <c r="EB829" s="64"/>
      <c r="EC829" s="64"/>
      <c r="ED829" s="64"/>
    </row>
    <row r="830" spans="26:134" ht="15.75" customHeight="1">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4"/>
      <c r="DL830" s="64"/>
      <c r="DM830" s="64"/>
      <c r="DN830" s="64"/>
      <c r="DO830" s="64"/>
      <c r="DP830" s="64"/>
      <c r="DQ830" s="64"/>
      <c r="DR830" s="64"/>
      <c r="DS830" s="64"/>
      <c r="DT830" s="64"/>
      <c r="DU830" s="64"/>
      <c r="DV830" s="64"/>
      <c r="DW830" s="64"/>
      <c r="DX830" s="64"/>
      <c r="DY830" s="64"/>
      <c r="DZ830" s="64"/>
      <c r="EA830" s="64"/>
      <c r="EB830" s="64"/>
      <c r="EC830" s="64"/>
      <c r="ED830" s="64"/>
    </row>
    <row r="831" spans="26:134" ht="15.75" customHeight="1">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4"/>
      <c r="DL831" s="64"/>
      <c r="DM831" s="64"/>
      <c r="DN831" s="64"/>
      <c r="DO831" s="64"/>
      <c r="DP831" s="64"/>
      <c r="DQ831" s="64"/>
      <c r="DR831" s="64"/>
      <c r="DS831" s="64"/>
      <c r="DT831" s="64"/>
      <c r="DU831" s="64"/>
      <c r="DV831" s="64"/>
      <c r="DW831" s="64"/>
      <c r="DX831" s="64"/>
      <c r="DY831" s="64"/>
      <c r="DZ831" s="64"/>
      <c r="EA831" s="64"/>
      <c r="EB831" s="64"/>
      <c r="EC831" s="64"/>
      <c r="ED831" s="64"/>
    </row>
    <row r="832" spans="26:134" ht="15.75" customHeight="1">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4"/>
      <c r="DL832" s="64"/>
      <c r="DM832" s="64"/>
      <c r="DN832" s="64"/>
      <c r="DO832" s="64"/>
      <c r="DP832" s="64"/>
      <c r="DQ832" s="64"/>
      <c r="DR832" s="64"/>
      <c r="DS832" s="64"/>
      <c r="DT832" s="64"/>
      <c r="DU832" s="64"/>
      <c r="DV832" s="64"/>
      <c r="DW832" s="64"/>
      <c r="DX832" s="64"/>
      <c r="DY832" s="64"/>
      <c r="DZ832" s="64"/>
      <c r="EA832" s="64"/>
      <c r="EB832" s="64"/>
      <c r="EC832" s="64"/>
      <c r="ED832" s="64"/>
    </row>
    <row r="833" spans="26:134" ht="15.75" customHeight="1">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4"/>
      <c r="DL833" s="64"/>
      <c r="DM833" s="64"/>
      <c r="DN833" s="64"/>
      <c r="DO833" s="64"/>
      <c r="DP833" s="64"/>
      <c r="DQ833" s="64"/>
      <c r="DR833" s="64"/>
      <c r="DS833" s="64"/>
      <c r="DT833" s="64"/>
      <c r="DU833" s="64"/>
      <c r="DV833" s="64"/>
      <c r="DW833" s="64"/>
      <c r="DX833" s="64"/>
      <c r="DY833" s="64"/>
      <c r="DZ833" s="64"/>
      <c r="EA833" s="64"/>
      <c r="EB833" s="64"/>
      <c r="EC833" s="64"/>
      <c r="ED833" s="64"/>
    </row>
    <row r="834" spans="26:134" ht="15.75" customHeight="1">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4"/>
      <c r="DL834" s="64"/>
      <c r="DM834" s="64"/>
      <c r="DN834" s="64"/>
      <c r="DO834" s="64"/>
      <c r="DP834" s="64"/>
      <c r="DQ834" s="64"/>
      <c r="DR834" s="64"/>
      <c r="DS834" s="64"/>
      <c r="DT834" s="64"/>
      <c r="DU834" s="64"/>
      <c r="DV834" s="64"/>
      <c r="DW834" s="64"/>
      <c r="DX834" s="64"/>
      <c r="DY834" s="64"/>
      <c r="DZ834" s="64"/>
      <c r="EA834" s="64"/>
      <c r="EB834" s="64"/>
      <c r="EC834" s="64"/>
      <c r="ED834" s="64"/>
    </row>
    <row r="835" spans="26:134" ht="15.75" customHeight="1">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4"/>
      <c r="DL835" s="64"/>
      <c r="DM835" s="64"/>
      <c r="DN835" s="64"/>
      <c r="DO835" s="64"/>
      <c r="DP835" s="64"/>
      <c r="DQ835" s="64"/>
      <c r="DR835" s="64"/>
      <c r="DS835" s="64"/>
      <c r="DT835" s="64"/>
      <c r="DU835" s="64"/>
      <c r="DV835" s="64"/>
      <c r="DW835" s="64"/>
      <c r="DX835" s="64"/>
      <c r="DY835" s="64"/>
      <c r="DZ835" s="64"/>
      <c r="EA835" s="64"/>
      <c r="EB835" s="64"/>
      <c r="EC835" s="64"/>
      <c r="ED835" s="64"/>
    </row>
    <row r="836" spans="26:134" ht="15.75" customHeight="1">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4"/>
      <c r="DL836" s="64"/>
      <c r="DM836" s="64"/>
      <c r="DN836" s="64"/>
      <c r="DO836" s="64"/>
      <c r="DP836" s="64"/>
      <c r="DQ836" s="64"/>
      <c r="DR836" s="64"/>
      <c r="DS836" s="64"/>
      <c r="DT836" s="64"/>
      <c r="DU836" s="64"/>
      <c r="DV836" s="64"/>
      <c r="DW836" s="64"/>
      <c r="DX836" s="64"/>
      <c r="DY836" s="64"/>
      <c r="DZ836" s="64"/>
      <c r="EA836" s="64"/>
      <c r="EB836" s="64"/>
      <c r="EC836" s="64"/>
      <c r="ED836" s="64"/>
    </row>
    <row r="837" spans="26:134" ht="15.75" customHeight="1">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4"/>
      <c r="DL837" s="64"/>
      <c r="DM837" s="64"/>
      <c r="DN837" s="64"/>
      <c r="DO837" s="64"/>
      <c r="DP837" s="64"/>
      <c r="DQ837" s="64"/>
      <c r="DR837" s="64"/>
      <c r="DS837" s="64"/>
      <c r="DT837" s="64"/>
      <c r="DU837" s="64"/>
      <c r="DV837" s="64"/>
      <c r="DW837" s="64"/>
      <c r="DX837" s="64"/>
      <c r="DY837" s="64"/>
      <c r="DZ837" s="64"/>
      <c r="EA837" s="64"/>
      <c r="EB837" s="64"/>
      <c r="EC837" s="64"/>
      <c r="ED837" s="64"/>
    </row>
    <row r="838" spans="26:134" ht="15.75" customHeight="1">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4"/>
      <c r="DL838" s="64"/>
      <c r="DM838" s="64"/>
      <c r="DN838" s="64"/>
      <c r="DO838" s="64"/>
      <c r="DP838" s="64"/>
      <c r="DQ838" s="64"/>
      <c r="DR838" s="64"/>
      <c r="DS838" s="64"/>
      <c r="DT838" s="64"/>
      <c r="DU838" s="64"/>
      <c r="DV838" s="64"/>
      <c r="DW838" s="64"/>
      <c r="DX838" s="64"/>
      <c r="DY838" s="64"/>
      <c r="DZ838" s="64"/>
      <c r="EA838" s="64"/>
      <c r="EB838" s="64"/>
      <c r="EC838" s="64"/>
      <c r="ED838" s="64"/>
    </row>
    <row r="839" spans="26:134" ht="15.75" customHeight="1">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4"/>
      <c r="DL839" s="64"/>
      <c r="DM839" s="64"/>
      <c r="DN839" s="64"/>
      <c r="DO839" s="64"/>
      <c r="DP839" s="64"/>
      <c r="DQ839" s="64"/>
      <c r="DR839" s="64"/>
      <c r="DS839" s="64"/>
      <c r="DT839" s="64"/>
      <c r="DU839" s="64"/>
      <c r="DV839" s="64"/>
      <c r="DW839" s="64"/>
      <c r="DX839" s="64"/>
      <c r="DY839" s="64"/>
      <c r="DZ839" s="64"/>
      <c r="EA839" s="64"/>
      <c r="EB839" s="64"/>
      <c r="EC839" s="64"/>
      <c r="ED839" s="64"/>
    </row>
    <row r="840" spans="26:134" ht="15.75" customHeight="1">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4"/>
      <c r="DL840" s="64"/>
      <c r="DM840" s="64"/>
      <c r="DN840" s="64"/>
      <c r="DO840" s="64"/>
      <c r="DP840" s="64"/>
      <c r="DQ840" s="64"/>
      <c r="DR840" s="64"/>
      <c r="DS840" s="64"/>
      <c r="DT840" s="64"/>
      <c r="DU840" s="64"/>
      <c r="DV840" s="64"/>
      <c r="DW840" s="64"/>
      <c r="DX840" s="64"/>
      <c r="DY840" s="64"/>
      <c r="DZ840" s="64"/>
      <c r="EA840" s="64"/>
      <c r="EB840" s="64"/>
      <c r="EC840" s="64"/>
      <c r="ED840" s="64"/>
    </row>
    <row r="841" spans="26:134" ht="15.75" customHeight="1">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4"/>
      <c r="DL841" s="64"/>
      <c r="DM841" s="64"/>
      <c r="DN841" s="64"/>
      <c r="DO841" s="64"/>
      <c r="DP841" s="64"/>
      <c r="DQ841" s="64"/>
      <c r="DR841" s="64"/>
      <c r="DS841" s="64"/>
      <c r="DT841" s="64"/>
      <c r="DU841" s="64"/>
      <c r="DV841" s="64"/>
      <c r="DW841" s="64"/>
      <c r="DX841" s="64"/>
      <c r="DY841" s="64"/>
      <c r="DZ841" s="64"/>
      <c r="EA841" s="64"/>
      <c r="EB841" s="64"/>
      <c r="EC841" s="64"/>
      <c r="ED841" s="64"/>
    </row>
    <row r="842" spans="26:134" ht="15.75" customHeight="1">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4"/>
      <c r="DL842" s="64"/>
      <c r="DM842" s="64"/>
      <c r="DN842" s="64"/>
      <c r="DO842" s="64"/>
      <c r="DP842" s="64"/>
      <c r="DQ842" s="64"/>
      <c r="DR842" s="64"/>
      <c r="DS842" s="64"/>
      <c r="DT842" s="64"/>
      <c r="DU842" s="64"/>
      <c r="DV842" s="64"/>
      <c r="DW842" s="64"/>
      <c r="DX842" s="64"/>
      <c r="DY842" s="64"/>
      <c r="DZ842" s="64"/>
      <c r="EA842" s="64"/>
      <c r="EB842" s="64"/>
      <c r="EC842" s="64"/>
      <c r="ED842" s="64"/>
    </row>
    <row r="843" spans="26:134" ht="15.75" customHeight="1">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4"/>
      <c r="DL843" s="64"/>
      <c r="DM843" s="64"/>
      <c r="DN843" s="64"/>
      <c r="DO843" s="64"/>
      <c r="DP843" s="64"/>
      <c r="DQ843" s="64"/>
      <c r="DR843" s="64"/>
      <c r="DS843" s="64"/>
      <c r="DT843" s="64"/>
      <c r="DU843" s="64"/>
      <c r="DV843" s="64"/>
      <c r="DW843" s="64"/>
      <c r="DX843" s="64"/>
      <c r="DY843" s="64"/>
      <c r="DZ843" s="64"/>
      <c r="EA843" s="64"/>
      <c r="EB843" s="64"/>
      <c r="EC843" s="64"/>
      <c r="ED843" s="64"/>
    </row>
    <row r="844" spans="26:134" ht="15.75" customHeight="1">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4"/>
      <c r="DL844" s="64"/>
      <c r="DM844" s="64"/>
      <c r="DN844" s="64"/>
      <c r="DO844" s="64"/>
      <c r="DP844" s="64"/>
      <c r="DQ844" s="64"/>
      <c r="DR844" s="64"/>
      <c r="DS844" s="64"/>
      <c r="DT844" s="64"/>
      <c r="DU844" s="64"/>
      <c r="DV844" s="64"/>
      <c r="DW844" s="64"/>
      <c r="DX844" s="64"/>
      <c r="DY844" s="64"/>
      <c r="DZ844" s="64"/>
      <c r="EA844" s="64"/>
      <c r="EB844" s="64"/>
      <c r="EC844" s="64"/>
      <c r="ED844" s="64"/>
    </row>
    <row r="845" spans="26:134" ht="15.75" customHeight="1">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4"/>
      <c r="DL845" s="64"/>
      <c r="DM845" s="64"/>
      <c r="DN845" s="64"/>
      <c r="DO845" s="64"/>
      <c r="DP845" s="64"/>
      <c r="DQ845" s="64"/>
      <c r="DR845" s="64"/>
      <c r="DS845" s="64"/>
      <c r="DT845" s="64"/>
      <c r="DU845" s="64"/>
      <c r="DV845" s="64"/>
      <c r="DW845" s="64"/>
      <c r="DX845" s="64"/>
      <c r="DY845" s="64"/>
      <c r="DZ845" s="64"/>
      <c r="EA845" s="64"/>
      <c r="EB845" s="64"/>
      <c r="EC845" s="64"/>
      <c r="ED845" s="64"/>
    </row>
    <row r="846" spans="26:134" ht="15.75" customHeight="1">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4"/>
      <c r="DL846" s="64"/>
      <c r="DM846" s="64"/>
      <c r="DN846" s="64"/>
      <c r="DO846" s="64"/>
      <c r="DP846" s="64"/>
      <c r="DQ846" s="64"/>
      <c r="DR846" s="64"/>
      <c r="DS846" s="64"/>
      <c r="DT846" s="64"/>
      <c r="DU846" s="64"/>
      <c r="DV846" s="64"/>
      <c r="DW846" s="64"/>
      <c r="DX846" s="64"/>
      <c r="DY846" s="64"/>
      <c r="DZ846" s="64"/>
      <c r="EA846" s="64"/>
      <c r="EB846" s="64"/>
      <c r="EC846" s="64"/>
      <c r="ED846" s="64"/>
    </row>
    <row r="847" spans="26:134" ht="15.75" customHeight="1">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4"/>
      <c r="DL847" s="64"/>
      <c r="DM847" s="64"/>
      <c r="DN847" s="64"/>
      <c r="DO847" s="64"/>
      <c r="DP847" s="64"/>
      <c r="DQ847" s="64"/>
      <c r="DR847" s="64"/>
      <c r="DS847" s="64"/>
      <c r="DT847" s="64"/>
      <c r="DU847" s="64"/>
      <c r="DV847" s="64"/>
      <c r="DW847" s="64"/>
      <c r="DX847" s="64"/>
      <c r="DY847" s="64"/>
      <c r="DZ847" s="64"/>
      <c r="EA847" s="64"/>
      <c r="EB847" s="64"/>
      <c r="EC847" s="64"/>
      <c r="ED847" s="64"/>
    </row>
    <row r="848" spans="26:134" ht="15.75" customHeight="1">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4"/>
      <c r="DL848" s="64"/>
      <c r="DM848" s="64"/>
      <c r="DN848" s="64"/>
      <c r="DO848" s="64"/>
      <c r="DP848" s="64"/>
      <c r="DQ848" s="64"/>
      <c r="DR848" s="64"/>
      <c r="DS848" s="64"/>
      <c r="DT848" s="64"/>
      <c r="DU848" s="64"/>
      <c r="DV848" s="64"/>
      <c r="DW848" s="64"/>
      <c r="DX848" s="64"/>
      <c r="DY848" s="64"/>
      <c r="DZ848" s="64"/>
      <c r="EA848" s="64"/>
      <c r="EB848" s="64"/>
      <c r="EC848" s="64"/>
      <c r="ED848" s="64"/>
    </row>
    <row r="849" spans="26:134" ht="15.75" customHeight="1">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4"/>
      <c r="DL849" s="64"/>
      <c r="DM849" s="64"/>
      <c r="DN849" s="64"/>
      <c r="DO849" s="64"/>
      <c r="DP849" s="64"/>
      <c r="DQ849" s="64"/>
      <c r="DR849" s="64"/>
      <c r="DS849" s="64"/>
      <c r="DT849" s="64"/>
      <c r="DU849" s="64"/>
      <c r="DV849" s="64"/>
      <c r="DW849" s="64"/>
      <c r="DX849" s="64"/>
      <c r="DY849" s="64"/>
      <c r="DZ849" s="64"/>
      <c r="EA849" s="64"/>
      <c r="EB849" s="64"/>
      <c r="EC849" s="64"/>
      <c r="ED849" s="64"/>
    </row>
    <row r="850" spans="26:134" ht="15.75" customHeight="1">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4"/>
      <c r="DL850" s="64"/>
      <c r="DM850" s="64"/>
      <c r="DN850" s="64"/>
      <c r="DO850" s="64"/>
      <c r="DP850" s="64"/>
      <c r="DQ850" s="64"/>
      <c r="DR850" s="64"/>
      <c r="DS850" s="64"/>
      <c r="DT850" s="64"/>
      <c r="DU850" s="64"/>
      <c r="DV850" s="64"/>
      <c r="DW850" s="64"/>
      <c r="DX850" s="64"/>
      <c r="DY850" s="64"/>
      <c r="DZ850" s="64"/>
      <c r="EA850" s="64"/>
      <c r="EB850" s="64"/>
      <c r="EC850" s="64"/>
      <c r="ED850" s="64"/>
    </row>
    <row r="851" spans="26:134" ht="15.75" customHeight="1">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4"/>
      <c r="DL851" s="64"/>
      <c r="DM851" s="64"/>
      <c r="DN851" s="64"/>
      <c r="DO851" s="64"/>
      <c r="DP851" s="64"/>
      <c r="DQ851" s="64"/>
      <c r="DR851" s="64"/>
      <c r="DS851" s="64"/>
      <c r="DT851" s="64"/>
      <c r="DU851" s="64"/>
      <c r="DV851" s="64"/>
      <c r="DW851" s="64"/>
      <c r="DX851" s="64"/>
      <c r="DY851" s="64"/>
      <c r="DZ851" s="64"/>
      <c r="EA851" s="64"/>
      <c r="EB851" s="64"/>
      <c r="EC851" s="64"/>
      <c r="ED851" s="64"/>
    </row>
    <row r="852" spans="26:134" ht="15.75" customHeight="1">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4"/>
      <c r="DL852" s="64"/>
      <c r="DM852" s="64"/>
      <c r="DN852" s="64"/>
      <c r="DO852" s="64"/>
      <c r="DP852" s="64"/>
      <c r="DQ852" s="64"/>
      <c r="DR852" s="64"/>
      <c r="DS852" s="64"/>
      <c r="DT852" s="64"/>
      <c r="DU852" s="64"/>
      <c r="DV852" s="64"/>
      <c r="DW852" s="64"/>
      <c r="DX852" s="64"/>
      <c r="DY852" s="64"/>
      <c r="DZ852" s="64"/>
      <c r="EA852" s="64"/>
      <c r="EB852" s="64"/>
      <c r="EC852" s="64"/>
      <c r="ED852" s="64"/>
    </row>
    <row r="853" spans="26:134" ht="15.75" customHeight="1">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4"/>
      <c r="DL853" s="64"/>
      <c r="DM853" s="64"/>
      <c r="DN853" s="64"/>
      <c r="DO853" s="64"/>
      <c r="DP853" s="64"/>
      <c r="DQ853" s="64"/>
      <c r="DR853" s="64"/>
      <c r="DS853" s="64"/>
      <c r="DT853" s="64"/>
      <c r="DU853" s="64"/>
      <c r="DV853" s="64"/>
      <c r="DW853" s="64"/>
      <c r="DX853" s="64"/>
      <c r="DY853" s="64"/>
      <c r="DZ853" s="64"/>
      <c r="EA853" s="64"/>
      <c r="EB853" s="64"/>
      <c r="EC853" s="64"/>
      <c r="ED853" s="64"/>
    </row>
    <row r="854" spans="26:134" ht="15.75" customHeight="1">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4"/>
      <c r="DL854" s="64"/>
      <c r="DM854" s="64"/>
      <c r="DN854" s="64"/>
      <c r="DO854" s="64"/>
      <c r="DP854" s="64"/>
      <c r="DQ854" s="64"/>
      <c r="DR854" s="64"/>
      <c r="DS854" s="64"/>
      <c r="DT854" s="64"/>
      <c r="DU854" s="64"/>
      <c r="DV854" s="64"/>
      <c r="DW854" s="64"/>
      <c r="DX854" s="64"/>
      <c r="DY854" s="64"/>
      <c r="DZ854" s="64"/>
      <c r="EA854" s="64"/>
      <c r="EB854" s="64"/>
      <c r="EC854" s="64"/>
      <c r="ED854" s="64"/>
    </row>
    <row r="855" spans="26:134" ht="15.75" customHeight="1">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4"/>
      <c r="DL855" s="64"/>
      <c r="DM855" s="64"/>
      <c r="DN855" s="64"/>
      <c r="DO855" s="64"/>
      <c r="DP855" s="64"/>
      <c r="DQ855" s="64"/>
      <c r="DR855" s="64"/>
      <c r="DS855" s="64"/>
      <c r="DT855" s="64"/>
      <c r="DU855" s="64"/>
      <c r="DV855" s="64"/>
      <c r="DW855" s="64"/>
      <c r="DX855" s="64"/>
      <c r="DY855" s="64"/>
      <c r="DZ855" s="64"/>
      <c r="EA855" s="64"/>
      <c r="EB855" s="64"/>
      <c r="EC855" s="64"/>
      <c r="ED855" s="64"/>
    </row>
    <row r="856" spans="26:134" ht="15.75" customHeight="1">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4"/>
      <c r="DL856" s="64"/>
      <c r="DM856" s="64"/>
      <c r="DN856" s="64"/>
      <c r="DO856" s="64"/>
      <c r="DP856" s="64"/>
      <c r="DQ856" s="64"/>
      <c r="DR856" s="64"/>
      <c r="DS856" s="64"/>
      <c r="DT856" s="64"/>
      <c r="DU856" s="64"/>
      <c r="DV856" s="64"/>
      <c r="DW856" s="64"/>
      <c r="DX856" s="64"/>
      <c r="DY856" s="64"/>
      <c r="DZ856" s="64"/>
      <c r="EA856" s="64"/>
      <c r="EB856" s="64"/>
      <c r="EC856" s="64"/>
      <c r="ED856" s="64"/>
    </row>
    <row r="857" spans="26:134" ht="15.75" customHeight="1">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4"/>
      <c r="DL857" s="64"/>
      <c r="DM857" s="64"/>
      <c r="DN857" s="64"/>
      <c r="DO857" s="64"/>
      <c r="DP857" s="64"/>
      <c r="DQ857" s="64"/>
      <c r="DR857" s="64"/>
      <c r="DS857" s="64"/>
      <c r="DT857" s="64"/>
      <c r="DU857" s="64"/>
      <c r="DV857" s="64"/>
      <c r="DW857" s="64"/>
      <c r="DX857" s="64"/>
      <c r="DY857" s="64"/>
      <c r="DZ857" s="64"/>
      <c r="EA857" s="64"/>
      <c r="EB857" s="64"/>
      <c r="EC857" s="64"/>
      <c r="ED857" s="64"/>
    </row>
    <row r="858" spans="26:134" ht="15.75" customHeight="1">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4"/>
      <c r="DL858" s="64"/>
      <c r="DM858" s="64"/>
      <c r="DN858" s="64"/>
      <c r="DO858" s="64"/>
      <c r="DP858" s="64"/>
      <c r="DQ858" s="64"/>
      <c r="DR858" s="64"/>
      <c r="DS858" s="64"/>
      <c r="DT858" s="64"/>
      <c r="DU858" s="64"/>
      <c r="DV858" s="64"/>
      <c r="DW858" s="64"/>
      <c r="DX858" s="64"/>
      <c r="DY858" s="64"/>
      <c r="DZ858" s="64"/>
      <c r="EA858" s="64"/>
      <c r="EB858" s="64"/>
      <c r="EC858" s="64"/>
      <c r="ED858" s="64"/>
    </row>
    <row r="859" spans="26:134" ht="15.75" customHeight="1">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4"/>
      <c r="DL859" s="64"/>
      <c r="DM859" s="64"/>
      <c r="DN859" s="64"/>
      <c r="DO859" s="64"/>
      <c r="DP859" s="64"/>
      <c r="DQ859" s="64"/>
      <c r="DR859" s="64"/>
      <c r="DS859" s="64"/>
      <c r="DT859" s="64"/>
      <c r="DU859" s="64"/>
      <c r="DV859" s="64"/>
      <c r="DW859" s="64"/>
      <c r="DX859" s="64"/>
      <c r="DY859" s="64"/>
      <c r="DZ859" s="64"/>
      <c r="EA859" s="64"/>
      <c r="EB859" s="64"/>
      <c r="EC859" s="64"/>
      <c r="ED859" s="64"/>
    </row>
    <row r="860" spans="26:134" ht="15.75" customHeight="1">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4"/>
      <c r="DL860" s="64"/>
      <c r="DM860" s="64"/>
      <c r="DN860" s="64"/>
      <c r="DO860" s="64"/>
      <c r="DP860" s="64"/>
      <c r="DQ860" s="64"/>
      <c r="DR860" s="64"/>
      <c r="DS860" s="64"/>
      <c r="DT860" s="64"/>
      <c r="DU860" s="64"/>
      <c r="DV860" s="64"/>
      <c r="DW860" s="64"/>
      <c r="DX860" s="64"/>
      <c r="DY860" s="64"/>
      <c r="DZ860" s="64"/>
      <c r="EA860" s="64"/>
      <c r="EB860" s="64"/>
      <c r="EC860" s="64"/>
      <c r="ED860" s="64"/>
    </row>
    <row r="861" spans="26:134" ht="15.75" customHeight="1">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4"/>
      <c r="DL861" s="64"/>
      <c r="DM861" s="64"/>
      <c r="DN861" s="64"/>
      <c r="DO861" s="64"/>
      <c r="DP861" s="64"/>
      <c r="DQ861" s="64"/>
      <c r="DR861" s="64"/>
      <c r="DS861" s="64"/>
      <c r="DT861" s="64"/>
      <c r="DU861" s="64"/>
      <c r="DV861" s="64"/>
      <c r="DW861" s="64"/>
      <c r="DX861" s="64"/>
      <c r="DY861" s="64"/>
      <c r="DZ861" s="64"/>
      <c r="EA861" s="64"/>
      <c r="EB861" s="64"/>
      <c r="EC861" s="64"/>
      <c r="ED861" s="64"/>
    </row>
    <row r="862" spans="26:134" ht="15.75" customHeight="1">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4"/>
      <c r="DL862" s="64"/>
      <c r="DM862" s="64"/>
      <c r="DN862" s="64"/>
      <c r="DO862" s="64"/>
      <c r="DP862" s="64"/>
      <c r="DQ862" s="64"/>
      <c r="DR862" s="64"/>
      <c r="DS862" s="64"/>
      <c r="DT862" s="64"/>
      <c r="DU862" s="64"/>
      <c r="DV862" s="64"/>
      <c r="DW862" s="64"/>
      <c r="DX862" s="64"/>
      <c r="DY862" s="64"/>
      <c r="DZ862" s="64"/>
      <c r="EA862" s="64"/>
      <c r="EB862" s="64"/>
      <c r="EC862" s="64"/>
      <c r="ED862" s="64"/>
    </row>
    <row r="863" spans="26:134" ht="15.75" customHeight="1">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4"/>
      <c r="DL863" s="64"/>
      <c r="DM863" s="64"/>
      <c r="DN863" s="64"/>
      <c r="DO863" s="64"/>
      <c r="DP863" s="64"/>
      <c r="DQ863" s="64"/>
      <c r="DR863" s="64"/>
      <c r="DS863" s="64"/>
      <c r="DT863" s="64"/>
      <c r="DU863" s="64"/>
      <c r="DV863" s="64"/>
      <c r="DW863" s="64"/>
      <c r="DX863" s="64"/>
      <c r="DY863" s="64"/>
      <c r="DZ863" s="64"/>
      <c r="EA863" s="64"/>
      <c r="EB863" s="64"/>
      <c r="EC863" s="64"/>
      <c r="ED863" s="64"/>
    </row>
    <row r="864" spans="26:134" ht="15.75" customHeight="1">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4"/>
      <c r="DL864" s="64"/>
      <c r="DM864" s="64"/>
      <c r="DN864" s="64"/>
      <c r="DO864" s="64"/>
      <c r="DP864" s="64"/>
      <c r="DQ864" s="64"/>
      <c r="DR864" s="64"/>
      <c r="DS864" s="64"/>
      <c r="DT864" s="64"/>
      <c r="DU864" s="64"/>
      <c r="DV864" s="64"/>
      <c r="DW864" s="64"/>
      <c r="DX864" s="64"/>
      <c r="DY864" s="64"/>
      <c r="DZ864" s="64"/>
      <c r="EA864" s="64"/>
      <c r="EB864" s="64"/>
      <c r="EC864" s="64"/>
      <c r="ED864" s="64"/>
    </row>
    <row r="865" spans="26:134" ht="15.75" customHeight="1">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4"/>
      <c r="DL865" s="64"/>
      <c r="DM865" s="64"/>
      <c r="DN865" s="64"/>
      <c r="DO865" s="64"/>
      <c r="DP865" s="64"/>
      <c r="DQ865" s="64"/>
      <c r="DR865" s="64"/>
      <c r="DS865" s="64"/>
      <c r="DT865" s="64"/>
      <c r="DU865" s="64"/>
      <c r="DV865" s="64"/>
      <c r="DW865" s="64"/>
      <c r="DX865" s="64"/>
      <c r="DY865" s="64"/>
      <c r="DZ865" s="64"/>
      <c r="EA865" s="64"/>
      <c r="EB865" s="64"/>
      <c r="EC865" s="64"/>
      <c r="ED865" s="64"/>
    </row>
    <row r="866" spans="26:134" ht="15.75" customHeight="1">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4"/>
      <c r="DL866" s="64"/>
      <c r="DM866" s="64"/>
      <c r="DN866" s="64"/>
      <c r="DO866" s="64"/>
      <c r="DP866" s="64"/>
      <c r="DQ866" s="64"/>
      <c r="DR866" s="64"/>
      <c r="DS866" s="64"/>
      <c r="DT866" s="64"/>
      <c r="DU866" s="64"/>
      <c r="DV866" s="64"/>
      <c r="DW866" s="64"/>
      <c r="DX866" s="64"/>
      <c r="DY866" s="64"/>
      <c r="DZ866" s="64"/>
      <c r="EA866" s="64"/>
      <c r="EB866" s="64"/>
      <c r="EC866" s="64"/>
      <c r="ED866" s="64"/>
    </row>
    <row r="867" spans="26:134" ht="15.75" customHeight="1">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4"/>
      <c r="DL867" s="64"/>
      <c r="DM867" s="64"/>
      <c r="DN867" s="64"/>
      <c r="DO867" s="64"/>
      <c r="DP867" s="64"/>
      <c r="DQ867" s="64"/>
      <c r="DR867" s="64"/>
      <c r="DS867" s="64"/>
      <c r="DT867" s="64"/>
      <c r="DU867" s="64"/>
      <c r="DV867" s="64"/>
      <c r="DW867" s="64"/>
      <c r="DX867" s="64"/>
      <c r="DY867" s="64"/>
      <c r="DZ867" s="64"/>
      <c r="EA867" s="64"/>
      <c r="EB867" s="64"/>
      <c r="EC867" s="64"/>
      <c r="ED867" s="64"/>
    </row>
    <row r="868" spans="26:134" ht="15.75" customHeight="1">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4"/>
      <c r="DL868" s="64"/>
      <c r="DM868" s="64"/>
      <c r="DN868" s="64"/>
      <c r="DO868" s="64"/>
      <c r="DP868" s="64"/>
      <c r="DQ868" s="64"/>
      <c r="DR868" s="64"/>
      <c r="DS868" s="64"/>
      <c r="DT868" s="64"/>
      <c r="DU868" s="64"/>
      <c r="DV868" s="64"/>
      <c r="DW868" s="64"/>
      <c r="DX868" s="64"/>
      <c r="DY868" s="64"/>
      <c r="DZ868" s="64"/>
      <c r="EA868" s="64"/>
      <c r="EB868" s="64"/>
      <c r="EC868" s="64"/>
      <c r="ED868" s="64"/>
    </row>
    <row r="869" spans="26:134" ht="15.75" customHeight="1">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4"/>
      <c r="DL869" s="64"/>
      <c r="DM869" s="64"/>
      <c r="DN869" s="64"/>
      <c r="DO869" s="64"/>
      <c r="DP869" s="64"/>
      <c r="DQ869" s="64"/>
      <c r="DR869" s="64"/>
      <c r="DS869" s="64"/>
      <c r="DT869" s="64"/>
      <c r="DU869" s="64"/>
      <c r="DV869" s="64"/>
      <c r="DW869" s="64"/>
      <c r="DX869" s="64"/>
      <c r="DY869" s="64"/>
      <c r="DZ869" s="64"/>
      <c r="EA869" s="64"/>
      <c r="EB869" s="64"/>
      <c r="EC869" s="64"/>
      <c r="ED869" s="64"/>
    </row>
    <row r="870" spans="26:134" ht="15.75" customHeight="1">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4"/>
      <c r="DL870" s="64"/>
      <c r="DM870" s="64"/>
      <c r="DN870" s="64"/>
      <c r="DO870" s="64"/>
      <c r="DP870" s="64"/>
      <c r="DQ870" s="64"/>
      <c r="DR870" s="64"/>
      <c r="DS870" s="64"/>
      <c r="DT870" s="64"/>
      <c r="DU870" s="64"/>
      <c r="DV870" s="64"/>
      <c r="DW870" s="64"/>
      <c r="DX870" s="64"/>
      <c r="DY870" s="64"/>
      <c r="DZ870" s="64"/>
      <c r="EA870" s="64"/>
      <c r="EB870" s="64"/>
      <c r="EC870" s="64"/>
      <c r="ED870" s="64"/>
    </row>
    <row r="871" spans="26:134" ht="15.75" customHeight="1">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4"/>
      <c r="DL871" s="64"/>
      <c r="DM871" s="64"/>
      <c r="DN871" s="64"/>
      <c r="DO871" s="64"/>
      <c r="DP871" s="64"/>
      <c r="DQ871" s="64"/>
      <c r="DR871" s="64"/>
      <c r="DS871" s="64"/>
      <c r="DT871" s="64"/>
      <c r="DU871" s="64"/>
      <c r="DV871" s="64"/>
      <c r="DW871" s="64"/>
      <c r="DX871" s="64"/>
      <c r="DY871" s="64"/>
      <c r="DZ871" s="64"/>
      <c r="EA871" s="64"/>
      <c r="EB871" s="64"/>
      <c r="EC871" s="64"/>
      <c r="ED871" s="64"/>
    </row>
    <row r="872" spans="26:134" ht="15.75" customHeight="1">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4"/>
      <c r="DL872" s="64"/>
      <c r="DM872" s="64"/>
      <c r="DN872" s="64"/>
      <c r="DO872" s="64"/>
      <c r="DP872" s="64"/>
      <c r="DQ872" s="64"/>
      <c r="DR872" s="64"/>
      <c r="DS872" s="64"/>
      <c r="DT872" s="64"/>
      <c r="DU872" s="64"/>
      <c r="DV872" s="64"/>
      <c r="DW872" s="64"/>
      <c r="DX872" s="64"/>
      <c r="DY872" s="64"/>
      <c r="DZ872" s="64"/>
      <c r="EA872" s="64"/>
      <c r="EB872" s="64"/>
      <c r="EC872" s="64"/>
      <c r="ED872" s="64"/>
    </row>
    <row r="873" spans="26:134" ht="15.75" customHeight="1">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c r="BU873" s="64"/>
      <c r="BV873" s="64"/>
      <c r="BW873" s="64"/>
      <c r="BX873" s="64"/>
      <c r="BY873" s="64"/>
      <c r="BZ873" s="64"/>
      <c r="CA873" s="64"/>
      <c r="CB873" s="64"/>
      <c r="CC873" s="64"/>
      <c r="CD873" s="64"/>
      <c r="CE873" s="64"/>
      <c r="CF873" s="64"/>
      <c r="CG873" s="64"/>
      <c r="CH873" s="64"/>
      <c r="CI873" s="64"/>
      <c r="CJ873" s="64"/>
      <c r="CK873" s="64"/>
      <c r="CL873" s="64"/>
      <c r="CM873" s="64"/>
      <c r="CN873" s="64"/>
      <c r="CO873" s="64"/>
      <c r="CP873" s="64"/>
      <c r="CQ873" s="64"/>
      <c r="CR873" s="64"/>
      <c r="CS873" s="64"/>
      <c r="CT873" s="64"/>
      <c r="CU873" s="64"/>
      <c r="CV873" s="64"/>
      <c r="CW873" s="64"/>
      <c r="CX873" s="64"/>
      <c r="CY873" s="64"/>
      <c r="CZ873" s="64"/>
      <c r="DA873" s="64"/>
      <c r="DB873" s="64"/>
      <c r="DC873" s="64"/>
      <c r="DD873" s="64"/>
      <c r="DE873" s="64"/>
      <c r="DF873" s="64"/>
      <c r="DG873" s="64"/>
      <c r="DH873" s="64"/>
      <c r="DI873" s="64"/>
      <c r="DJ873" s="64"/>
      <c r="DK873" s="64"/>
      <c r="DL873" s="64"/>
      <c r="DM873" s="64"/>
      <c r="DN873" s="64"/>
      <c r="DO873" s="64"/>
      <c r="DP873" s="64"/>
      <c r="DQ873" s="64"/>
      <c r="DR873" s="64"/>
      <c r="DS873" s="64"/>
      <c r="DT873" s="64"/>
      <c r="DU873" s="64"/>
      <c r="DV873" s="64"/>
      <c r="DW873" s="64"/>
      <c r="DX873" s="64"/>
      <c r="DY873" s="64"/>
      <c r="DZ873" s="64"/>
      <c r="EA873" s="64"/>
      <c r="EB873" s="64"/>
      <c r="EC873" s="64"/>
      <c r="ED873" s="64"/>
    </row>
    <row r="874" spans="26:134" ht="15.75" customHeight="1">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c r="BU874" s="64"/>
      <c r="BV874" s="64"/>
      <c r="BW874" s="64"/>
      <c r="BX874" s="64"/>
      <c r="BY874" s="64"/>
      <c r="BZ874" s="64"/>
      <c r="CA874" s="64"/>
      <c r="CB874" s="64"/>
      <c r="CC874" s="64"/>
      <c r="CD874" s="64"/>
      <c r="CE874" s="64"/>
      <c r="CF874" s="64"/>
      <c r="CG874" s="64"/>
      <c r="CH874" s="64"/>
      <c r="CI874" s="64"/>
      <c r="CJ874" s="64"/>
      <c r="CK874" s="64"/>
      <c r="CL874" s="64"/>
      <c r="CM874" s="64"/>
      <c r="CN874" s="64"/>
      <c r="CO874" s="64"/>
      <c r="CP874" s="64"/>
      <c r="CQ874" s="64"/>
      <c r="CR874" s="64"/>
      <c r="CS874" s="64"/>
      <c r="CT874" s="64"/>
      <c r="CU874" s="64"/>
      <c r="CV874" s="64"/>
      <c r="CW874" s="64"/>
      <c r="CX874" s="64"/>
      <c r="CY874" s="64"/>
      <c r="CZ874" s="64"/>
      <c r="DA874" s="64"/>
      <c r="DB874" s="64"/>
      <c r="DC874" s="64"/>
      <c r="DD874" s="64"/>
      <c r="DE874" s="64"/>
      <c r="DF874" s="64"/>
      <c r="DG874" s="64"/>
      <c r="DH874" s="64"/>
      <c r="DI874" s="64"/>
      <c r="DJ874" s="64"/>
      <c r="DK874" s="64"/>
      <c r="DL874" s="64"/>
      <c r="DM874" s="64"/>
      <c r="DN874" s="64"/>
      <c r="DO874" s="64"/>
      <c r="DP874" s="64"/>
      <c r="DQ874" s="64"/>
      <c r="DR874" s="64"/>
      <c r="DS874" s="64"/>
      <c r="DT874" s="64"/>
      <c r="DU874" s="64"/>
      <c r="DV874" s="64"/>
      <c r="DW874" s="64"/>
      <c r="DX874" s="64"/>
      <c r="DY874" s="64"/>
      <c r="DZ874" s="64"/>
      <c r="EA874" s="64"/>
      <c r="EB874" s="64"/>
      <c r="EC874" s="64"/>
      <c r="ED874" s="64"/>
    </row>
    <row r="875" spans="26:134" ht="15.75" customHeight="1">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c r="BU875" s="64"/>
      <c r="BV875" s="64"/>
      <c r="BW875" s="64"/>
      <c r="BX875" s="64"/>
      <c r="BY875" s="64"/>
      <c r="BZ875" s="64"/>
      <c r="CA875" s="64"/>
      <c r="CB875" s="64"/>
      <c r="CC875" s="64"/>
      <c r="CD875" s="64"/>
      <c r="CE875" s="64"/>
      <c r="CF875" s="64"/>
      <c r="CG875" s="64"/>
      <c r="CH875" s="64"/>
      <c r="CI875" s="64"/>
      <c r="CJ875" s="64"/>
      <c r="CK875" s="64"/>
      <c r="CL875" s="64"/>
      <c r="CM875" s="64"/>
      <c r="CN875" s="64"/>
      <c r="CO875" s="64"/>
      <c r="CP875" s="64"/>
      <c r="CQ875" s="64"/>
      <c r="CR875" s="64"/>
      <c r="CS875" s="64"/>
      <c r="CT875" s="64"/>
      <c r="CU875" s="64"/>
      <c r="CV875" s="64"/>
      <c r="CW875" s="64"/>
      <c r="CX875" s="64"/>
      <c r="CY875" s="64"/>
      <c r="CZ875" s="64"/>
      <c r="DA875" s="64"/>
      <c r="DB875" s="64"/>
      <c r="DC875" s="64"/>
      <c r="DD875" s="64"/>
      <c r="DE875" s="64"/>
      <c r="DF875" s="64"/>
      <c r="DG875" s="64"/>
      <c r="DH875" s="64"/>
      <c r="DI875" s="64"/>
      <c r="DJ875" s="64"/>
      <c r="DK875" s="64"/>
      <c r="DL875" s="64"/>
      <c r="DM875" s="64"/>
      <c r="DN875" s="64"/>
      <c r="DO875" s="64"/>
      <c r="DP875" s="64"/>
      <c r="DQ875" s="64"/>
      <c r="DR875" s="64"/>
      <c r="DS875" s="64"/>
      <c r="DT875" s="64"/>
      <c r="DU875" s="64"/>
      <c r="DV875" s="64"/>
      <c r="DW875" s="64"/>
      <c r="DX875" s="64"/>
      <c r="DY875" s="64"/>
      <c r="DZ875" s="64"/>
      <c r="EA875" s="64"/>
      <c r="EB875" s="64"/>
      <c r="EC875" s="64"/>
      <c r="ED875" s="64"/>
    </row>
    <row r="876" spans="26:134" ht="15.75" customHeight="1">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c r="BU876" s="64"/>
      <c r="BV876" s="64"/>
      <c r="BW876" s="64"/>
      <c r="BX876" s="64"/>
      <c r="BY876" s="64"/>
      <c r="BZ876" s="64"/>
      <c r="CA876" s="64"/>
      <c r="CB876" s="64"/>
      <c r="CC876" s="64"/>
      <c r="CD876" s="64"/>
      <c r="CE876" s="64"/>
      <c r="CF876" s="64"/>
      <c r="CG876" s="64"/>
      <c r="CH876" s="64"/>
      <c r="CI876" s="64"/>
      <c r="CJ876" s="64"/>
      <c r="CK876" s="64"/>
      <c r="CL876" s="64"/>
      <c r="CM876" s="64"/>
      <c r="CN876" s="64"/>
      <c r="CO876" s="64"/>
      <c r="CP876" s="64"/>
      <c r="CQ876" s="64"/>
      <c r="CR876" s="64"/>
      <c r="CS876" s="64"/>
      <c r="CT876" s="64"/>
      <c r="CU876" s="64"/>
      <c r="CV876" s="64"/>
      <c r="CW876" s="64"/>
      <c r="CX876" s="64"/>
      <c r="CY876" s="64"/>
      <c r="CZ876" s="64"/>
      <c r="DA876" s="64"/>
      <c r="DB876" s="64"/>
      <c r="DC876" s="64"/>
      <c r="DD876" s="64"/>
      <c r="DE876" s="64"/>
      <c r="DF876" s="64"/>
      <c r="DG876" s="64"/>
      <c r="DH876" s="64"/>
      <c r="DI876" s="64"/>
      <c r="DJ876" s="64"/>
      <c r="DK876" s="64"/>
      <c r="DL876" s="64"/>
      <c r="DM876" s="64"/>
      <c r="DN876" s="64"/>
      <c r="DO876" s="64"/>
      <c r="DP876" s="64"/>
      <c r="DQ876" s="64"/>
      <c r="DR876" s="64"/>
      <c r="DS876" s="64"/>
      <c r="DT876" s="64"/>
      <c r="DU876" s="64"/>
      <c r="DV876" s="64"/>
      <c r="DW876" s="64"/>
      <c r="DX876" s="64"/>
      <c r="DY876" s="64"/>
      <c r="DZ876" s="64"/>
      <c r="EA876" s="64"/>
      <c r="EB876" s="64"/>
      <c r="EC876" s="64"/>
      <c r="ED876" s="64"/>
    </row>
    <row r="877" spans="26:134" ht="15.75" customHeight="1">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c r="BU877" s="64"/>
      <c r="BV877" s="64"/>
      <c r="BW877" s="64"/>
      <c r="BX877" s="64"/>
      <c r="BY877" s="64"/>
      <c r="BZ877" s="64"/>
      <c r="CA877" s="64"/>
      <c r="CB877" s="64"/>
      <c r="CC877" s="64"/>
      <c r="CD877" s="64"/>
      <c r="CE877" s="64"/>
      <c r="CF877" s="64"/>
      <c r="CG877" s="64"/>
      <c r="CH877" s="64"/>
      <c r="CI877" s="64"/>
      <c r="CJ877" s="64"/>
      <c r="CK877" s="64"/>
      <c r="CL877" s="64"/>
      <c r="CM877" s="64"/>
      <c r="CN877" s="64"/>
      <c r="CO877" s="64"/>
      <c r="CP877" s="64"/>
      <c r="CQ877" s="64"/>
      <c r="CR877" s="64"/>
      <c r="CS877" s="64"/>
      <c r="CT877" s="64"/>
      <c r="CU877" s="64"/>
      <c r="CV877" s="64"/>
      <c r="CW877" s="64"/>
      <c r="CX877" s="64"/>
      <c r="CY877" s="64"/>
      <c r="CZ877" s="64"/>
      <c r="DA877" s="64"/>
      <c r="DB877" s="64"/>
      <c r="DC877" s="64"/>
      <c r="DD877" s="64"/>
      <c r="DE877" s="64"/>
      <c r="DF877" s="64"/>
      <c r="DG877" s="64"/>
      <c r="DH877" s="64"/>
      <c r="DI877" s="64"/>
      <c r="DJ877" s="64"/>
      <c r="DK877" s="64"/>
      <c r="DL877" s="64"/>
      <c r="DM877" s="64"/>
      <c r="DN877" s="64"/>
      <c r="DO877" s="64"/>
      <c r="DP877" s="64"/>
      <c r="DQ877" s="64"/>
      <c r="DR877" s="64"/>
      <c r="DS877" s="64"/>
      <c r="DT877" s="64"/>
      <c r="DU877" s="64"/>
      <c r="DV877" s="64"/>
      <c r="DW877" s="64"/>
      <c r="DX877" s="64"/>
      <c r="DY877" s="64"/>
      <c r="DZ877" s="64"/>
      <c r="EA877" s="64"/>
      <c r="EB877" s="64"/>
      <c r="EC877" s="64"/>
      <c r="ED877" s="64"/>
    </row>
    <row r="878" spans="26:134" ht="15.75" customHeight="1">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c r="BU878" s="64"/>
      <c r="BV878" s="64"/>
      <c r="BW878" s="64"/>
      <c r="BX878" s="64"/>
      <c r="BY878" s="64"/>
      <c r="BZ878" s="64"/>
      <c r="CA878" s="64"/>
      <c r="CB878" s="64"/>
      <c r="CC878" s="64"/>
      <c r="CD878" s="64"/>
      <c r="CE878" s="64"/>
      <c r="CF878" s="64"/>
      <c r="CG878" s="64"/>
      <c r="CH878" s="64"/>
      <c r="CI878" s="64"/>
      <c r="CJ878" s="64"/>
      <c r="CK878" s="64"/>
      <c r="CL878" s="64"/>
      <c r="CM878" s="64"/>
      <c r="CN878" s="64"/>
      <c r="CO878" s="64"/>
      <c r="CP878" s="64"/>
      <c r="CQ878" s="64"/>
      <c r="CR878" s="64"/>
      <c r="CS878" s="64"/>
      <c r="CT878" s="64"/>
      <c r="CU878" s="64"/>
      <c r="CV878" s="64"/>
      <c r="CW878" s="64"/>
      <c r="CX878" s="64"/>
      <c r="CY878" s="64"/>
      <c r="CZ878" s="64"/>
      <c r="DA878" s="64"/>
      <c r="DB878" s="64"/>
      <c r="DC878" s="64"/>
      <c r="DD878" s="64"/>
      <c r="DE878" s="64"/>
      <c r="DF878" s="64"/>
      <c r="DG878" s="64"/>
      <c r="DH878" s="64"/>
      <c r="DI878" s="64"/>
      <c r="DJ878" s="64"/>
      <c r="DK878" s="64"/>
      <c r="DL878" s="64"/>
      <c r="DM878" s="64"/>
      <c r="DN878" s="64"/>
      <c r="DO878" s="64"/>
      <c r="DP878" s="64"/>
      <c r="DQ878" s="64"/>
      <c r="DR878" s="64"/>
      <c r="DS878" s="64"/>
      <c r="DT878" s="64"/>
      <c r="DU878" s="64"/>
      <c r="DV878" s="64"/>
      <c r="DW878" s="64"/>
      <c r="DX878" s="64"/>
      <c r="DY878" s="64"/>
      <c r="DZ878" s="64"/>
      <c r="EA878" s="64"/>
      <c r="EB878" s="64"/>
      <c r="EC878" s="64"/>
      <c r="ED878" s="64"/>
    </row>
    <row r="879" spans="26:134" ht="15.75" customHeight="1">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c r="BU879" s="64"/>
      <c r="BV879" s="64"/>
      <c r="BW879" s="64"/>
      <c r="BX879" s="64"/>
      <c r="BY879" s="64"/>
      <c r="BZ879" s="64"/>
      <c r="CA879" s="64"/>
      <c r="CB879" s="64"/>
      <c r="CC879" s="64"/>
      <c r="CD879" s="64"/>
      <c r="CE879" s="64"/>
      <c r="CF879" s="64"/>
      <c r="CG879" s="64"/>
      <c r="CH879" s="64"/>
      <c r="CI879" s="64"/>
      <c r="CJ879" s="64"/>
      <c r="CK879" s="64"/>
      <c r="CL879" s="64"/>
      <c r="CM879" s="64"/>
      <c r="CN879" s="64"/>
      <c r="CO879" s="64"/>
      <c r="CP879" s="64"/>
      <c r="CQ879" s="64"/>
      <c r="CR879" s="64"/>
      <c r="CS879" s="64"/>
      <c r="CT879" s="64"/>
      <c r="CU879" s="64"/>
      <c r="CV879" s="64"/>
      <c r="CW879" s="64"/>
      <c r="CX879" s="64"/>
      <c r="CY879" s="64"/>
      <c r="CZ879" s="64"/>
      <c r="DA879" s="64"/>
      <c r="DB879" s="64"/>
      <c r="DC879" s="64"/>
      <c r="DD879" s="64"/>
      <c r="DE879" s="64"/>
      <c r="DF879" s="64"/>
      <c r="DG879" s="64"/>
      <c r="DH879" s="64"/>
      <c r="DI879" s="64"/>
      <c r="DJ879" s="64"/>
      <c r="DK879" s="64"/>
      <c r="DL879" s="64"/>
      <c r="DM879" s="64"/>
      <c r="DN879" s="64"/>
      <c r="DO879" s="64"/>
      <c r="DP879" s="64"/>
      <c r="DQ879" s="64"/>
      <c r="DR879" s="64"/>
      <c r="DS879" s="64"/>
      <c r="DT879" s="64"/>
      <c r="DU879" s="64"/>
      <c r="DV879" s="64"/>
      <c r="DW879" s="64"/>
      <c r="DX879" s="64"/>
      <c r="DY879" s="64"/>
      <c r="DZ879" s="64"/>
      <c r="EA879" s="64"/>
      <c r="EB879" s="64"/>
      <c r="EC879" s="64"/>
      <c r="ED879" s="64"/>
    </row>
    <row r="880" spans="26:134" ht="15.75" customHeight="1">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c r="BU880" s="64"/>
      <c r="BV880" s="64"/>
      <c r="BW880" s="64"/>
      <c r="BX880" s="64"/>
      <c r="BY880" s="64"/>
      <c r="BZ880" s="64"/>
      <c r="CA880" s="64"/>
      <c r="CB880" s="64"/>
      <c r="CC880" s="64"/>
      <c r="CD880" s="64"/>
      <c r="CE880" s="64"/>
      <c r="CF880" s="64"/>
      <c r="CG880" s="64"/>
      <c r="CH880" s="64"/>
      <c r="CI880" s="64"/>
      <c r="CJ880" s="64"/>
      <c r="CK880" s="64"/>
      <c r="CL880" s="64"/>
      <c r="CM880" s="64"/>
      <c r="CN880" s="64"/>
      <c r="CO880" s="64"/>
      <c r="CP880" s="64"/>
      <c r="CQ880" s="64"/>
      <c r="CR880" s="64"/>
      <c r="CS880" s="64"/>
      <c r="CT880" s="64"/>
      <c r="CU880" s="64"/>
      <c r="CV880" s="64"/>
      <c r="CW880" s="64"/>
      <c r="CX880" s="64"/>
      <c r="CY880" s="64"/>
      <c r="CZ880" s="64"/>
      <c r="DA880" s="64"/>
      <c r="DB880" s="64"/>
      <c r="DC880" s="64"/>
      <c r="DD880" s="64"/>
      <c r="DE880" s="64"/>
      <c r="DF880" s="64"/>
      <c r="DG880" s="64"/>
      <c r="DH880" s="64"/>
      <c r="DI880" s="64"/>
      <c r="DJ880" s="64"/>
      <c r="DK880" s="64"/>
      <c r="DL880" s="64"/>
      <c r="DM880" s="64"/>
      <c r="DN880" s="64"/>
      <c r="DO880" s="64"/>
      <c r="DP880" s="64"/>
      <c r="DQ880" s="64"/>
      <c r="DR880" s="64"/>
      <c r="DS880" s="64"/>
      <c r="DT880" s="64"/>
      <c r="DU880" s="64"/>
      <c r="DV880" s="64"/>
      <c r="DW880" s="64"/>
      <c r="DX880" s="64"/>
      <c r="DY880" s="64"/>
      <c r="DZ880" s="64"/>
      <c r="EA880" s="64"/>
      <c r="EB880" s="64"/>
      <c r="EC880" s="64"/>
      <c r="ED880" s="64"/>
    </row>
    <row r="881" spans="26:134" ht="15.75" customHeight="1">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c r="BU881" s="64"/>
      <c r="BV881" s="64"/>
      <c r="BW881" s="64"/>
      <c r="BX881" s="64"/>
      <c r="BY881" s="64"/>
      <c r="BZ881" s="64"/>
      <c r="CA881" s="64"/>
      <c r="CB881" s="64"/>
      <c r="CC881" s="64"/>
      <c r="CD881" s="64"/>
      <c r="CE881" s="64"/>
      <c r="CF881" s="64"/>
      <c r="CG881" s="64"/>
      <c r="CH881" s="64"/>
      <c r="CI881" s="64"/>
      <c r="CJ881" s="64"/>
      <c r="CK881" s="64"/>
      <c r="CL881" s="64"/>
      <c r="CM881" s="64"/>
      <c r="CN881" s="64"/>
      <c r="CO881" s="64"/>
      <c r="CP881" s="64"/>
      <c r="CQ881" s="64"/>
      <c r="CR881" s="64"/>
      <c r="CS881" s="64"/>
      <c r="CT881" s="64"/>
      <c r="CU881" s="64"/>
      <c r="CV881" s="64"/>
      <c r="CW881" s="64"/>
      <c r="CX881" s="64"/>
      <c r="CY881" s="64"/>
      <c r="CZ881" s="64"/>
      <c r="DA881" s="64"/>
      <c r="DB881" s="64"/>
      <c r="DC881" s="64"/>
      <c r="DD881" s="64"/>
      <c r="DE881" s="64"/>
      <c r="DF881" s="64"/>
      <c r="DG881" s="64"/>
      <c r="DH881" s="64"/>
      <c r="DI881" s="64"/>
      <c r="DJ881" s="64"/>
      <c r="DK881" s="64"/>
      <c r="DL881" s="64"/>
      <c r="DM881" s="64"/>
      <c r="DN881" s="64"/>
      <c r="DO881" s="64"/>
      <c r="DP881" s="64"/>
      <c r="DQ881" s="64"/>
      <c r="DR881" s="64"/>
      <c r="DS881" s="64"/>
      <c r="DT881" s="64"/>
      <c r="DU881" s="64"/>
      <c r="DV881" s="64"/>
      <c r="DW881" s="64"/>
      <c r="DX881" s="64"/>
      <c r="DY881" s="64"/>
      <c r="DZ881" s="64"/>
      <c r="EA881" s="64"/>
      <c r="EB881" s="64"/>
      <c r="EC881" s="64"/>
      <c r="ED881" s="64"/>
    </row>
    <row r="882" spans="26:134" ht="15.75" customHeight="1">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c r="BU882" s="64"/>
      <c r="BV882" s="64"/>
      <c r="BW882" s="64"/>
      <c r="BX882" s="64"/>
      <c r="BY882" s="64"/>
      <c r="BZ882" s="64"/>
      <c r="CA882" s="64"/>
      <c r="CB882" s="64"/>
      <c r="CC882" s="64"/>
      <c r="CD882" s="64"/>
      <c r="CE882" s="64"/>
      <c r="CF882" s="64"/>
      <c r="CG882" s="64"/>
      <c r="CH882" s="64"/>
      <c r="CI882" s="64"/>
      <c r="CJ882" s="64"/>
      <c r="CK882" s="64"/>
      <c r="CL882" s="64"/>
      <c r="CM882" s="64"/>
      <c r="CN882" s="64"/>
      <c r="CO882" s="64"/>
      <c r="CP882" s="64"/>
      <c r="CQ882" s="64"/>
      <c r="CR882" s="64"/>
      <c r="CS882" s="64"/>
      <c r="CT882" s="64"/>
      <c r="CU882" s="64"/>
      <c r="CV882" s="64"/>
      <c r="CW882" s="64"/>
      <c r="CX882" s="64"/>
      <c r="CY882" s="64"/>
      <c r="CZ882" s="64"/>
      <c r="DA882" s="64"/>
      <c r="DB882" s="64"/>
      <c r="DC882" s="64"/>
      <c r="DD882" s="64"/>
      <c r="DE882" s="64"/>
      <c r="DF882" s="64"/>
      <c r="DG882" s="64"/>
      <c r="DH882" s="64"/>
      <c r="DI882" s="64"/>
      <c r="DJ882" s="64"/>
      <c r="DK882" s="64"/>
      <c r="DL882" s="64"/>
      <c r="DM882" s="64"/>
      <c r="DN882" s="64"/>
      <c r="DO882" s="64"/>
      <c r="DP882" s="64"/>
      <c r="DQ882" s="64"/>
      <c r="DR882" s="64"/>
      <c r="DS882" s="64"/>
      <c r="DT882" s="64"/>
      <c r="DU882" s="64"/>
      <c r="DV882" s="64"/>
      <c r="DW882" s="64"/>
      <c r="DX882" s="64"/>
      <c r="DY882" s="64"/>
      <c r="DZ882" s="64"/>
      <c r="EA882" s="64"/>
      <c r="EB882" s="64"/>
      <c r="EC882" s="64"/>
      <c r="ED882" s="64"/>
    </row>
    <row r="883" spans="26:134" ht="15.75" customHeight="1">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c r="BU883" s="64"/>
      <c r="BV883" s="64"/>
      <c r="BW883" s="64"/>
      <c r="BX883" s="64"/>
      <c r="BY883" s="64"/>
      <c r="BZ883" s="64"/>
      <c r="CA883" s="64"/>
      <c r="CB883" s="64"/>
      <c r="CC883" s="64"/>
      <c r="CD883" s="64"/>
      <c r="CE883" s="64"/>
      <c r="CF883" s="64"/>
      <c r="CG883" s="64"/>
      <c r="CH883" s="64"/>
      <c r="CI883" s="64"/>
      <c r="CJ883" s="64"/>
      <c r="CK883" s="64"/>
      <c r="CL883" s="64"/>
      <c r="CM883" s="64"/>
      <c r="CN883" s="64"/>
      <c r="CO883" s="64"/>
      <c r="CP883" s="64"/>
      <c r="CQ883" s="64"/>
      <c r="CR883" s="64"/>
      <c r="CS883" s="64"/>
      <c r="CT883" s="64"/>
      <c r="CU883" s="64"/>
      <c r="CV883" s="64"/>
      <c r="CW883" s="64"/>
      <c r="CX883" s="64"/>
      <c r="CY883" s="64"/>
      <c r="CZ883" s="64"/>
      <c r="DA883" s="64"/>
      <c r="DB883" s="64"/>
      <c r="DC883" s="64"/>
      <c r="DD883" s="64"/>
      <c r="DE883" s="64"/>
      <c r="DF883" s="64"/>
      <c r="DG883" s="64"/>
      <c r="DH883" s="64"/>
      <c r="DI883" s="64"/>
      <c r="DJ883" s="64"/>
      <c r="DK883" s="64"/>
      <c r="DL883" s="64"/>
      <c r="DM883" s="64"/>
      <c r="DN883" s="64"/>
      <c r="DO883" s="64"/>
      <c r="DP883" s="64"/>
      <c r="DQ883" s="64"/>
      <c r="DR883" s="64"/>
      <c r="DS883" s="64"/>
      <c r="DT883" s="64"/>
      <c r="DU883" s="64"/>
      <c r="DV883" s="64"/>
      <c r="DW883" s="64"/>
      <c r="DX883" s="64"/>
      <c r="DY883" s="64"/>
      <c r="DZ883" s="64"/>
      <c r="EA883" s="64"/>
      <c r="EB883" s="64"/>
      <c r="EC883" s="64"/>
      <c r="ED883" s="64"/>
    </row>
    <row r="884" spans="26:134" ht="15.75" customHeight="1">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c r="BU884" s="64"/>
      <c r="BV884" s="64"/>
      <c r="BW884" s="64"/>
      <c r="BX884" s="64"/>
      <c r="BY884" s="64"/>
      <c r="BZ884" s="64"/>
      <c r="CA884" s="64"/>
      <c r="CB884" s="64"/>
      <c r="CC884" s="64"/>
      <c r="CD884" s="64"/>
      <c r="CE884" s="64"/>
      <c r="CF884" s="64"/>
      <c r="CG884" s="64"/>
      <c r="CH884" s="64"/>
      <c r="CI884" s="64"/>
      <c r="CJ884" s="64"/>
      <c r="CK884" s="64"/>
      <c r="CL884" s="64"/>
      <c r="CM884" s="64"/>
      <c r="CN884" s="64"/>
      <c r="CO884" s="64"/>
      <c r="CP884" s="64"/>
      <c r="CQ884" s="64"/>
      <c r="CR884" s="64"/>
      <c r="CS884" s="64"/>
      <c r="CT884" s="64"/>
      <c r="CU884" s="64"/>
      <c r="CV884" s="64"/>
      <c r="CW884" s="64"/>
      <c r="CX884" s="64"/>
      <c r="CY884" s="64"/>
      <c r="CZ884" s="64"/>
      <c r="DA884" s="64"/>
      <c r="DB884" s="64"/>
      <c r="DC884" s="64"/>
      <c r="DD884" s="64"/>
      <c r="DE884" s="64"/>
      <c r="DF884" s="64"/>
      <c r="DG884" s="64"/>
      <c r="DH884" s="64"/>
      <c r="DI884" s="64"/>
      <c r="DJ884" s="64"/>
      <c r="DK884" s="64"/>
      <c r="DL884" s="64"/>
      <c r="DM884" s="64"/>
      <c r="DN884" s="64"/>
      <c r="DO884" s="64"/>
      <c r="DP884" s="64"/>
      <c r="DQ884" s="64"/>
      <c r="DR884" s="64"/>
      <c r="DS884" s="64"/>
      <c r="DT884" s="64"/>
      <c r="DU884" s="64"/>
      <c r="DV884" s="64"/>
      <c r="DW884" s="64"/>
      <c r="DX884" s="64"/>
      <c r="DY884" s="64"/>
      <c r="DZ884" s="64"/>
      <c r="EA884" s="64"/>
      <c r="EB884" s="64"/>
      <c r="EC884" s="64"/>
      <c r="ED884" s="64"/>
    </row>
    <row r="885" spans="26:134" ht="15.75" customHeight="1">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c r="BU885" s="64"/>
      <c r="BV885" s="64"/>
      <c r="BW885" s="64"/>
      <c r="BX885" s="64"/>
      <c r="BY885" s="64"/>
      <c r="BZ885" s="64"/>
      <c r="CA885" s="64"/>
      <c r="CB885" s="64"/>
      <c r="CC885" s="64"/>
      <c r="CD885" s="64"/>
      <c r="CE885" s="64"/>
      <c r="CF885" s="64"/>
      <c r="CG885" s="64"/>
      <c r="CH885" s="64"/>
      <c r="CI885" s="64"/>
      <c r="CJ885" s="64"/>
      <c r="CK885" s="64"/>
      <c r="CL885" s="64"/>
      <c r="CM885" s="64"/>
      <c r="CN885" s="64"/>
      <c r="CO885" s="64"/>
      <c r="CP885" s="64"/>
      <c r="CQ885" s="64"/>
      <c r="CR885" s="64"/>
      <c r="CS885" s="64"/>
      <c r="CT885" s="64"/>
      <c r="CU885" s="64"/>
      <c r="CV885" s="64"/>
      <c r="CW885" s="64"/>
      <c r="CX885" s="64"/>
      <c r="CY885" s="64"/>
      <c r="CZ885" s="64"/>
      <c r="DA885" s="64"/>
      <c r="DB885" s="64"/>
      <c r="DC885" s="64"/>
      <c r="DD885" s="64"/>
      <c r="DE885" s="64"/>
      <c r="DF885" s="64"/>
      <c r="DG885" s="64"/>
      <c r="DH885" s="64"/>
      <c r="DI885" s="64"/>
      <c r="DJ885" s="64"/>
      <c r="DK885" s="64"/>
      <c r="DL885" s="64"/>
      <c r="DM885" s="64"/>
      <c r="DN885" s="64"/>
      <c r="DO885" s="64"/>
      <c r="DP885" s="64"/>
      <c r="DQ885" s="64"/>
      <c r="DR885" s="64"/>
      <c r="DS885" s="64"/>
      <c r="DT885" s="64"/>
      <c r="DU885" s="64"/>
      <c r="DV885" s="64"/>
      <c r="DW885" s="64"/>
      <c r="DX885" s="64"/>
      <c r="DY885" s="64"/>
      <c r="DZ885" s="64"/>
      <c r="EA885" s="64"/>
      <c r="EB885" s="64"/>
      <c r="EC885" s="64"/>
      <c r="ED885" s="64"/>
    </row>
    <row r="886" spans="26:134" ht="15.75" customHeight="1">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c r="BU886" s="64"/>
      <c r="BV886" s="64"/>
      <c r="BW886" s="64"/>
      <c r="BX886" s="64"/>
      <c r="BY886" s="64"/>
      <c r="BZ886" s="64"/>
      <c r="CA886" s="64"/>
      <c r="CB886" s="64"/>
      <c r="CC886" s="64"/>
      <c r="CD886" s="64"/>
      <c r="CE886" s="64"/>
      <c r="CF886" s="64"/>
      <c r="CG886" s="64"/>
      <c r="CH886" s="64"/>
      <c r="CI886" s="64"/>
      <c r="CJ886" s="64"/>
      <c r="CK886" s="64"/>
      <c r="CL886" s="64"/>
      <c r="CM886" s="64"/>
      <c r="CN886" s="64"/>
      <c r="CO886" s="64"/>
      <c r="CP886" s="64"/>
      <c r="CQ886" s="64"/>
      <c r="CR886" s="64"/>
      <c r="CS886" s="64"/>
      <c r="CT886" s="64"/>
      <c r="CU886" s="64"/>
      <c r="CV886" s="64"/>
      <c r="CW886" s="64"/>
      <c r="CX886" s="64"/>
      <c r="CY886" s="64"/>
      <c r="CZ886" s="64"/>
      <c r="DA886" s="64"/>
      <c r="DB886" s="64"/>
      <c r="DC886" s="64"/>
      <c r="DD886" s="64"/>
      <c r="DE886" s="64"/>
      <c r="DF886" s="64"/>
      <c r="DG886" s="64"/>
      <c r="DH886" s="64"/>
      <c r="DI886" s="64"/>
      <c r="DJ886" s="64"/>
      <c r="DK886" s="64"/>
      <c r="DL886" s="64"/>
      <c r="DM886" s="64"/>
      <c r="DN886" s="64"/>
      <c r="DO886" s="64"/>
      <c r="DP886" s="64"/>
      <c r="DQ886" s="64"/>
      <c r="DR886" s="64"/>
      <c r="DS886" s="64"/>
      <c r="DT886" s="64"/>
      <c r="DU886" s="64"/>
      <c r="DV886" s="64"/>
      <c r="DW886" s="64"/>
      <c r="DX886" s="64"/>
      <c r="DY886" s="64"/>
      <c r="DZ886" s="64"/>
      <c r="EA886" s="64"/>
      <c r="EB886" s="64"/>
      <c r="EC886" s="64"/>
      <c r="ED886" s="64"/>
    </row>
    <row r="887" spans="26:134" ht="15.75" customHeight="1">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c r="BU887" s="64"/>
      <c r="BV887" s="64"/>
      <c r="BW887" s="64"/>
      <c r="BX887" s="64"/>
      <c r="BY887" s="64"/>
      <c r="BZ887" s="64"/>
      <c r="CA887" s="64"/>
      <c r="CB887" s="64"/>
      <c r="CC887" s="64"/>
      <c r="CD887" s="64"/>
      <c r="CE887" s="64"/>
      <c r="CF887" s="64"/>
      <c r="CG887" s="64"/>
      <c r="CH887" s="64"/>
      <c r="CI887" s="64"/>
      <c r="CJ887" s="64"/>
      <c r="CK887" s="64"/>
      <c r="CL887" s="64"/>
      <c r="CM887" s="64"/>
      <c r="CN887" s="64"/>
      <c r="CO887" s="64"/>
      <c r="CP887" s="64"/>
      <c r="CQ887" s="64"/>
      <c r="CR887" s="64"/>
      <c r="CS887" s="64"/>
      <c r="CT887" s="64"/>
      <c r="CU887" s="64"/>
      <c r="CV887" s="64"/>
      <c r="CW887" s="64"/>
      <c r="CX887" s="64"/>
      <c r="CY887" s="64"/>
      <c r="CZ887" s="64"/>
      <c r="DA887" s="64"/>
      <c r="DB887" s="64"/>
      <c r="DC887" s="64"/>
      <c r="DD887" s="64"/>
      <c r="DE887" s="64"/>
      <c r="DF887" s="64"/>
      <c r="DG887" s="64"/>
      <c r="DH887" s="64"/>
      <c r="DI887" s="64"/>
      <c r="DJ887" s="64"/>
      <c r="DK887" s="64"/>
      <c r="DL887" s="64"/>
      <c r="DM887" s="64"/>
      <c r="DN887" s="64"/>
      <c r="DO887" s="64"/>
      <c r="DP887" s="64"/>
      <c r="DQ887" s="64"/>
      <c r="DR887" s="64"/>
      <c r="DS887" s="64"/>
      <c r="DT887" s="64"/>
      <c r="DU887" s="64"/>
      <c r="DV887" s="64"/>
      <c r="DW887" s="64"/>
      <c r="DX887" s="64"/>
      <c r="DY887" s="64"/>
      <c r="DZ887" s="64"/>
      <c r="EA887" s="64"/>
      <c r="EB887" s="64"/>
      <c r="EC887" s="64"/>
      <c r="ED887" s="64"/>
    </row>
    <row r="888" spans="26:134" ht="15.75" customHeight="1">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c r="BU888" s="64"/>
      <c r="BV888" s="64"/>
      <c r="BW888" s="64"/>
      <c r="BX888" s="64"/>
      <c r="BY888" s="64"/>
      <c r="BZ888" s="64"/>
      <c r="CA888" s="64"/>
      <c r="CB888" s="64"/>
      <c r="CC888" s="64"/>
      <c r="CD888" s="64"/>
      <c r="CE888" s="64"/>
      <c r="CF888" s="64"/>
      <c r="CG888" s="64"/>
      <c r="CH888" s="64"/>
      <c r="CI888" s="64"/>
      <c r="CJ888" s="64"/>
      <c r="CK888" s="64"/>
      <c r="CL888" s="64"/>
      <c r="CM888" s="64"/>
      <c r="CN888" s="64"/>
      <c r="CO888" s="64"/>
      <c r="CP888" s="64"/>
      <c r="CQ888" s="64"/>
      <c r="CR888" s="64"/>
      <c r="CS888" s="64"/>
      <c r="CT888" s="64"/>
      <c r="CU888" s="64"/>
      <c r="CV888" s="64"/>
      <c r="CW888" s="64"/>
      <c r="CX888" s="64"/>
      <c r="CY888" s="64"/>
      <c r="CZ888" s="64"/>
      <c r="DA888" s="64"/>
      <c r="DB888" s="64"/>
      <c r="DC888" s="64"/>
      <c r="DD888" s="64"/>
      <c r="DE888" s="64"/>
      <c r="DF888" s="64"/>
      <c r="DG888" s="64"/>
      <c r="DH888" s="64"/>
      <c r="DI888" s="64"/>
      <c r="DJ888" s="64"/>
      <c r="DK888" s="64"/>
      <c r="DL888" s="64"/>
      <c r="DM888" s="64"/>
      <c r="DN888" s="64"/>
      <c r="DO888" s="64"/>
      <c r="DP888" s="64"/>
      <c r="DQ888" s="64"/>
      <c r="DR888" s="64"/>
      <c r="DS888" s="64"/>
      <c r="DT888" s="64"/>
      <c r="DU888" s="64"/>
      <c r="DV888" s="64"/>
      <c r="DW888" s="64"/>
      <c r="DX888" s="64"/>
      <c r="DY888" s="64"/>
      <c r="DZ888" s="64"/>
      <c r="EA888" s="64"/>
      <c r="EB888" s="64"/>
      <c r="EC888" s="64"/>
      <c r="ED888" s="64"/>
    </row>
    <row r="889" spans="26:134" ht="15.75" customHeight="1">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c r="BU889" s="64"/>
      <c r="BV889" s="64"/>
      <c r="BW889" s="64"/>
      <c r="BX889" s="64"/>
      <c r="BY889" s="64"/>
      <c r="BZ889" s="64"/>
      <c r="CA889" s="64"/>
      <c r="CB889" s="64"/>
      <c r="CC889" s="64"/>
      <c r="CD889" s="64"/>
      <c r="CE889" s="64"/>
      <c r="CF889" s="64"/>
      <c r="CG889" s="64"/>
      <c r="CH889" s="64"/>
      <c r="CI889" s="64"/>
      <c r="CJ889" s="64"/>
      <c r="CK889" s="64"/>
      <c r="CL889" s="64"/>
      <c r="CM889" s="64"/>
      <c r="CN889" s="64"/>
      <c r="CO889" s="64"/>
      <c r="CP889" s="64"/>
      <c r="CQ889" s="64"/>
      <c r="CR889" s="64"/>
      <c r="CS889" s="64"/>
      <c r="CT889" s="64"/>
      <c r="CU889" s="64"/>
      <c r="CV889" s="64"/>
      <c r="CW889" s="64"/>
      <c r="CX889" s="64"/>
      <c r="CY889" s="64"/>
      <c r="CZ889" s="64"/>
      <c r="DA889" s="64"/>
      <c r="DB889" s="64"/>
      <c r="DC889" s="64"/>
      <c r="DD889" s="64"/>
      <c r="DE889" s="64"/>
      <c r="DF889" s="64"/>
      <c r="DG889" s="64"/>
      <c r="DH889" s="64"/>
      <c r="DI889" s="64"/>
      <c r="DJ889" s="64"/>
      <c r="DK889" s="64"/>
      <c r="DL889" s="64"/>
      <c r="DM889" s="64"/>
      <c r="DN889" s="64"/>
      <c r="DO889" s="64"/>
      <c r="DP889" s="64"/>
      <c r="DQ889" s="64"/>
      <c r="DR889" s="64"/>
      <c r="DS889" s="64"/>
      <c r="DT889" s="64"/>
      <c r="DU889" s="64"/>
      <c r="DV889" s="64"/>
      <c r="DW889" s="64"/>
      <c r="DX889" s="64"/>
      <c r="DY889" s="64"/>
      <c r="DZ889" s="64"/>
      <c r="EA889" s="64"/>
      <c r="EB889" s="64"/>
      <c r="EC889" s="64"/>
      <c r="ED889" s="64"/>
    </row>
    <row r="890" spans="26:134" ht="15.75" customHeight="1">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c r="BU890" s="64"/>
      <c r="BV890" s="64"/>
      <c r="BW890" s="64"/>
      <c r="BX890" s="64"/>
      <c r="BY890" s="64"/>
      <c r="BZ890" s="64"/>
      <c r="CA890" s="64"/>
      <c r="CB890" s="64"/>
      <c r="CC890" s="64"/>
      <c r="CD890" s="64"/>
      <c r="CE890" s="64"/>
      <c r="CF890" s="64"/>
      <c r="CG890" s="64"/>
      <c r="CH890" s="64"/>
      <c r="CI890" s="64"/>
      <c r="CJ890" s="64"/>
      <c r="CK890" s="64"/>
      <c r="CL890" s="64"/>
      <c r="CM890" s="64"/>
      <c r="CN890" s="64"/>
      <c r="CO890" s="64"/>
      <c r="CP890" s="64"/>
      <c r="CQ890" s="64"/>
      <c r="CR890" s="64"/>
      <c r="CS890" s="64"/>
      <c r="CT890" s="64"/>
      <c r="CU890" s="64"/>
      <c r="CV890" s="64"/>
      <c r="CW890" s="64"/>
      <c r="CX890" s="64"/>
      <c r="CY890" s="64"/>
      <c r="CZ890" s="64"/>
      <c r="DA890" s="64"/>
      <c r="DB890" s="64"/>
      <c r="DC890" s="64"/>
      <c r="DD890" s="64"/>
      <c r="DE890" s="64"/>
      <c r="DF890" s="64"/>
      <c r="DG890" s="64"/>
      <c r="DH890" s="64"/>
      <c r="DI890" s="64"/>
      <c r="DJ890" s="64"/>
      <c r="DK890" s="64"/>
      <c r="DL890" s="64"/>
      <c r="DM890" s="64"/>
      <c r="DN890" s="64"/>
      <c r="DO890" s="64"/>
      <c r="DP890" s="64"/>
      <c r="DQ890" s="64"/>
      <c r="DR890" s="64"/>
      <c r="DS890" s="64"/>
      <c r="DT890" s="64"/>
      <c r="DU890" s="64"/>
      <c r="DV890" s="64"/>
      <c r="DW890" s="64"/>
      <c r="DX890" s="64"/>
      <c r="DY890" s="64"/>
      <c r="DZ890" s="64"/>
      <c r="EA890" s="64"/>
      <c r="EB890" s="64"/>
      <c r="EC890" s="64"/>
      <c r="ED890" s="64"/>
    </row>
    <row r="891" spans="26:134" ht="15.75" customHeight="1">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c r="BU891" s="64"/>
      <c r="BV891" s="64"/>
      <c r="BW891" s="64"/>
      <c r="BX891" s="64"/>
      <c r="BY891" s="64"/>
      <c r="BZ891" s="64"/>
      <c r="CA891" s="64"/>
      <c r="CB891" s="64"/>
      <c r="CC891" s="64"/>
      <c r="CD891" s="64"/>
      <c r="CE891" s="64"/>
      <c r="CF891" s="64"/>
      <c r="CG891" s="64"/>
      <c r="CH891" s="64"/>
      <c r="CI891" s="64"/>
      <c r="CJ891" s="64"/>
      <c r="CK891" s="64"/>
      <c r="CL891" s="64"/>
      <c r="CM891" s="64"/>
      <c r="CN891" s="64"/>
      <c r="CO891" s="64"/>
      <c r="CP891" s="64"/>
      <c r="CQ891" s="64"/>
      <c r="CR891" s="64"/>
      <c r="CS891" s="64"/>
      <c r="CT891" s="64"/>
      <c r="CU891" s="64"/>
      <c r="CV891" s="64"/>
      <c r="CW891" s="64"/>
      <c r="CX891" s="64"/>
      <c r="CY891" s="64"/>
      <c r="CZ891" s="64"/>
      <c r="DA891" s="64"/>
      <c r="DB891" s="64"/>
      <c r="DC891" s="64"/>
      <c r="DD891" s="64"/>
      <c r="DE891" s="64"/>
      <c r="DF891" s="64"/>
      <c r="DG891" s="64"/>
      <c r="DH891" s="64"/>
      <c r="DI891" s="64"/>
      <c r="DJ891" s="64"/>
      <c r="DK891" s="64"/>
      <c r="DL891" s="64"/>
      <c r="DM891" s="64"/>
      <c r="DN891" s="64"/>
      <c r="DO891" s="64"/>
      <c r="DP891" s="64"/>
      <c r="DQ891" s="64"/>
      <c r="DR891" s="64"/>
      <c r="DS891" s="64"/>
      <c r="DT891" s="64"/>
      <c r="DU891" s="64"/>
      <c r="DV891" s="64"/>
      <c r="DW891" s="64"/>
      <c r="DX891" s="64"/>
      <c r="DY891" s="64"/>
      <c r="DZ891" s="64"/>
      <c r="EA891" s="64"/>
      <c r="EB891" s="64"/>
      <c r="EC891" s="64"/>
      <c r="ED891" s="64"/>
    </row>
    <row r="892" spans="26:134" ht="15.75" customHeight="1">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c r="BU892" s="64"/>
      <c r="BV892" s="64"/>
      <c r="BW892" s="64"/>
      <c r="BX892" s="64"/>
      <c r="BY892" s="64"/>
      <c r="BZ892" s="64"/>
      <c r="CA892" s="64"/>
      <c r="CB892" s="64"/>
      <c r="CC892" s="64"/>
      <c r="CD892" s="64"/>
      <c r="CE892" s="64"/>
      <c r="CF892" s="64"/>
      <c r="CG892" s="64"/>
      <c r="CH892" s="64"/>
      <c r="CI892" s="64"/>
      <c r="CJ892" s="64"/>
      <c r="CK892" s="64"/>
      <c r="CL892" s="64"/>
      <c r="CM892" s="64"/>
      <c r="CN892" s="64"/>
      <c r="CO892" s="64"/>
      <c r="CP892" s="64"/>
      <c r="CQ892" s="64"/>
      <c r="CR892" s="64"/>
      <c r="CS892" s="64"/>
      <c r="CT892" s="64"/>
      <c r="CU892" s="64"/>
      <c r="CV892" s="64"/>
      <c r="CW892" s="64"/>
      <c r="CX892" s="64"/>
      <c r="CY892" s="64"/>
      <c r="CZ892" s="64"/>
      <c r="DA892" s="64"/>
      <c r="DB892" s="64"/>
      <c r="DC892" s="64"/>
      <c r="DD892" s="64"/>
      <c r="DE892" s="64"/>
      <c r="DF892" s="64"/>
      <c r="DG892" s="64"/>
      <c r="DH892" s="64"/>
      <c r="DI892" s="64"/>
      <c r="DJ892" s="64"/>
      <c r="DK892" s="64"/>
      <c r="DL892" s="64"/>
      <c r="DM892" s="64"/>
      <c r="DN892" s="64"/>
      <c r="DO892" s="64"/>
      <c r="DP892" s="64"/>
      <c r="DQ892" s="64"/>
      <c r="DR892" s="64"/>
      <c r="DS892" s="64"/>
      <c r="DT892" s="64"/>
      <c r="DU892" s="64"/>
      <c r="DV892" s="64"/>
      <c r="DW892" s="64"/>
      <c r="DX892" s="64"/>
      <c r="DY892" s="64"/>
      <c r="DZ892" s="64"/>
      <c r="EA892" s="64"/>
      <c r="EB892" s="64"/>
      <c r="EC892" s="64"/>
      <c r="ED892" s="64"/>
    </row>
    <row r="893" spans="26:134" ht="15.75" customHeight="1">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c r="BU893" s="64"/>
      <c r="BV893" s="64"/>
      <c r="BW893" s="64"/>
      <c r="BX893" s="64"/>
      <c r="BY893" s="64"/>
      <c r="BZ893" s="64"/>
      <c r="CA893" s="64"/>
      <c r="CB893" s="64"/>
      <c r="CC893" s="64"/>
      <c r="CD893" s="64"/>
      <c r="CE893" s="64"/>
      <c r="CF893" s="64"/>
      <c r="CG893" s="64"/>
      <c r="CH893" s="64"/>
      <c r="CI893" s="64"/>
      <c r="CJ893" s="64"/>
      <c r="CK893" s="64"/>
      <c r="CL893" s="64"/>
      <c r="CM893" s="64"/>
      <c r="CN893" s="64"/>
      <c r="CO893" s="64"/>
      <c r="CP893" s="64"/>
      <c r="CQ893" s="64"/>
      <c r="CR893" s="64"/>
      <c r="CS893" s="64"/>
      <c r="CT893" s="64"/>
      <c r="CU893" s="64"/>
      <c r="CV893" s="64"/>
      <c r="CW893" s="64"/>
      <c r="CX893" s="64"/>
      <c r="CY893" s="64"/>
      <c r="CZ893" s="64"/>
      <c r="DA893" s="64"/>
      <c r="DB893" s="64"/>
      <c r="DC893" s="64"/>
      <c r="DD893" s="64"/>
      <c r="DE893" s="64"/>
      <c r="DF893" s="64"/>
      <c r="DG893" s="64"/>
      <c r="DH893" s="64"/>
      <c r="DI893" s="64"/>
      <c r="DJ893" s="64"/>
      <c r="DK893" s="64"/>
      <c r="DL893" s="64"/>
      <c r="DM893" s="64"/>
      <c r="DN893" s="64"/>
      <c r="DO893" s="64"/>
      <c r="DP893" s="64"/>
      <c r="DQ893" s="64"/>
      <c r="DR893" s="64"/>
      <c r="DS893" s="64"/>
      <c r="DT893" s="64"/>
      <c r="DU893" s="64"/>
      <c r="DV893" s="64"/>
      <c r="DW893" s="64"/>
      <c r="DX893" s="64"/>
      <c r="DY893" s="64"/>
      <c r="DZ893" s="64"/>
      <c r="EA893" s="64"/>
      <c r="EB893" s="64"/>
      <c r="EC893" s="64"/>
      <c r="ED893" s="64"/>
    </row>
    <row r="894" spans="26:134" ht="15.75" customHeight="1">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c r="BU894" s="64"/>
      <c r="BV894" s="64"/>
      <c r="BW894" s="64"/>
      <c r="BX894" s="64"/>
      <c r="BY894" s="64"/>
      <c r="BZ894" s="64"/>
      <c r="CA894" s="64"/>
      <c r="CB894" s="64"/>
      <c r="CC894" s="64"/>
      <c r="CD894" s="64"/>
      <c r="CE894" s="64"/>
      <c r="CF894" s="64"/>
      <c r="CG894" s="64"/>
      <c r="CH894" s="64"/>
      <c r="CI894" s="64"/>
      <c r="CJ894" s="64"/>
      <c r="CK894" s="64"/>
      <c r="CL894" s="64"/>
      <c r="CM894" s="64"/>
      <c r="CN894" s="64"/>
      <c r="CO894" s="64"/>
      <c r="CP894" s="64"/>
      <c r="CQ894" s="64"/>
      <c r="CR894" s="64"/>
      <c r="CS894" s="64"/>
      <c r="CT894" s="64"/>
      <c r="CU894" s="64"/>
      <c r="CV894" s="64"/>
      <c r="CW894" s="64"/>
      <c r="CX894" s="64"/>
      <c r="CY894" s="64"/>
      <c r="CZ894" s="64"/>
      <c r="DA894" s="64"/>
      <c r="DB894" s="64"/>
      <c r="DC894" s="64"/>
      <c r="DD894" s="64"/>
      <c r="DE894" s="64"/>
      <c r="DF894" s="64"/>
      <c r="DG894" s="64"/>
      <c r="DH894" s="64"/>
      <c r="DI894" s="64"/>
      <c r="DJ894" s="64"/>
      <c r="DK894" s="64"/>
      <c r="DL894" s="64"/>
      <c r="DM894" s="64"/>
      <c r="DN894" s="64"/>
      <c r="DO894" s="64"/>
      <c r="DP894" s="64"/>
      <c r="DQ894" s="64"/>
      <c r="DR894" s="64"/>
      <c r="DS894" s="64"/>
      <c r="DT894" s="64"/>
      <c r="DU894" s="64"/>
      <c r="DV894" s="64"/>
      <c r="DW894" s="64"/>
      <c r="DX894" s="64"/>
      <c r="DY894" s="64"/>
      <c r="DZ894" s="64"/>
      <c r="EA894" s="64"/>
      <c r="EB894" s="64"/>
      <c r="EC894" s="64"/>
      <c r="ED894" s="64"/>
    </row>
    <row r="895" spans="26:134" ht="15.75" customHeight="1">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c r="BU895" s="64"/>
      <c r="BV895" s="64"/>
      <c r="BW895" s="64"/>
      <c r="BX895" s="64"/>
      <c r="BY895" s="64"/>
      <c r="BZ895" s="64"/>
      <c r="CA895" s="64"/>
      <c r="CB895" s="64"/>
      <c r="CC895" s="64"/>
      <c r="CD895" s="64"/>
      <c r="CE895" s="64"/>
      <c r="CF895" s="64"/>
      <c r="CG895" s="64"/>
      <c r="CH895" s="64"/>
      <c r="CI895" s="64"/>
      <c r="CJ895" s="64"/>
      <c r="CK895" s="64"/>
      <c r="CL895" s="64"/>
      <c r="CM895" s="64"/>
      <c r="CN895" s="64"/>
      <c r="CO895" s="64"/>
      <c r="CP895" s="64"/>
      <c r="CQ895" s="64"/>
      <c r="CR895" s="64"/>
      <c r="CS895" s="64"/>
      <c r="CT895" s="64"/>
      <c r="CU895" s="64"/>
      <c r="CV895" s="64"/>
      <c r="CW895" s="64"/>
      <c r="CX895" s="64"/>
      <c r="CY895" s="64"/>
      <c r="CZ895" s="64"/>
      <c r="DA895" s="64"/>
      <c r="DB895" s="64"/>
      <c r="DC895" s="64"/>
      <c r="DD895" s="64"/>
      <c r="DE895" s="64"/>
      <c r="DF895" s="64"/>
      <c r="DG895" s="64"/>
      <c r="DH895" s="64"/>
      <c r="DI895" s="64"/>
      <c r="DJ895" s="64"/>
      <c r="DK895" s="64"/>
      <c r="DL895" s="64"/>
      <c r="DM895" s="64"/>
      <c r="DN895" s="64"/>
      <c r="DO895" s="64"/>
      <c r="DP895" s="64"/>
      <c r="DQ895" s="64"/>
      <c r="DR895" s="64"/>
      <c r="DS895" s="64"/>
      <c r="DT895" s="64"/>
      <c r="DU895" s="64"/>
      <c r="DV895" s="64"/>
      <c r="DW895" s="64"/>
      <c r="DX895" s="64"/>
      <c r="DY895" s="64"/>
      <c r="DZ895" s="64"/>
      <c r="EA895" s="64"/>
      <c r="EB895" s="64"/>
      <c r="EC895" s="64"/>
      <c r="ED895" s="64"/>
    </row>
    <row r="896" spans="26:134" ht="15.75" customHeight="1">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c r="BU896" s="64"/>
      <c r="BV896" s="64"/>
      <c r="BW896" s="64"/>
      <c r="BX896" s="64"/>
      <c r="BY896" s="64"/>
      <c r="BZ896" s="64"/>
      <c r="CA896" s="64"/>
      <c r="CB896" s="64"/>
      <c r="CC896" s="64"/>
      <c r="CD896" s="64"/>
      <c r="CE896" s="64"/>
      <c r="CF896" s="64"/>
      <c r="CG896" s="64"/>
      <c r="CH896" s="64"/>
      <c r="CI896" s="64"/>
      <c r="CJ896" s="64"/>
      <c r="CK896" s="64"/>
      <c r="CL896" s="64"/>
      <c r="CM896" s="64"/>
      <c r="CN896" s="64"/>
      <c r="CO896" s="64"/>
      <c r="CP896" s="64"/>
      <c r="CQ896" s="64"/>
      <c r="CR896" s="64"/>
      <c r="CS896" s="64"/>
      <c r="CT896" s="64"/>
      <c r="CU896" s="64"/>
      <c r="CV896" s="64"/>
      <c r="CW896" s="64"/>
      <c r="CX896" s="64"/>
      <c r="CY896" s="64"/>
      <c r="CZ896" s="64"/>
      <c r="DA896" s="64"/>
      <c r="DB896" s="64"/>
      <c r="DC896" s="64"/>
      <c r="DD896" s="64"/>
      <c r="DE896" s="64"/>
      <c r="DF896" s="64"/>
      <c r="DG896" s="64"/>
      <c r="DH896" s="64"/>
      <c r="DI896" s="64"/>
      <c r="DJ896" s="64"/>
      <c r="DK896" s="64"/>
      <c r="DL896" s="64"/>
      <c r="DM896" s="64"/>
      <c r="DN896" s="64"/>
      <c r="DO896" s="64"/>
      <c r="DP896" s="64"/>
      <c r="DQ896" s="64"/>
      <c r="DR896" s="64"/>
      <c r="DS896" s="64"/>
      <c r="DT896" s="64"/>
      <c r="DU896" s="64"/>
      <c r="DV896" s="64"/>
      <c r="DW896" s="64"/>
      <c r="DX896" s="64"/>
      <c r="DY896" s="64"/>
      <c r="DZ896" s="64"/>
      <c r="EA896" s="64"/>
      <c r="EB896" s="64"/>
      <c r="EC896" s="64"/>
      <c r="ED896" s="64"/>
    </row>
    <row r="897" spans="26:134" ht="15.75" customHeight="1">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c r="BU897" s="64"/>
      <c r="BV897" s="64"/>
      <c r="BW897" s="64"/>
      <c r="BX897" s="64"/>
      <c r="BY897" s="64"/>
      <c r="BZ897" s="64"/>
      <c r="CA897" s="64"/>
      <c r="CB897" s="64"/>
      <c r="CC897" s="64"/>
      <c r="CD897" s="64"/>
      <c r="CE897" s="64"/>
      <c r="CF897" s="64"/>
      <c r="CG897" s="64"/>
      <c r="CH897" s="64"/>
      <c r="CI897" s="64"/>
      <c r="CJ897" s="64"/>
      <c r="CK897" s="64"/>
      <c r="CL897" s="64"/>
      <c r="CM897" s="64"/>
      <c r="CN897" s="64"/>
      <c r="CO897" s="64"/>
      <c r="CP897" s="64"/>
      <c r="CQ897" s="64"/>
      <c r="CR897" s="64"/>
      <c r="CS897" s="64"/>
      <c r="CT897" s="64"/>
      <c r="CU897" s="64"/>
      <c r="CV897" s="64"/>
      <c r="CW897" s="64"/>
      <c r="CX897" s="64"/>
      <c r="CY897" s="64"/>
      <c r="CZ897" s="64"/>
      <c r="DA897" s="64"/>
      <c r="DB897" s="64"/>
      <c r="DC897" s="64"/>
      <c r="DD897" s="64"/>
      <c r="DE897" s="64"/>
      <c r="DF897" s="64"/>
      <c r="DG897" s="64"/>
      <c r="DH897" s="64"/>
      <c r="DI897" s="64"/>
      <c r="DJ897" s="64"/>
      <c r="DK897" s="64"/>
      <c r="DL897" s="64"/>
      <c r="DM897" s="64"/>
      <c r="DN897" s="64"/>
      <c r="DO897" s="64"/>
      <c r="DP897" s="64"/>
      <c r="DQ897" s="64"/>
      <c r="DR897" s="64"/>
      <c r="DS897" s="64"/>
      <c r="DT897" s="64"/>
      <c r="DU897" s="64"/>
      <c r="DV897" s="64"/>
      <c r="DW897" s="64"/>
      <c r="DX897" s="64"/>
      <c r="DY897" s="64"/>
      <c r="DZ897" s="64"/>
      <c r="EA897" s="64"/>
      <c r="EB897" s="64"/>
      <c r="EC897" s="64"/>
      <c r="ED897" s="64"/>
    </row>
    <row r="898" spans="26:134" ht="15.75" customHeight="1">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c r="BU898" s="64"/>
      <c r="BV898" s="64"/>
      <c r="BW898" s="64"/>
      <c r="BX898" s="64"/>
      <c r="BY898" s="64"/>
      <c r="BZ898" s="64"/>
      <c r="CA898" s="64"/>
      <c r="CB898" s="64"/>
      <c r="CC898" s="64"/>
      <c r="CD898" s="64"/>
      <c r="CE898" s="64"/>
      <c r="CF898" s="64"/>
      <c r="CG898" s="64"/>
      <c r="CH898" s="64"/>
      <c r="CI898" s="64"/>
      <c r="CJ898" s="64"/>
      <c r="CK898" s="64"/>
      <c r="CL898" s="64"/>
      <c r="CM898" s="64"/>
      <c r="CN898" s="64"/>
      <c r="CO898" s="64"/>
      <c r="CP898" s="64"/>
      <c r="CQ898" s="64"/>
      <c r="CR898" s="64"/>
      <c r="CS898" s="64"/>
      <c r="CT898" s="64"/>
      <c r="CU898" s="64"/>
      <c r="CV898" s="64"/>
      <c r="CW898" s="64"/>
      <c r="CX898" s="64"/>
      <c r="CY898" s="64"/>
      <c r="CZ898" s="64"/>
      <c r="DA898" s="64"/>
      <c r="DB898" s="64"/>
      <c r="DC898" s="64"/>
      <c r="DD898" s="64"/>
      <c r="DE898" s="64"/>
      <c r="DF898" s="64"/>
      <c r="DG898" s="64"/>
      <c r="DH898" s="64"/>
      <c r="DI898" s="64"/>
      <c r="DJ898" s="64"/>
      <c r="DK898" s="64"/>
      <c r="DL898" s="64"/>
      <c r="DM898" s="64"/>
      <c r="DN898" s="64"/>
      <c r="DO898" s="64"/>
      <c r="DP898" s="64"/>
      <c r="DQ898" s="64"/>
      <c r="DR898" s="64"/>
      <c r="DS898" s="64"/>
      <c r="DT898" s="64"/>
      <c r="DU898" s="64"/>
      <c r="DV898" s="64"/>
      <c r="DW898" s="64"/>
      <c r="DX898" s="64"/>
      <c r="DY898" s="64"/>
      <c r="DZ898" s="64"/>
      <c r="EA898" s="64"/>
      <c r="EB898" s="64"/>
      <c r="EC898" s="64"/>
      <c r="ED898" s="64"/>
    </row>
    <row r="899" spans="26:134" ht="15.75" customHeight="1">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c r="BU899" s="64"/>
      <c r="BV899" s="64"/>
      <c r="BW899" s="64"/>
      <c r="BX899" s="64"/>
      <c r="BY899" s="64"/>
      <c r="BZ899" s="64"/>
      <c r="CA899" s="64"/>
      <c r="CB899" s="64"/>
      <c r="CC899" s="64"/>
      <c r="CD899" s="64"/>
      <c r="CE899" s="64"/>
      <c r="CF899" s="64"/>
      <c r="CG899" s="64"/>
      <c r="CH899" s="64"/>
      <c r="CI899" s="64"/>
      <c r="CJ899" s="64"/>
      <c r="CK899" s="64"/>
      <c r="CL899" s="64"/>
      <c r="CM899" s="64"/>
      <c r="CN899" s="64"/>
      <c r="CO899" s="64"/>
      <c r="CP899" s="64"/>
      <c r="CQ899" s="64"/>
      <c r="CR899" s="64"/>
      <c r="CS899" s="64"/>
      <c r="CT899" s="64"/>
      <c r="CU899" s="64"/>
      <c r="CV899" s="64"/>
      <c r="CW899" s="64"/>
      <c r="CX899" s="64"/>
      <c r="CY899" s="64"/>
      <c r="CZ899" s="64"/>
      <c r="DA899" s="64"/>
      <c r="DB899" s="64"/>
      <c r="DC899" s="64"/>
      <c r="DD899" s="64"/>
      <c r="DE899" s="64"/>
      <c r="DF899" s="64"/>
      <c r="DG899" s="64"/>
      <c r="DH899" s="64"/>
      <c r="DI899" s="64"/>
      <c r="DJ899" s="64"/>
      <c r="DK899" s="64"/>
      <c r="DL899" s="64"/>
      <c r="DM899" s="64"/>
      <c r="DN899" s="64"/>
      <c r="DO899" s="64"/>
      <c r="DP899" s="64"/>
      <c r="DQ899" s="64"/>
      <c r="DR899" s="64"/>
      <c r="DS899" s="64"/>
      <c r="DT899" s="64"/>
      <c r="DU899" s="64"/>
      <c r="DV899" s="64"/>
      <c r="DW899" s="64"/>
      <c r="DX899" s="64"/>
      <c r="DY899" s="64"/>
      <c r="DZ899" s="64"/>
      <c r="EA899" s="64"/>
      <c r="EB899" s="64"/>
      <c r="EC899" s="64"/>
      <c r="ED899" s="64"/>
    </row>
    <row r="900" spans="26:134" ht="15.75" customHeight="1">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c r="BU900" s="64"/>
      <c r="BV900" s="64"/>
      <c r="BW900" s="64"/>
      <c r="BX900" s="64"/>
      <c r="BY900" s="64"/>
      <c r="BZ900" s="64"/>
      <c r="CA900" s="64"/>
      <c r="CB900" s="64"/>
      <c r="CC900" s="64"/>
      <c r="CD900" s="64"/>
      <c r="CE900" s="64"/>
      <c r="CF900" s="64"/>
      <c r="CG900" s="64"/>
      <c r="CH900" s="64"/>
      <c r="CI900" s="64"/>
      <c r="CJ900" s="64"/>
      <c r="CK900" s="64"/>
      <c r="CL900" s="64"/>
      <c r="CM900" s="64"/>
      <c r="CN900" s="64"/>
      <c r="CO900" s="64"/>
      <c r="CP900" s="64"/>
      <c r="CQ900" s="64"/>
      <c r="CR900" s="64"/>
      <c r="CS900" s="64"/>
      <c r="CT900" s="64"/>
      <c r="CU900" s="64"/>
      <c r="CV900" s="64"/>
      <c r="CW900" s="64"/>
      <c r="CX900" s="64"/>
      <c r="CY900" s="64"/>
      <c r="CZ900" s="64"/>
      <c r="DA900" s="64"/>
      <c r="DB900" s="64"/>
      <c r="DC900" s="64"/>
      <c r="DD900" s="64"/>
      <c r="DE900" s="64"/>
      <c r="DF900" s="64"/>
      <c r="DG900" s="64"/>
      <c r="DH900" s="64"/>
      <c r="DI900" s="64"/>
      <c r="DJ900" s="64"/>
      <c r="DK900" s="64"/>
      <c r="DL900" s="64"/>
      <c r="DM900" s="64"/>
      <c r="DN900" s="64"/>
      <c r="DO900" s="64"/>
      <c r="DP900" s="64"/>
      <c r="DQ900" s="64"/>
      <c r="DR900" s="64"/>
      <c r="DS900" s="64"/>
      <c r="DT900" s="64"/>
      <c r="DU900" s="64"/>
      <c r="DV900" s="64"/>
      <c r="DW900" s="64"/>
      <c r="DX900" s="64"/>
      <c r="DY900" s="64"/>
      <c r="DZ900" s="64"/>
      <c r="EA900" s="64"/>
      <c r="EB900" s="64"/>
      <c r="EC900" s="64"/>
      <c r="ED900" s="64"/>
    </row>
    <row r="901" spans="26:134" ht="15.75" customHeight="1">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c r="BU901" s="64"/>
      <c r="BV901" s="64"/>
      <c r="BW901" s="64"/>
      <c r="BX901" s="64"/>
      <c r="BY901" s="64"/>
      <c r="BZ901" s="64"/>
      <c r="CA901" s="64"/>
      <c r="CB901" s="64"/>
      <c r="CC901" s="64"/>
      <c r="CD901" s="64"/>
      <c r="CE901" s="64"/>
      <c r="CF901" s="64"/>
      <c r="CG901" s="64"/>
      <c r="CH901" s="64"/>
      <c r="CI901" s="64"/>
      <c r="CJ901" s="64"/>
      <c r="CK901" s="64"/>
      <c r="CL901" s="64"/>
      <c r="CM901" s="64"/>
      <c r="CN901" s="64"/>
      <c r="CO901" s="64"/>
      <c r="CP901" s="64"/>
      <c r="CQ901" s="64"/>
      <c r="CR901" s="64"/>
      <c r="CS901" s="64"/>
      <c r="CT901" s="64"/>
      <c r="CU901" s="64"/>
      <c r="CV901" s="64"/>
      <c r="CW901" s="64"/>
      <c r="CX901" s="64"/>
      <c r="CY901" s="64"/>
      <c r="CZ901" s="64"/>
      <c r="DA901" s="64"/>
      <c r="DB901" s="64"/>
      <c r="DC901" s="64"/>
      <c r="DD901" s="64"/>
      <c r="DE901" s="64"/>
      <c r="DF901" s="64"/>
      <c r="DG901" s="64"/>
      <c r="DH901" s="64"/>
      <c r="DI901" s="64"/>
      <c r="DJ901" s="64"/>
      <c r="DK901" s="64"/>
      <c r="DL901" s="64"/>
      <c r="DM901" s="64"/>
      <c r="DN901" s="64"/>
      <c r="DO901" s="64"/>
      <c r="DP901" s="64"/>
      <c r="DQ901" s="64"/>
      <c r="DR901" s="64"/>
      <c r="DS901" s="64"/>
      <c r="DT901" s="64"/>
      <c r="DU901" s="64"/>
      <c r="DV901" s="64"/>
      <c r="DW901" s="64"/>
      <c r="DX901" s="64"/>
      <c r="DY901" s="64"/>
      <c r="DZ901" s="64"/>
      <c r="EA901" s="64"/>
      <c r="EB901" s="64"/>
      <c r="EC901" s="64"/>
      <c r="ED901" s="64"/>
    </row>
    <row r="902" spans="26:134" ht="15.75" customHeight="1">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c r="BU902" s="64"/>
      <c r="BV902" s="64"/>
      <c r="BW902" s="64"/>
      <c r="BX902" s="64"/>
      <c r="BY902" s="64"/>
      <c r="BZ902" s="64"/>
      <c r="CA902" s="64"/>
      <c r="CB902" s="64"/>
      <c r="CC902" s="64"/>
      <c r="CD902" s="64"/>
      <c r="CE902" s="64"/>
      <c r="CF902" s="64"/>
      <c r="CG902" s="64"/>
      <c r="CH902" s="64"/>
      <c r="CI902" s="64"/>
      <c r="CJ902" s="64"/>
      <c r="CK902" s="64"/>
      <c r="CL902" s="64"/>
      <c r="CM902" s="64"/>
      <c r="CN902" s="64"/>
      <c r="CO902" s="64"/>
      <c r="CP902" s="64"/>
      <c r="CQ902" s="64"/>
      <c r="CR902" s="64"/>
      <c r="CS902" s="64"/>
      <c r="CT902" s="64"/>
      <c r="CU902" s="64"/>
      <c r="CV902" s="64"/>
      <c r="CW902" s="64"/>
      <c r="CX902" s="64"/>
      <c r="CY902" s="64"/>
      <c r="CZ902" s="64"/>
      <c r="DA902" s="64"/>
      <c r="DB902" s="64"/>
      <c r="DC902" s="64"/>
      <c r="DD902" s="64"/>
      <c r="DE902" s="64"/>
      <c r="DF902" s="64"/>
      <c r="DG902" s="64"/>
      <c r="DH902" s="64"/>
      <c r="DI902" s="64"/>
      <c r="DJ902" s="64"/>
      <c r="DK902" s="64"/>
      <c r="DL902" s="64"/>
      <c r="DM902" s="64"/>
      <c r="DN902" s="64"/>
      <c r="DO902" s="64"/>
      <c r="DP902" s="64"/>
      <c r="DQ902" s="64"/>
      <c r="DR902" s="64"/>
      <c r="DS902" s="64"/>
      <c r="DT902" s="64"/>
      <c r="DU902" s="64"/>
      <c r="DV902" s="64"/>
      <c r="DW902" s="64"/>
      <c r="DX902" s="64"/>
      <c r="DY902" s="64"/>
      <c r="DZ902" s="64"/>
      <c r="EA902" s="64"/>
      <c r="EB902" s="64"/>
      <c r="EC902" s="64"/>
      <c r="ED902" s="64"/>
    </row>
    <row r="903" spans="26:134" ht="15.75" customHeight="1">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c r="BU903" s="64"/>
      <c r="BV903" s="64"/>
      <c r="BW903" s="64"/>
      <c r="BX903" s="64"/>
      <c r="BY903" s="64"/>
      <c r="BZ903" s="64"/>
      <c r="CA903" s="64"/>
      <c r="CB903" s="64"/>
      <c r="CC903" s="64"/>
      <c r="CD903" s="64"/>
      <c r="CE903" s="64"/>
      <c r="CF903" s="64"/>
      <c r="CG903" s="64"/>
      <c r="CH903" s="64"/>
      <c r="CI903" s="64"/>
      <c r="CJ903" s="64"/>
      <c r="CK903" s="64"/>
      <c r="CL903" s="64"/>
      <c r="CM903" s="64"/>
      <c r="CN903" s="64"/>
      <c r="CO903" s="64"/>
      <c r="CP903" s="64"/>
      <c r="CQ903" s="64"/>
      <c r="CR903" s="64"/>
      <c r="CS903" s="64"/>
      <c r="CT903" s="64"/>
      <c r="CU903" s="64"/>
      <c r="CV903" s="64"/>
      <c r="CW903" s="64"/>
      <c r="CX903" s="64"/>
      <c r="CY903" s="64"/>
      <c r="CZ903" s="64"/>
      <c r="DA903" s="64"/>
      <c r="DB903" s="64"/>
      <c r="DC903" s="64"/>
      <c r="DD903" s="64"/>
      <c r="DE903" s="64"/>
      <c r="DF903" s="64"/>
      <c r="DG903" s="64"/>
      <c r="DH903" s="64"/>
      <c r="DI903" s="64"/>
      <c r="DJ903" s="64"/>
      <c r="DK903" s="64"/>
      <c r="DL903" s="64"/>
      <c r="DM903" s="64"/>
      <c r="DN903" s="64"/>
      <c r="DO903" s="64"/>
      <c r="DP903" s="64"/>
      <c r="DQ903" s="64"/>
      <c r="DR903" s="64"/>
      <c r="DS903" s="64"/>
      <c r="DT903" s="64"/>
      <c r="DU903" s="64"/>
      <c r="DV903" s="64"/>
      <c r="DW903" s="64"/>
      <c r="DX903" s="64"/>
      <c r="DY903" s="64"/>
      <c r="DZ903" s="64"/>
      <c r="EA903" s="64"/>
      <c r="EB903" s="64"/>
      <c r="EC903" s="64"/>
      <c r="ED903" s="64"/>
    </row>
    <row r="904" spans="26:134" ht="15.75" customHeight="1">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c r="BU904" s="64"/>
      <c r="BV904" s="64"/>
      <c r="BW904" s="64"/>
      <c r="BX904" s="64"/>
      <c r="BY904" s="64"/>
      <c r="BZ904" s="64"/>
      <c r="CA904" s="64"/>
      <c r="CB904" s="64"/>
      <c r="CC904" s="64"/>
      <c r="CD904" s="64"/>
      <c r="CE904" s="64"/>
      <c r="CF904" s="64"/>
      <c r="CG904" s="64"/>
      <c r="CH904" s="64"/>
      <c r="CI904" s="64"/>
      <c r="CJ904" s="64"/>
      <c r="CK904" s="64"/>
      <c r="CL904" s="64"/>
      <c r="CM904" s="64"/>
      <c r="CN904" s="64"/>
      <c r="CO904" s="64"/>
      <c r="CP904" s="64"/>
      <c r="CQ904" s="64"/>
      <c r="CR904" s="64"/>
      <c r="CS904" s="64"/>
      <c r="CT904" s="64"/>
      <c r="CU904" s="64"/>
      <c r="CV904" s="64"/>
      <c r="CW904" s="64"/>
      <c r="CX904" s="64"/>
      <c r="CY904" s="64"/>
      <c r="CZ904" s="64"/>
      <c r="DA904" s="64"/>
      <c r="DB904" s="64"/>
      <c r="DC904" s="64"/>
      <c r="DD904" s="64"/>
      <c r="DE904" s="64"/>
      <c r="DF904" s="64"/>
      <c r="DG904" s="64"/>
      <c r="DH904" s="64"/>
      <c r="DI904" s="64"/>
      <c r="DJ904" s="64"/>
      <c r="DK904" s="64"/>
      <c r="DL904" s="64"/>
      <c r="DM904" s="64"/>
      <c r="DN904" s="64"/>
      <c r="DO904" s="64"/>
      <c r="DP904" s="64"/>
      <c r="DQ904" s="64"/>
      <c r="DR904" s="64"/>
      <c r="DS904" s="64"/>
      <c r="DT904" s="64"/>
      <c r="DU904" s="64"/>
      <c r="DV904" s="64"/>
      <c r="DW904" s="64"/>
      <c r="DX904" s="64"/>
      <c r="DY904" s="64"/>
      <c r="DZ904" s="64"/>
      <c r="EA904" s="64"/>
      <c r="EB904" s="64"/>
      <c r="EC904" s="64"/>
      <c r="ED904" s="64"/>
    </row>
    <row r="905" spans="26:134" ht="15.75" customHeight="1">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c r="BU905" s="64"/>
      <c r="BV905" s="64"/>
      <c r="BW905" s="64"/>
      <c r="BX905" s="64"/>
      <c r="BY905" s="64"/>
      <c r="BZ905" s="64"/>
      <c r="CA905" s="64"/>
      <c r="CB905" s="64"/>
      <c r="CC905" s="64"/>
      <c r="CD905" s="64"/>
      <c r="CE905" s="64"/>
      <c r="CF905" s="64"/>
      <c r="CG905" s="64"/>
      <c r="CH905" s="64"/>
      <c r="CI905" s="64"/>
      <c r="CJ905" s="64"/>
      <c r="CK905" s="64"/>
      <c r="CL905" s="64"/>
      <c r="CM905" s="64"/>
      <c r="CN905" s="64"/>
      <c r="CO905" s="64"/>
      <c r="CP905" s="64"/>
      <c r="CQ905" s="64"/>
      <c r="CR905" s="64"/>
      <c r="CS905" s="64"/>
      <c r="CT905" s="64"/>
      <c r="CU905" s="64"/>
      <c r="CV905" s="64"/>
      <c r="CW905" s="64"/>
      <c r="CX905" s="64"/>
      <c r="CY905" s="64"/>
      <c r="CZ905" s="64"/>
      <c r="DA905" s="64"/>
      <c r="DB905" s="64"/>
      <c r="DC905" s="64"/>
      <c r="DD905" s="64"/>
      <c r="DE905" s="64"/>
      <c r="DF905" s="64"/>
      <c r="DG905" s="64"/>
      <c r="DH905" s="64"/>
      <c r="DI905" s="64"/>
      <c r="DJ905" s="64"/>
      <c r="DK905" s="64"/>
      <c r="DL905" s="64"/>
      <c r="DM905" s="64"/>
      <c r="DN905" s="64"/>
      <c r="DO905" s="64"/>
      <c r="DP905" s="64"/>
      <c r="DQ905" s="64"/>
      <c r="DR905" s="64"/>
      <c r="DS905" s="64"/>
      <c r="DT905" s="64"/>
      <c r="DU905" s="64"/>
      <c r="DV905" s="64"/>
      <c r="DW905" s="64"/>
      <c r="DX905" s="64"/>
      <c r="DY905" s="64"/>
      <c r="DZ905" s="64"/>
      <c r="EA905" s="64"/>
      <c r="EB905" s="64"/>
      <c r="EC905" s="64"/>
      <c r="ED905" s="64"/>
    </row>
    <row r="906" spans="26:134" ht="15.75" customHeight="1">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c r="BU906" s="64"/>
      <c r="BV906" s="64"/>
      <c r="BW906" s="64"/>
      <c r="BX906" s="64"/>
      <c r="BY906" s="64"/>
      <c r="BZ906" s="64"/>
      <c r="CA906" s="64"/>
      <c r="CB906" s="64"/>
      <c r="CC906" s="64"/>
      <c r="CD906" s="64"/>
      <c r="CE906" s="64"/>
      <c r="CF906" s="64"/>
      <c r="CG906" s="64"/>
      <c r="CH906" s="64"/>
      <c r="CI906" s="64"/>
      <c r="CJ906" s="64"/>
      <c r="CK906" s="64"/>
      <c r="CL906" s="64"/>
      <c r="CM906" s="64"/>
      <c r="CN906" s="64"/>
      <c r="CO906" s="64"/>
      <c r="CP906" s="64"/>
      <c r="CQ906" s="64"/>
      <c r="CR906" s="64"/>
      <c r="CS906" s="64"/>
      <c r="CT906" s="64"/>
      <c r="CU906" s="64"/>
      <c r="CV906" s="64"/>
      <c r="CW906" s="64"/>
      <c r="CX906" s="64"/>
      <c r="CY906" s="64"/>
      <c r="CZ906" s="64"/>
      <c r="DA906" s="64"/>
      <c r="DB906" s="64"/>
      <c r="DC906" s="64"/>
      <c r="DD906" s="64"/>
      <c r="DE906" s="64"/>
      <c r="DF906" s="64"/>
      <c r="DG906" s="64"/>
      <c r="DH906" s="64"/>
      <c r="DI906" s="64"/>
      <c r="DJ906" s="64"/>
      <c r="DK906" s="64"/>
      <c r="DL906" s="64"/>
      <c r="DM906" s="64"/>
      <c r="DN906" s="64"/>
      <c r="DO906" s="64"/>
      <c r="DP906" s="64"/>
      <c r="DQ906" s="64"/>
      <c r="DR906" s="64"/>
      <c r="DS906" s="64"/>
      <c r="DT906" s="64"/>
      <c r="DU906" s="64"/>
      <c r="DV906" s="64"/>
      <c r="DW906" s="64"/>
      <c r="DX906" s="64"/>
      <c r="DY906" s="64"/>
      <c r="DZ906" s="64"/>
      <c r="EA906" s="64"/>
      <c r="EB906" s="64"/>
      <c r="EC906" s="64"/>
      <c r="ED906" s="64"/>
    </row>
    <row r="907" spans="26:134" ht="15.75" customHeight="1">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c r="BU907" s="64"/>
      <c r="BV907" s="64"/>
      <c r="BW907" s="64"/>
      <c r="BX907" s="64"/>
      <c r="BY907" s="64"/>
      <c r="BZ907" s="64"/>
      <c r="CA907" s="64"/>
      <c r="CB907" s="64"/>
      <c r="CC907" s="64"/>
      <c r="CD907" s="64"/>
      <c r="CE907" s="64"/>
      <c r="CF907" s="64"/>
      <c r="CG907" s="64"/>
      <c r="CH907" s="64"/>
      <c r="CI907" s="64"/>
      <c r="CJ907" s="64"/>
      <c r="CK907" s="64"/>
      <c r="CL907" s="64"/>
      <c r="CM907" s="64"/>
      <c r="CN907" s="64"/>
      <c r="CO907" s="64"/>
      <c r="CP907" s="64"/>
      <c r="CQ907" s="64"/>
      <c r="CR907" s="64"/>
      <c r="CS907" s="64"/>
      <c r="CT907" s="64"/>
      <c r="CU907" s="64"/>
      <c r="CV907" s="64"/>
      <c r="CW907" s="64"/>
      <c r="CX907" s="64"/>
      <c r="CY907" s="64"/>
      <c r="CZ907" s="64"/>
      <c r="DA907" s="64"/>
      <c r="DB907" s="64"/>
      <c r="DC907" s="64"/>
      <c r="DD907" s="64"/>
      <c r="DE907" s="64"/>
      <c r="DF907" s="64"/>
      <c r="DG907" s="64"/>
      <c r="DH907" s="64"/>
      <c r="DI907" s="64"/>
      <c r="DJ907" s="64"/>
      <c r="DK907" s="64"/>
      <c r="DL907" s="64"/>
      <c r="DM907" s="64"/>
      <c r="DN907" s="64"/>
      <c r="DO907" s="64"/>
      <c r="DP907" s="64"/>
      <c r="DQ907" s="64"/>
      <c r="DR907" s="64"/>
      <c r="DS907" s="64"/>
      <c r="DT907" s="64"/>
      <c r="DU907" s="64"/>
      <c r="DV907" s="64"/>
      <c r="DW907" s="64"/>
      <c r="DX907" s="64"/>
      <c r="DY907" s="64"/>
      <c r="DZ907" s="64"/>
      <c r="EA907" s="64"/>
      <c r="EB907" s="64"/>
      <c r="EC907" s="64"/>
      <c r="ED907" s="64"/>
    </row>
    <row r="908" spans="26:134" ht="15.75" customHeight="1">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c r="BU908" s="64"/>
      <c r="BV908" s="64"/>
      <c r="BW908" s="64"/>
      <c r="BX908" s="64"/>
      <c r="BY908" s="64"/>
      <c r="BZ908" s="64"/>
      <c r="CA908" s="64"/>
      <c r="CB908" s="64"/>
      <c r="CC908" s="64"/>
      <c r="CD908" s="64"/>
      <c r="CE908" s="64"/>
      <c r="CF908" s="64"/>
      <c r="CG908" s="64"/>
      <c r="CH908" s="64"/>
      <c r="CI908" s="64"/>
      <c r="CJ908" s="64"/>
      <c r="CK908" s="64"/>
      <c r="CL908" s="64"/>
      <c r="CM908" s="64"/>
      <c r="CN908" s="64"/>
      <c r="CO908" s="64"/>
      <c r="CP908" s="64"/>
      <c r="CQ908" s="64"/>
      <c r="CR908" s="64"/>
      <c r="CS908" s="64"/>
      <c r="CT908" s="64"/>
      <c r="CU908" s="64"/>
      <c r="CV908" s="64"/>
      <c r="CW908" s="64"/>
      <c r="CX908" s="64"/>
      <c r="CY908" s="64"/>
      <c r="CZ908" s="64"/>
      <c r="DA908" s="64"/>
      <c r="DB908" s="64"/>
      <c r="DC908" s="64"/>
      <c r="DD908" s="64"/>
      <c r="DE908" s="64"/>
      <c r="DF908" s="64"/>
      <c r="DG908" s="64"/>
      <c r="DH908" s="64"/>
      <c r="DI908" s="64"/>
      <c r="DJ908" s="64"/>
      <c r="DK908" s="64"/>
      <c r="DL908" s="64"/>
      <c r="DM908" s="64"/>
      <c r="DN908" s="64"/>
      <c r="DO908" s="64"/>
      <c r="DP908" s="64"/>
      <c r="DQ908" s="64"/>
      <c r="DR908" s="64"/>
      <c r="DS908" s="64"/>
      <c r="DT908" s="64"/>
      <c r="DU908" s="64"/>
      <c r="DV908" s="64"/>
      <c r="DW908" s="64"/>
      <c r="DX908" s="64"/>
      <c r="DY908" s="64"/>
      <c r="DZ908" s="64"/>
      <c r="EA908" s="64"/>
      <c r="EB908" s="64"/>
      <c r="EC908" s="64"/>
      <c r="ED908" s="64"/>
    </row>
    <row r="909" spans="26:134" ht="15.75" customHeight="1">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c r="BU909" s="64"/>
      <c r="BV909" s="64"/>
      <c r="BW909" s="64"/>
      <c r="BX909" s="64"/>
      <c r="BY909" s="64"/>
      <c r="BZ909" s="64"/>
      <c r="CA909" s="64"/>
      <c r="CB909" s="64"/>
      <c r="CC909" s="64"/>
      <c r="CD909" s="64"/>
      <c r="CE909" s="64"/>
      <c r="CF909" s="64"/>
      <c r="CG909" s="64"/>
      <c r="CH909" s="64"/>
      <c r="CI909" s="64"/>
      <c r="CJ909" s="64"/>
      <c r="CK909" s="64"/>
      <c r="CL909" s="64"/>
      <c r="CM909" s="64"/>
      <c r="CN909" s="64"/>
      <c r="CO909" s="64"/>
      <c r="CP909" s="64"/>
      <c r="CQ909" s="64"/>
      <c r="CR909" s="64"/>
      <c r="CS909" s="64"/>
      <c r="CT909" s="64"/>
      <c r="CU909" s="64"/>
      <c r="CV909" s="64"/>
      <c r="CW909" s="64"/>
      <c r="CX909" s="64"/>
      <c r="CY909" s="64"/>
      <c r="CZ909" s="64"/>
      <c r="DA909" s="64"/>
      <c r="DB909" s="64"/>
      <c r="DC909" s="64"/>
      <c r="DD909" s="64"/>
      <c r="DE909" s="64"/>
      <c r="DF909" s="64"/>
      <c r="DG909" s="64"/>
      <c r="DH909" s="64"/>
      <c r="DI909" s="64"/>
      <c r="DJ909" s="64"/>
      <c r="DK909" s="64"/>
      <c r="DL909" s="64"/>
      <c r="DM909" s="64"/>
      <c r="DN909" s="64"/>
      <c r="DO909" s="64"/>
      <c r="DP909" s="64"/>
      <c r="DQ909" s="64"/>
      <c r="DR909" s="64"/>
      <c r="DS909" s="64"/>
      <c r="DT909" s="64"/>
      <c r="DU909" s="64"/>
      <c r="DV909" s="64"/>
      <c r="DW909" s="64"/>
      <c r="DX909" s="64"/>
      <c r="DY909" s="64"/>
      <c r="DZ909" s="64"/>
      <c r="EA909" s="64"/>
      <c r="EB909" s="64"/>
      <c r="EC909" s="64"/>
      <c r="ED909" s="64"/>
    </row>
    <row r="910" spans="26:134" ht="15.75" customHeight="1">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c r="BU910" s="64"/>
      <c r="BV910" s="64"/>
      <c r="BW910" s="64"/>
      <c r="BX910" s="64"/>
      <c r="BY910" s="64"/>
      <c r="BZ910" s="64"/>
      <c r="CA910" s="64"/>
      <c r="CB910" s="64"/>
      <c r="CC910" s="64"/>
      <c r="CD910" s="64"/>
      <c r="CE910" s="64"/>
      <c r="CF910" s="64"/>
      <c r="CG910" s="64"/>
      <c r="CH910" s="64"/>
      <c r="CI910" s="64"/>
      <c r="CJ910" s="64"/>
      <c r="CK910" s="64"/>
      <c r="CL910" s="64"/>
      <c r="CM910" s="64"/>
      <c r="CN910" s="64"/>
      <c r="CO910" s="64"/>
      <c r="CP910" s="64"/>
      <c r="CQ910" s="64"/>
      <c r="CR910" s="64"/>
      <c r="CS910" s="64"/>
      <c r="CT910" s="64"/>
      <c r="CU910" s="64"/>
      <c r="CV910" s="64"/>
      <c r="CW910" s="64"/>
      <c r="CX910" s="64"/>
      <c r="CY910" s="64"/>
      <c r="CZ910" s="64"/>
      <c r="DA910" s="64"/>
      <c r="DB910" s="64"/>
      <c r="DC910" s="64"/>
      <c r="DD910" s="64"/>
      <c r="DE910" s="64"/>
      <c r="DF910" s="64"/>
      <c r="DG910" s="64"/>
      <c r="DH910" s="64"/>
      <c r="DI910" s="64"/>
      <c r="DJ910" s="64"/>
      <c r="DK910" s="64"/>
      <c r="DL910" s="64"/>
      <c r="DM910" s="64"/>
      <c r="DN910" s="64"/>
      <c r="DO910" s="64"/>
      <c r="DP910" s="64"/>
      <c r="DQ910" s="64"/>
      <c r="DR910" s="64"/>
      <c r="DS910" s="64"/>
      <c r="DT910" s="64"/>
      <c r="DU910" s="64"/>
      <c r="DV910" s="64"/>
      <c r="DW910" s="64"/>
      <c r="DX910" s="64"/>
      <c r="DY910" s="64"/>
      <c r="DZ910" s="64"/>
      <c r="EA910" s="64"/>
      <c r="EB910" s="64"/>
      <c r="EC910" s="64"/>
      <c r="ED910" s="64"/>
    </row>
    <row r="911" spans="26:134" ht="15.75" customHeight="1">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c r="BU911" s="64"/>
      <c r="BV911" s="64"/>
      <c r="BW911" s="64"/>
      <c r="BX911" s="64"/>
      <c r="BY911" s="64"/>
      <c r="BZ911" s="64"/>
      <c r="CA911" s="64"/>
      <c r="CB911" s="64"/>
      <c r="CC911" s="64"/>
      <c r="CD911" s="64"/>
      <c r="CE911" s="64"/>
      <c r="CF911" s="64"/>
      <c r="CG911" s="64"/>
      <c r="CH911" s="64"/>
      <c r="CI911" s="64"/>
      <c r="CJ911" s="64"/>
      <c r="CK911" s="64"/>
      <c r="CL911" s="64"/>
      <c r="CM911" s="64"/>
      <c r="CN911" s="64"/>
      <c r="CO911" s="64"/>
      <c r="CP911" s="64"/>
      <c r="CQ911" s="64"/>
      <c r="CR911" s="64"/>
      <c r="CS911" s="64"/>
      <c r="CT911" s="64"/>
      <c r="CU911" s="64"/>
      <c r="CV911" s="64"/>
      <c r="CW911" s="64"/>
      <c r="CX911" s="64"/>
      <c r="CY911" s="64"/>
      <c r="CZ911" s="64"/>
      <c r="DA911" s="64"/>
      <c r="DB911" s="64"/>
      <c r="DC911" s="64"/>
      <c r="DD911" s="64"/>
      <c r="DE911" s="64"/>
      <c r="DF911" s="64"/>
      <c r="DG911" s="64"/>
      <c r="DH911" s="64"/>
      <c r="DI911" s="64"/>
      <c r="DJ911" s="64"/>
      <c r="DK911" s="64"/>
      <c r="DL911" s="64"/>
      <c r="DM911" s="64"/>
      <c r="DN911" s="64"/>
      <c r="DO911" s="64"/>
      <c r="DP911" s="64"/>
      <c r="DQ911" s="64"/>
      <c r="DR911" s="64"/>
      <c r="DS911" s="64"/>
      <c r="DT911" s="64"/>
      <c r="DU911" s="64"/>
      <c r="DV911" s="64"/>
      <c r="DW911" s="64"/>
      <c r="DX911" s="64"/>
      <c r="DY911" s="64"/>
      <c r="DZ911" s="64"/>
      <c r="EA911" s="64"/>
      <c r="EB911" s="64"/>
      <c r="EC911" s="64"/>
      <c r="ED911" s="64"/>
    </row>
    <row r="912" spans="26:134" ht="15.75" customHeight="1">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c r="BU912" s="64"/>
      <c r="BV912" s="64"/>
      <c r="BW912" s="64"/>
      <c r="BX912" s="64"/>
      <c r="BY912" s="64"/>
      <c r="BZ912" s="64"/>
      <c r="CA912" s="64"/>
      <c r="CB912" s="64"/>
      <c r="CC912" s="64"/>
      <c r="CD912" s="64"/>
      <c r="CE912" s="64"/>
      <c r="CF912" s="64"/>
      <c r="CG912" s="64"/>
      <c r="CH912" s="64"/>
      <c r="CI912" s="64"/>
      <c r="CJ912" s="64"/>
      <c r="CK912" s="64"/>
      <c r="CL912" s="64"/>
      <c r="CM912" s="64"/>
      <c r="CN912" s="64"/>
      <c r="CO912" s="64"/>
      <c r="CP912" s="64"/>
      <c r="CQ912" s="64"/>
      <c r="CR912" s="64"/>
      <c r="CS912" s="64"/>
      <c r="CT912" s="64"/>
      <c r="CU912" s="64"/>
      <c r="CV912" s="64"/>
      <c r="CW912" s="64"/>
      <c r="CX912" s="64"/>
      <c r="CY912" s="64"/>
      <c r="CZ912" s="64"/>
      <c r="DA912" s="64"/>
      <c r="DB912" s="64"/>
      <c r="DC912" s="64"/>
      <c r="DD912" s="64"/>
      <c r="DE912" s="64"/>
      <c r="DF912" s="64"/>
      <c r="DG912" s="64"/>
      <c r="DH912" s="64"/>
      <c r="DI912" s="64"/>
      <c r="DJ912" s="64"/>
      <c r="DK912" s="64"/>
      <c r="DL912" s="64"/>
      <c r="DM912" s="64"/>
      <c r="DN912" s="64"/>
      <c r="DO912" s="64"/>
      <c r="DP912" s="64"/>
      <c r="DQ912" s="64"/>
      <c r="DR912" s="64"/>
      <c r="DS912" s="64"/>
      <c r="DT912" s="64"/>
      <c r="DU912" s="64"/>
      <c r="DV912" s="64"/>
      <c r="DW912" s="64"/>
      <c r="DX912" s="64"/>
      <c r="DY912" s="64"/>
      <c r="DZ912" s="64"/>
      <c r="EA912" s="64"/>
      <c r="EB912" s="64"/>
      <c r="EC912" s="64"/>
      <c r="ED912" s="64"/>
    </row>
    <row r="913" spans="26:134" ht="15.75" customHeight="1">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c r="BU913" s="64"/>
      <c r="BV913" s="64"/>
      <c r="BW913" s="64"/>
      <c r="BX913" s="64"/>
      <c r="BY913" s="64"/>
      <c r="BZ913" s="64"/>
      <c r="CA913" s="64"/>
      <c r="CB913" s="64"/>
      <c r="CC913" s="64"/>
      <c r="CD913" s="64"/>
      <c r="CE913" s="64"/>
      <c r="CF913" s="64"/>
      <c r="CG913" s="64"/>
      <c r="CH913" s="64"/>
      <c r="CI913" s="64"/>
      <c r="CJ913" s="64"/>
      <c r="CK913" s="64"/>
      <c r="CL913" s="64"/>
      <c r="CM913" s="64"/>
      <c r="CN913" s="64"/>
      <c r="CO913" s="64"/>
      <c r="CP913" s="64"/>
      <c r="CQ913" s="64"/>
      <c r="CR913" s="64"/>
      <c r="CS913" s="64"/>
      <c r="CT913" s="64"/>
      <c r="CU913" s="64"/>
      <c r="CV913" s="64"/>
      <c r="CW913" s="64"/>
      <c r="CX913" s="64"/>
      <c r="CY913" s="64"/>
      <c r="CZ913" s="64"/>
      <c r="DA913" s="64"/>
      <c r="DB913" s="64"/>
      <c r="DC913" s="64"/>
      <c r="DD913" s="64"/>
      <c r="DE913" s="64"/>
      <c r="DF913" s="64"/>
      <c r="DG913" s="64"/>
      <c r="DH913" s="64"/>
      <c r="DI913" s="64"/>
      <c r="DJ913" s="64"/>
      <c r="DK913" s="64"/>
      <c r="DL913" s="64"/>
      <c r="DM913" s="64"/>
      <c r="DN913" s="64"/>
      <c r="DO913" s="64"/>
      <c r="DP913" s="64"/>
      <c r="DQ913" s="64"/>
      <c r="DR913" s="64"/>
      <c r="DS913" s="64"/>
      <c r="DT913" s="64"/>
      <c r="DU913" s="64"/>
      <c r="DV913" s="64"/>
      <c r="DW913" s="64"/>
      <c r="DX913" s="64"/>
      <c r="DY913" s="64"/>
      <c r="DZ913" s="64"/>
      <c r="EA913" s="64"/>
      <c r="EB913" s="64"/>
      <c r="EC913" s="64"/>
      <c r="ED913" s="64"/>
    </row>
    <row r="914" spans="26:134" ht="15.75" customHeight="1">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c r="BU914" s="64"/>
      <c r="BV914" s="64"/>
      <c r="BW914" s="64"/>
      <c r="BX914" s="64"/>
      <c r="BY914" s="64"/>
      <c r="BZ914" s="64"/>
      <c r="CA914" s="64"/>
      <c r="CB914" s="64"/>
      <c r="CC914" s="64"/>
      <c r="CD914" s="64"/>
      <c r="CE914" s="64"/>
      <c r="CF914" s="64"/>
      <c r="CG914" s="64"/>
      <c r="CH914" s="64"/>
      <c r="CI914" s="64"/>
      <c r="CJ914" s="64"/>
      <c r="CK914" s="64"/>
      <c r="CL914" s="64"/>
      <c r="CM914" s="64"/>
      <c r="CN914" s="64"/>
      <c r="CO914" s="64"/>
      <c r="CP914" s="64"/>
      <c r="CQ914" s="64"/>
      <c r="CR914" s="64"/>
      <c r="CS914" s="64"/>
      <c r="CT914" s="64"/>
      <c r="CU914" s="64"/>
      <c r="CV914" s="64"/>
      <c r="CW914" s="64"/>
      <c r="CX914" s="64"/>
      <c r="CY914" s="64"/>
      <c r="CZ914" s="64"/>
      <c r="DA914" s="64"/>
      <c r="DB914" s="64"/>
      <c r="DC914" s="64"/>
      <c r="DD914" s="64"/>
      <c r="DE914" s="64"/>
      <c r="DF914" s="64"/>
      <c r="DG914" s="64"/>
      <c r="DH914" s="64"/>
      <c r="DI914" s="64"/>
      <c r="DJ914" s="64"/>
      <c r="DK914" s="64"/>
      <c r="DL914" s="64"/>
      <c r="DM914" s="64"/>
      <c r="DN914" s="64"/>
      <c r="DO914" s="64"/>
      <c r="DP914" s="64"/>
      <c r="DQ914" s="64"/>
      <c r="DR914" s="64"/>
      <c r="DS914" s="64"/>
      <c r="DT914" s="64"/>
      <c r="DU914" s="64"/>
      <c r="DV914" s="64"/>
      <c r="DW914" s="64"/>
      <c r="DX914" s="64"/>
      <c r="DY914" s="64"/>
      <c r="DZ914" s="64"/>
      <c r="EA914" s="64"/>
      <c r="EB914" s="64"/>
      <c r="EC914" s="64"/>
      <c r="ED914" s="64"/>
    </row>
    <row r="915" spans="26:134" ht="15.75" customHeight="1">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c r="BU915" s="64"/>
      <c r="BV915" s="64"/>
      <c r="BW915" s="64"/>
      <c r="BX915" s="64"/>
      <c r="BY915" s="64"/>
      <c r="BZ915" s="64"/>
      <c r="CA915" s="64"/>
      <c r="CB915" s="64"/>
      <c r="CC915" s="64"/>
      <c r="CD915" s="64"/>
      <c r="CE915" s="64"/>
      <c r="CF915" s="64"/>
      <c r="CG915" s="64"/>
      <c r="CH915" s="64"/>
      <c r="CI915" s="64"/>
      <c r="CJ915" s="64"/>
      <c r="CK915" s="64"/>
      <c r="CL915" s="64"/>
      <c r="CM915" s="64"/>
      <c r="CN915" s="64"/>
      <c r="CO915" s="64"/>
      <c r="CP915" s="64"/>
      <c r="CQ915" s="64"/>
      <c r="CR915" s="64"/>
      <c r="CS915" s="64"/>
      <c r="CT915" s="64"/>
      <c r="CU915" s="64"/>
      <c r="CV915" s="64"/>
      <c r="CW915" s="64"/>
      <c r="CX915" s="64"/>
      <c r="CY915" s="64"/>
      <c r="CZ915" s="64"/>
      <c r="DA915" s="64"/>
      <c r="DB915" s="64"/>
      <c r="DC915" s="64"/>
      <c r="DD915" s="64"/>
      <c r="DE915" s="64"/>
      <c r="DF915" s="64"/>
      <c r="DG915" s="64"/>
      <c r="DH915" s="64"/>
      <c r="DI915" s="64"/>
      <c r="DJ915" s="64"/>
      <c r="DK915" s="64"/>
      <c r="DL915" s="64"/>
      <c r="DM915" s="64"/>
      <c r="DN915" s="64"/>
      <c r="DO915" s="64"/>
      <c r="DP915" s="64"/>
      <c r="DQ915" s="64"/>
      <c r="DR915" s="64"/>
      <c r="DS915" s="64"/>
      <c r="DT915" s="64"/>
      <c r="DU915" s="64"/>
      <c r="DV915" s="64"/>
      <c r="DW915" s="64"/>
      <c r="DX915" s="64"/>
      <c r="DY915" s="64"/>
      <c r="DZ915" s="64"/>
      <c r="EA915" s="64"/>
      <c r="EB915" s="64"/>
      <c r="EC915" s="64"/>
      <c r="ED915" s="64"/>
    </row>
    <row r="916" spans="26:134" ht="15.75" customHeight="1">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c r="BU916" s="64"/>
      <c r="BV916" s="64"/>
      <c r="BW916" s="64"/>
      <c r="BX916" s="64"/>
      <c r="BY916" s="64"/>
      <c r="BZ916" s="64"/>
      <c r="CA916" s="64"/>
      <c r="CB916" s="64"/>
      <c r="CC916" s="64"/>
      <c r="CD916" s="64"/>
      <c r="CE916" s="64"/>
      <c r="CF916" s="64"/>
      <c r="CG916" s="64"/>
      <c r="CH916" s="64"/>
      <c r="CI916" s="64"/>
      <c r="CJ916" s="64"/>
      <c r="CK916" s="64"/>
      <c r="CL916" s="64"/>
      <c r="CM916" s="64"/>
      <c r="CN916" s="64"/>
      <c r="CO916" s="64"/>
      <c r="CP916" s="64"/>
      <c r="CQ916" s="64"/>
      <c r="CR916" s="64"/>
      <c r="CS916" s="64"/>
      <c r="CT916" s="64"/>
      <c r="CU916" s="64"/>
      <c r="CV916" s="64"/>
      <c r="CW916" s="64"/>
      <c r="CX916" s="64"/>
      <c r="CY916" s="64"/>
      <c r="CZ916" s="64"/>
      <c r="DA916" s="64"/>
      <c r="DB916" s="64"/>
      <c r="DC916" s="64"/>
      <c r="DD916" s="64"/>
      <c r="DE916" s="64"/>
      <c r="DF916" s="64"/>
      <c r="DG916" s="64"/>
      <c r="DH916" s="64"/>
      <c r="DI916" s="64"/>
      <c r="DJ916" s="64"/>
      <c r="DK916" s="64"/>
      <c r="DL916" s="64"/>
      <c r="DM916" s="64"/>
      <c r="DN916" s="64"/>
      <c r="DO916" s="64"/>
      <c r="DP916" s="64"/>
      <c r="DQ916" s="64"/>
      <c r="DR916" s="64"/>
      <c r="DS916" s="64"/>
      <c r="DT916" s="64"/>
      <c r="DU916" s="64"/>
      <c r="DV916" s="64"/>
      <c r="DW916" s="64"/>
      <c r="DX916" s="64"/>
      <c r="DY916" s="64"/>
      <c r="DZ916" s="64"/>
      <c r="EA916" s="64"/>
      <c r="EB916" s="64"/>
      <c r="EC916" s="64"/>
      <c r="ED916" s="64"/>
    </row>
    <row r="917" spans="26:134" ht="15.75" customHeight="1">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c r="BU917" s="64"/>
      <c r="BV917" s="64"/>
      <c r="BW917" s="64"/>
      <c r="BX917" s="64"/>
      <c r="BY917" s="64"/>
      <c r="BZ917" s="64"/>
      <c r="CA917" s="64"/>
      <c r="CB917" s="64"/>
      <c r="CC917" s="64"/>
      <c r="CD917" s="64"/>
      <c r="CE917" s="64"/>
      <c r="CF917" s="64"/>
      <c r="CG917" s="64"/>
      <c r="CH917" s="64"/>
      <c r="CI917" s="64"/>
      <c r="CJ917" s="64"/>
      <c r="CK917" s="64"/>
      <c r="CL917" s="64"/>
      <c r="CM917" s="64"/>
      <c r="CN917" s="64"/>
      <c r="CO917" s="64"/>
      <c r="CP917" s="64"/>
      <c r="CQ917" s="64"/>
      <c r="CR917" s="64"/>
      <c r="CS917" s="64"/>
      <c r="CT917" s="64"/>
      <c r="CU917" s="64"/>
      <c r="CV917" s="64"/>
      <c r="CW917" s="64"/>
      <c r="CX917" s="64"/>
      <c r="CY917" s="64"/>
      <c r="CZ917" s="64"/>
      <c r="DA917" s="64"/>
      <c r="DB917" s="64"/>
      <c r="DC917" s="64"/>
      <c r="DD917" s="64"/>
      <c r="DE917" s="64"/>
      <c r="DF917" s="64"/>
      <c r="DG917" s="64"/>
      <c r="DH917" s="64"/>
      <c r="DI917" s="64"/>
      <c r="DJ917" s="64"/>
      <c r="DK917" s="64"/>
      <c r="DL917" s="64"/>
      <c r="DM917" s="64"/>
      <c r="DN917" s="64"/>
      <c r="DO917" s="64"/>
      <c r="DP917" s="64"/>
      <c r="DQ917" s="64"/>
      <c r="DR917" s="64"/>
      <c r="DS917" s="64"/>
      <c r="DT917" s="64"/>
      <c r="DU917" s="64"/>
      <c r="DV917" s="64"/>
      <c r="DW917" s="64"/>
      <c r="DX917" s="64"/>
      <c r="DY917" s="64"/>
      <c r="DZ917" s="64"/>
      <c r="EA917" s="64"/>
      <c r="EB917" s="64"/>
      <c r="EC917" s="64"/>
      <c r="ED917" s="64"/>
    </row>
    <row r="918" spans="26:134" ht="15.75" customHeight="1">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c r="BU918" s="64"/>
      <c r="BV918" s="64"/>
      <c r="BW918" s="64"/>
      <c r="BX918" s="64"/>
      <c r="BY918" s="64"/>
      <c r="BZ918" s="64"/>
      <c r="CA918" s="64"/>
      <c r="CB918" s="64"/>
      <c r="CC918" s="64"/>
      <c r="CD918" s="64"/>
      <c r="CE918" s="64"/>
      <c r="CF918" s="64"/>
      <c r="CG918" s="64"/>
      <c r="CH918" s="64"/>
      <c r="CI918" s="64"/>
      <c r="CJ918" s="64"/>
      <c r="CK918" s="64"/>
      <c r="CL918" s="64"/>
      <c r="CM918" s="64"/>
      <c r="CN918" s="64"/>
      <c r="CO918" s="64"/>
      <c r="CP918" s="64"/>
      <c r="CQ918" s="64"/>
      <c r="CR918" s="64"/>
      <c r="CS918" s="64"/>
      <c r="CT918" s="64"/>
      <c r="CU918" s="64"/>
      <c r="CV918" s="64"/>
      <c r="CW918" s="64"/>
      <c r="CX918" s="64"/>
      <c r="CY918" s="64"/>
      <c r="CZ918" s="64"/>
      <c r="DA918" s="64"/>
      <c r="DB918" s="64"/>
      <c r="DC918" s="64"/>
      <c r="DD918" s="64"/>
      <c r="DE918" s="64"/>
      <c r="DF918" s="64"/>
      <c r="DG918" s="64"/>
      <c r="DH918" s="64"/>
      <c r="DI918" s="64"/>
      <c r="DJ918" s="64"/>
      <c r="DK918" s="64"/>
      <c r="DL918" s="64"/>
      <c r="DM918" s="64"/>
      <c r="DN918" s="64"/>
      <c r="DO918" s="64"/>
      <c r="DP918" s="64"/>
      <c r="DQ918" s="64"/>
      <c r="DR918" s="64"/>
      <c r="DS918" s="64"/>
      <c r="DT918" s="64"/>
      <c r="DU918" s="64"/>
      <c r="DV918" s="64"/>
      <c r="DW918" s="64"/>
      <c r="DX918" s="64"/>
      <c r="DY918" s="64"/>
      <c r="DZ918" s="64"/>
      <c r="EA918" s="64"/>
      <c r="EB918" s="64"/>
      <c r="EC918" s="64"/>
      <c r="ED918" s="64"/>
    </row>
    <row r="919" spans="26:134" ht="15.75" customHeight="1">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c r="BU919" s="64"/>
      <c r="BV919" s="64"/>
      <c r="BW919" s="64"/>
      <c r="BX919" s="64"/>
      <c r="BY919" s="64"/>
      <c r="BZ919" s="64"/>
      <c r="CA919" s="64"/>
      <c r="CB919" s="64"/>
      <c r="CC919" s="64"/>
      <c r="CD919" s="64"/>
      <c r="CE919" s="64"/>
      <c r="CF919" s="64"/>
      <c r="CG919" s="64"/>
      <c r="CH919" s="64"/>
      <c r="CI919" s="64"/>
      <c r="CJ919" s="64"/>
      <c r="CK919" s="64"/>
      <c r="CL919" s="64"/>
      <c r="CM919" s="64"/>
      <c r="CN919" s="64"/>
      <c r="CO919" s="64"/>
      <c r="CP919" s="64"/>
      <c r="CQ919" s="64"/>
      <c r="CR919" s="64"/>
      <c r="CS919" s="64"/>
      <c r="CT919" s="64"/>
      <c r="CU919" s="64"/>
      <c r="CV919" s="64"/>
      <c r="CW919" s="64"/>
      <c r="CX919" s="64"/>
      <c r="CY919" s="64"/>
      <c r="CZ919" s="64"/>
      <c r="DA919" s="64"/>
      <c r="DB919" s="64"/>
      <c r="DC919" s="64"/>
      <c r="DD919" s="64"/>
      <c r="DE919" s="64"/>
      <c r="DF919" s="64"/>
      <c r="DG919" s="64"/>
      <c r="DH919" s="64"/>
      <c r="DI919" s="64"/>
      <c r="DJ919" s="64"/>
      <c r="DK919" s="64"/>
      <c r="DL919" s="64"/>
      <c r="DM919" s="64"/>
      <c r="DN919" s="64"/>
      <c r="DO919" s="64"/>
      <c r="DP919" s="64"/>
      <c r="DQ919" s="64"/>
      <c r="DR919" s="64"/>
      <c r="DS919" s="64"/>
      <c r="DT919" s="64"/>
      <c r="DU919" s="64"/>
      <c r="DV919" s="64"/>
      <c r="DW919" s="64"/>
      <c r="DX919" s="64"/>
      <c r="DY919" s="64"/>
      <c r="DZ919" s="64"/>
      <c r="EA919" s="64"/>
      <c r="EB919" s="64"/>
      <c r="EC919" s="64"/>
      <c r="ED919" s="64"/>
    </row>
    <row r="920" spans="26:134" ht="15.75" customHeight="1">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c r="BU920" s="64"/>
      <c r="BV920" s="64"/>
      <c r="BW920" s="64"/>
      <c r="BX920" s="64"/>
      <c r="BY920" s="64"/>
      <c r="BZ920" s="64"/>
      <c r="CA920" s="64"/>
      <c r="CB920" s="64"/>
      <c r="CC920" s="64"/>
      <c r="CD920" s="64"/>
      <c r="CE920" s="64"/>
      <c r="CF920" s="64"/>
      <c r="CG920" s="64"/>
      <c r="CH920" s="64"/>
      <c r="CI920" s="64"/>
      <c r="CJ920" s="64"/>
      <c r="CK920" s="64"/>
      <c r="CL920" s="64"/>
      <c r="CM920" s="64"/>
      <c r="CN920" s="64"/>
      <c r="CO920" s="64"/>
      <c r="CP920" s="64"/>
      <c r="CQ920" s="64"/>
      <c r="CR920" s="64"/>
      <c r="CS920" s="64"/>
      <c r="CT920" s="64"/>
      <c r="CU920" s="64"/>
      <c r="CV920" s="64"/>
      <c r="CW920" s="64"/>
      <c r="CX920" s="64"/>
      <c r="CY920" s="64"/>
      <c r="CZ920" s="64"/>
      <c r="DA920" s="64"/>
      <c r="DB920" s="64"/>
      <c r="DC920" s="64"/>
      <c r="DD920" s="64"/>
      <c r="DE920" s="64"/>
      <c r="DF920" s="64"/>
      <c r="DG920" s="64"/>
      <c r="DH920" s="64"/>
      <c r="DI920" s="64"/>
      <c r="DJ920" s="64"/>
      <c r="DK920" s="64"/>
      <c r="DL920" s="64"/>
      <c r="DM920" s="64"/>
      <c r="DN920" s="64"/>
      <c r="DO920" s="64"/>
      <c r="DP920" s="64"/>
      <c r="DQ920" s="64"/>
      <c r="DR920" s="64"/>
      <c r="DS920" s="64"/>
      <c r="DT920" s="64"/>
      <c r="DU920" s="64"/>
      <c r="DV920" s="64"/>
      <c r="DW920" s="64"/>
      <c r="DX920" s="64"/>
      <c r="DY920" s="64"/>
      <c r="DZ920" s="64"/>
      <c r="EA920" s="64"/>
      <c r="EB920" s="64"/>
      <c r="EC920" s="64"/>
      <c r="ED920" s="64"/>
    </row>
    <row r="921" spans="26:134" ht="15.75" customHeight="1">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c r="BU921" s="64"/>
      <c r="BV921" s="64"/>
      <c r="BW921" s="64"/>
      <c r="BX921" s="64"/>
      <c r="BY921" s="64"/>
      <c r="BZ921" s="64"/>
      <c r="CA921" s="64"/>
      <c r="CB921" s="64"/>
      <c r="CC921" s="64"/>
      <c r="CD921" s="64"/>
      <c r="CE921" s="64"/>
      <c r="CF921" s="64"/>
      <c r="CG921" s="64"/>
      <c r="CH921" s="64"/>
      <c r="CI921" s="64"/>
      <c r="CJ921" s="64"/>
      <c r="CK921" s="64"/>
      <c r="CL921" s="64"/>
      <c r="CM921" s="64"/>
      <c r="CN921" s="64"/>
      <c r="CO921" s="64"/>
      <c r="CP921" s="64"/>
      <c r="CQ921" s="64"/>
      <c r="CR921" s="64"/>
      <c r="CS921" s="64"/>
      <c r="CT921" s="64"/>
      <c r="CU921" s="64"/>
      <c r="CV921" s="64"/>
      <c r="CW921" s="64"/>
      <c r="CX921" s="64"/>
      <c r="CY921" s="64"/>
      <c r="CZ921" s="64"/>
      <c r="DA921" s="64"/>
      <c r="DB921" s="64"/>
      <c r="DC921" s="64"/>
      <c r="DD921" s="64"/>
      <c r="DE921" s="64"/>
      <c r="DF921" s="64"/>
      <c r="DG921" s="64"/>
      <c r="DH921" s="64"/>
      <c r="DI921" s="64"/>
      <c r="DJ921" s="64"/>
      <c r="DK921" s="64"/>
      <c r="DL921" s="64"/>
      <c r="DM921" s="64"/>
      <c r="DN921" s="64"/>
      <c r="DO921" s="64"/>
      <c r="DP921" s="64"/>
      <c r="DQ921" s="64"/>
      <c r="DR921" s="64"/>
      <c r="DS921" s="64"/>
      <c r="DT921" s="64"/>
      <c r="DU921" s="64"/>
      <c r="DV921" s="64"/>
      <c r="DW921" s="64"/>
      <c r="DX921" s="64"/>
      <c r="DY921" s="64"/>
      <c r="DZ921" s="64"/>
      <c r="EA921" s="64"/>
      <c r="EB921" s="64"/>
      <c r="EC921" s="64"/>
      <c r="ED921" s="64"/>
    </row>
    <row r="922" spans="26:134" ht="15.75" customHeight="1">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c r="BU922" s="64"/>
      <c r="BV922" s="64"/>
      <c r="BW922" s="64"/>
      <c r="BX922" s="64"/>
      <c r="BY922" s="64"/>
      <c r="BZ922" s="64"/>
      <c r="CA922" s="64"/>
      <c r="CB922" s="64"/>
      <c r="CC922" s="64"/>
      <c r="CD922" s="64"/>
      <c r="CE922" s="64"/>
      <c r="CF922" s="64"/>
      <c r="CG922" s="64"/>
      <c r="CH922" s="64"/>
      <c r="CI922" s="64"/>
      <c r="CJ922" s="64"/>
      <c r="CK922" s="64"/>
      <c r="CL922" s="64"/>
      <c r="CM922" s="64"/>
      <c r="CN922" s="64"/>
      <c r="CO922" s="64"/>
      <c r="CP922" s="64"/>
      <c r="CQ922" s="64"/>
      <c r="CR922" s="64"/>
      <c r="CS922" s="64"/>
      <c r="CT922" s="64"/>
      <c r="CU922" s="64"/>
      <c r="CV922" s="64"/>
      <c r="CW922" s="64"/>
      <c r="CX922" s="64"/>
      <c r="CY922" s="64"/>
      <c r="CZ922" s="64"/>
      <c r="DA922" s="64"/>
      <c r="DB922" s="64"/>
      <c r="DC922" s="64"/>
      <c r="DD922" s="64"/>
      <c r="DE922" s="64"/>
      <c r="DF922" s="64"/>
      <c r="DG922" s="64"/>
      <c r="DH922" s="64"/>
      <c r="DI922" s="64"/>
      <c r="DJ922" s="64"/>
      <c r="DK922" s="64"/>
      <c r="DL922" s="64"/>
      <c r="DM922" s="64"/>
      <c r="DN922" s="64"/>
      <c r="DO922" s="64"/>
      <c r="DP922" s="64"/>
      <c r="DQ922" s="64"/>
      <c r="DR922" s="64"/>
      <c r="DS922" s="64"/>
      <c r="DT922" s="64"/>
      <c r="DU922" s="64"/>
      <c r="DV922" s="64"/>
      <c r="DW922" s="64"/>
      <c r="DX922" s="64"/>
      <c r="DY922" s="64"/>
      <c r="DZ922" s="64"/>
      <c r="EA922" s="64"/>
      <c r="EB922" s="64"/>
      <c r="EC922" s="64"/>
      <c r="ED922" s="64"/>
    </row>
    <row r="923" spans="26:134" ht="15.75" customHeight="1">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c r="BU923" s="64"/>
      <c r="BV923" s="64"/>
      <c r="BW923" s="64"/>
      <c r="BX923" s="64"/>
      <c r="BY923" s="64"/>
      <c r="BZ923" s="64"/>
      <c r="CA923" s="64"/>
      <c r="CB923" s="64"/>
      <c r="CC923" s="64"/>
      <c r="CD923" s="64"/>
      <c r="CE923" s="64"/>
      <c r="CF923" s="64"/>
      <c r="CG923" s="64"/>
      <c r="CH923" s="64"/>
      <c r="CI923" s="64"/>
      <c r="CJ923" s="64"/>
      <c r="CK923" s="64"/>
      <c r="CL923" s="64"/>
      <c r="CM923" s="64"/>
      <c r="CN923" s="64"/>
      <c r="CO923" s="64"/>
      <c r="CP923" s="64"/>
      <c r="CQ923" s="64"/>
      <c r="CR923" s="64"/>
      <c r="CS923" s="64"/>
      <c r="CT923" s="64"/>
      <c r="CU923" s="64"/>
      <c r="CV923" s="64"/>
      <c r="CW923" s="64"/>
      <c r="CX923" s="64"/>
      <c r="CY923" s="64"/>
      <c r="CZ923" s="64"/>
      <c r="DA923" s="64"/>
      <c r="DB923" s="64"/>
      <c r="DC923" s="64"/>
      <c r="DD923" s="64"/>
      <c r="DE923" s="64"/>
      <c r="DF923" s="64"/>
      <c r="DG923" s="64"/>
      <c r="DH923" s="64"/>
      <c r="DI923" s="64"/>
      <c r="DJ923" s="64"/>
      <c r="DK923" s="64"/>
      <c r="DL923" s="64"/>
      <c r="DM923" s="64"/>
      <c r="DN923" s="64"/>
      <c r="DO923" s="64"/>
      <c r="DP923" s="64"/>
      <c r="DQ923" s="64"/>
      <c r="DR923" s="64"/>
      <c r="DS923" s="64"/>
      <c r="DT923" s="64"/>
      <c r="DU923" s="64"/>
      <c r="DV923" s="64"/>
      <c r="DW923" s="64"/>
      <c r="DX923" s="64"/>
      <c r="DY923" s="64"/>
      <c r="DZ923" s="64"/>
      <c r="EA923" s="64"/>
      <c r="EB923" s="64"/>
      <c r="EC923" s="64"/>
      <c r="ED923" s="64"/>
    </row>
    <row r="924" spans="26:134" ht="15.75" customHeight="1">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c r="BU924" s="64"/>
      <c r="BV924" s="64"/>
      <c r="BW924" s="64"/>
      <c r="BX924" s="64"/>
      <c r="BY924" s="64"/>
      <c r="BZ924" s="64"/>
      <c r="CA924" s="64"/>
      <c r="CB924" s="64"/>
      <c r="CC924" s="64"/>
      <c r="CD924" s="64"/>
      <c r="CE924" s="64"/>
      <c r="CF924" s="64"/>
      <c r="CG924" s="64"/>
      <c r="CH924" s="64"/>
      <c r="CI924" s="64"/>
      <c r="CJ924" s="64"/>
      <c r="CK924" s="64"/>
      <c r="CL924" s="64"/>
      <c r="CM924" s="64"/>
      <c r="CN924" s="64"/>
      <c r="CO924" s="64"/>
      <c r="CP924" s="64"/>
      <c r="CQ924" s="64"/>
      <c r="CR924" s="64"/>
      <c r="CS924" s="64"/>
      <c r="CT924" s="64"/>
      <c r="CU924" s="64"/>
      <c r="CV924" s="64"/>
      <c r="CW924" s="64"/>
      <c r="CX924" s="64"/>
      <c r="CY924" s="64"/>
      <c r="CZ924" s="64"/>
      <c r="DA924" s="64"/>
      <c r="DB924" s="64"/>
      <c r="DC924" s="64"/>
      <c r="DD924" s="64"/>
      <c r="DE924" s="64"/>
      <c r="DF924" s="64"/>
      <c r="DG924" s="64"/>
      <c r="DH924" s="64"/>
      <c r="DI924" s="64"/>
      <c r="DJ924" s="64"/>
      <c r="DK924" s="64"/>
      <c r="DL924" s="64"/>
      <c r="DM924" s="64"/>
      <c r="DN924" s="64"/>
      <c r="DO924" s="64"/>
      <c r="DP924" s="64"/>
      <c r="DQ924" s="64"/>
      <c r="DR924" s="64"/>
      <c r="DS924" s="64"/>
      <c r="DT924" s="64"/>
      <c r="DU924" s="64"/>
      <c r="DV924" s="64"/>
      <c r="DW924" s="64"/>
      <c r="DX924" s="64"/>
      <c r="DY924" s="64"/>
      <c r="DZ924" s="64"/>
      <c r="EA924" s="64"/>
      <c r="EB924" s="64"/>
      <c r="EC924" s="64"/>
      <c r="ED924" s="64"/>
    </row>
    <row r="925" spans="26:134" ht="15.75" customHeight="1">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c r="BU925" s="64"/>
      <c r="BV925" s="64"/>
      <c r="BW925" s="64"/>
      <c r="BX925" s="64"/>
      <c r="BY925" s="64"/>
      <c r="BZ925" s="64"/>
      <c r="CA925" s="64"/>
      <c r="CB925" s="64"/>
      <c r="CC925" s="64"/>
      <c r="CD925" s="64"/>
      <c r="CE925" s="64"/>
      <c r="CF925" s="64"/>
      <c r="CG925" s="64"/>
      <c r="CH925" s="64"/>
      <c r="CI925" s="64"/>
      <c r="CJ925" s="64"/>
      <c r="CK925" s="64"/>
      <c r="CL925" s="64"/>
      <c r="CM925" s="64"/>
      <c r="CN925" s="64"/>
      <c r="CO925" s="64"/>
      <c r="CP925" s="64"/>
      <c r="CQ925" s="64"/>
      <c r="CR925" s="64"/>
      <c r="CS925" s="64"/>
      <c r="CT925" s="64"/>
      <c r="CU925" s="64"/>
      <c r="CV925" s="64"/>
      <c r="CW925" s="64"/>
      <c r="CX925" s="64"/>
      <c r="CY925" s="64"/>
      <c r="CZ925" s="64"/>
      <c r="DA925" s="64"/>
      <c r="DB925" s="64"/>
      <c r="DC925" s="64"/>
      <c r="DD925" s="64"/>
      <c r="DE925" s="64"/>
      <c r="DF925" s="64"/>
      <c r="DG925" s="64"/>
      <c r="DH925" s="64"/>
      <c r="DI925" s="64"/>
      <c r="DJ925" s="64"/>
      <c r="DK925" s="64"/>
      <c r="DL925" s="64"/>
      <c r="DM925" s="64"/>
      <c r="DN925" s="64"/>
      <c r="DO925" s="64"/>
      <c r="DP925" s="64"/>
      <c r="DQ925" s="64"/>
      <c r="DR925" s="64"/>
      <c r="DS925" s="64"/>
      <c r="DT925" s="64"/>
      <c r="DU925" s="64"/>
      <c r="DV925" s="64"/>
      <c r="DW925" s="64"/>
      <c r="DX925" s="64"/>
      <c r="DY925" s="64"/>
      <c r="DZ925" s="64"/>
      <c r="EA925" s="64"/>
      <c r="EB925" s="64"/>
      <c r="EC925" s="64"/>
      <c r="ED925" s="64"/>
    </row>
    <row r="926" spans="26:134" ht="15.75" customHeight="1">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c r="BU926" s="64"/>
      <c r="BV926" s="64"/>
      <c r="BW926" s="64"/>
      <c r="BX926" s="64"/>
      <c r="BY926" s="64"/>
      <c r="BZ926" s="64"/>
      <c r="CA926" s="64"/>
      <c r="CB926" s="64"/>
      <c r="CC926" s="64"/>
      <c r="CD926" s="64"/>
      <c r="CE926" s="64"/>
      <c r="CF926" s="64"/>
      <c r="CG926" s="64"/>
      <c r="CH926" s="64"/>
      <c r="CI926" s="64"/>
      <c r="CJ926" s="64"/>
      <c r="CK926" s="64"/>
      <c r="CL926" s="64"/>
      <c r="CM926" s="64"/>
      <c r="CN926" s="64"/>
      <c r="CO926" s="64"/>
      <c r="CP926" s="64"/>
      <c r="CQ926" s="64"/>
      <c r="CR926" s="64"/>
      <c r="CS926" s="64"/>
      <c r="CT926" s="64"/>
      <c r="CU926" s="64"/>
      <c r="CV926" s="64"/>
      <c r="CW926" s="64"/>
      <c r="CX926" s="64"/>
      <c r="CY926" s="64"/>
      <c r="CZ926" s="64"/>
      <c r="DA926" s="64"/>
      <c r="DB926" s="64"/>
      <c r="DC926" s="64"/>
      <c r="DD926" s="64"/>
      <c r="DE926" s="64"/>
      <c r="DF926" s="64"/>
      <c r="DG926" s="64"/>
      <c r="DH926" s="64"/>
      <c r="DI926" s="64"/>
      <c r="DJ926" s="64"/>
      <c r="DK926" s="64"/>
      <c r="DL926" s="64"/>
      <c r="DM926" s="64"/>
      <c r="DN926" s="64"/>
      <c r="DO926" s="64"/>
      <c r="DP926" s="64"/>
      <c r="DQ926" s="64"/>
      <c r="DR926" s="64"/>
      <c r="DS926" s="64"/>
      <c r="DT926" s="64"/>
      <c r="DU926" s="64"/>
      <c r="DV926" s="64"/>
      <c r="DW926" s="64"/>
      <c r="DX926" s="64"/>
      <c r="DY926" s="64"/>
      <c r="DZ926" s="64"/>
      <c r="EA926" s="64"/>
      <c r="EB926" s="64"/>
      <c r="EC926" s="64"/>
      <c r="ED926" s="64"/>
    </row>
    <row r="927" spans="26:134" ht="15.75" customHeight="1">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c r="BU927" s="64"/>
      <c r="BV927" s="64"/>
      <c r="BW927" s="64"/>
      <c r="BX927" s="64"/>
      <c r="BY927" s="64"/>
      <c r="BZ927" s="64"/>
      <c r="CA927" s="64"/>
      <c r="CB927" s="64"/>
      <c r="CC927" s="64"/>
      <c r="CD927" s="64"/>
      <c r="CE927" s="64"/>
      <c r="CF927" s="64"/>
      <c r="CG927" s="64"/>
      <c r="CH927" s="64"/>
      <c r="CI927" s="64"/>
      <c r="CJ927" s="64"/>
      <c r="CK927" s="64"/>
      <c r="CL927" s="64"/>
      <c r="CM927" s="64"/>
      <c r="CN927" s="64"/>
      <c r="CO927" s="64"/>
      <c r="CP927" s="64"/>
      <c r="CQ927" s="64"/>
      <c r="CR927" s="64"/>
      <c r="CS927" s="64"/>
      <c r="CT927" s="64"/>
      <c r="CU927" s="64"/>
      <c r="CV927" s="64"/>
      <c r="CW927" s="64"/>
      <c r="CX927" s="64"/>
      <c r="CY927" s="64"/>
      <c r="CZ927" s="64"/>
      <c r="DA927" s="64"/>
      <c r="DB927" s="64"/>
      <c r="DC927" s="64"/>
      <c r="DD927" s="64"/>
      <c r="DE927" s="64"/>
      <c r="DF927" s="64"/>
      <c r="DG927" s="64"/>
      <c r="DH927" s="64"/>
      <c r="DI927" s="64"/>
      <c r="DJ927" s="64"/>
      <c r="DK927" s="64"/>
      <c r="DL927" s="64"/>
      <c r="DM927" s="64"/>
      <c r="DN927" s="64"/>
      <c r="DO927" s="64"/>
      <c r="DP927" s="64"/>
      <c r="DQ927" s="64"/>
      <c r="DR927" s="64"/>
      <c r="DS927" s="64"/>
      <c r="DT927" s="64"/>
      <c r="DU927" s="64"/>
      <c r="DV927" s="64"/>
      <c r="DW927" s="64"/>
      <c r="DX927" s="64"/>
      <c r="DY927" s="64"/>
      <c r="DZ927" s="64"/>
      <c r="EA927" s="64"/>
      <c r="EB927" s="64"/>
      <c r="EC927" s="64"/>
      <c r="ED927" s="64"/>
    </row>
    <row r="928" spans="26:134" ht="15.75" customHeight="1">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c r="BU928" s="64"/>
      <c r="BV928" s="64"/>
      <c r="BW928" s="64"/>
      <c r="BX928" s="64"/>
      <c r="BY928" s="64"/>
      <c r="BZ928" s="64"/>
      <c r="CA928" s="64"/>
      <c r="CB928" s="64"/>
      <c r="CC928" s="64"/>
      <c r="CD928" s="64"/>
      <c r="CE928" s="64"/>
      <c r="CF928" s="64"/>
      <c r="CG928" s="64"/>
      <c r="CH928" s="64"/>
      <c r="CI928" s="64"/>
      <c r="CJ928" s="64"/>
      <c r="CK928" s="64"/>
      <c r="CL928" s="64"/>
      <c r="CM928" s="64"/>
      <c r="CN928" s="64"/>
      <c r="CO928" s="64"/>
      <c r="CP928" s="64"/>
      <c r="CQ928" s="64"/>
      <c r="CR928" s="64"/>
      <c r="CS928" s="64"/>
      <c r="CT928" s="64"/>
      <c r="CU928" s="64"/>
      <c r="CV928" s="64"/>
      <c r="CW928" s="64"/>
      <c r="CX928" s="64"/>
      <c r="CY928" s="64"/>
      <c r="CZ928" s="64"/>
      <c r="DA928" s="64"/>
      <c r="DB928" s="64"/>
      <c r="DC928" s="64"/>
      <c r="DD928" s="64"/>
      <c r="DE928" s="64"/>
      <c r="DF928" s="64"/>
      <c r="DG928" s="64"/>
      <c r="DH928" s="64"/>
      <c r="DI928" s="64"/>
      <c r="DJ928" s="64"/>
      <c r="DK928" s="64"/>
      <c r="DL928" s="64"/>
      <c r="DM928" s="64"/>
      <c r="DN928" s="64"/>
      <c r="DO928" s="64"/>
      <c r="DP928" s="64"/>
      <c r="DQ928" s="64"/>
      <c r="DR928" s="64"/>
      <c r="DS928" s="64"/>
      <c r="DT928" s="64"/>
      <c r="DU928" s="64"/>
      <c r="DV928" s="64"/>
      <c r="DW928" s="64"/>
      <c r="DX928" s="64"/>
      <c r="DY928" s="64"/>
      <c r="DZ928" s="64"/>
      <c r="EA928" s="64"/>
      <c r="EB928" s="64"/>
      <c r="EC928" s="64"/>
      <c r="ED928" s="64"/>
    </row>
    <row r="929" spans="26:134" ht="15.75" customHeight="1">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c r="BU929" s="64"/>
      <c r="BV929" s="64"/>
      <c r="BW929" s="64"/>
      <c r="BX929" s="64"/>
      <c r="BY929" s="64"/>
      <c r="BZ929" s="64"/>
      <c r="CA929" s="64"/>
      <c r="CB929" s="64"/>
      <c r="CC929" s="64"/>
      <c r="CD929" s="64"/>
      <c r="CE929" s="64"/>
      <c r="CF929" s="64"/>
      <c r="CG929" s="64"/>
      <c r="CH929" s="64"/>
      <c r="CI929" s="64"/>
      <c r="CJ929" s="64"/>
      <c r="CK929" s="64"/>
      <c r="CL929" s="64"/>
      <c r="CM929" s="64"/>
      <c r="CN929" s="64"/>
      <c r="CO929" s="64"/>
      <c r="CP929" s="64"/>
      <c r="CQ929" s="64"/>
      <c r="CR929" s="64"/>
      <c r="CS929" s="64"/>
      <c r="CT929" s="64"/>
      <c r="CU929" s="64"/>
      <c r="CV929" s="64"/>
      <c r="CW929" s="64"/>
      <c r="CX929" s="64"/>
      <c r="CY929" s="64"/>
      <c r="CZ929" s="64"/>
      <c r="DA929" s="64"/>
      <c r="DB929" s="64"/>
      <c r="DC929" s="64"/>
      <c r="DD929" s="64"/>
      <c r="DE929" s="64"/>
      <c r="DF929" s="64"/>
      <c r="DG929" s="64"/>
      <c r="DH929" s="64"/>
      <c r="DI929" s="64"/>
      <c r="DJ929" s="64"/>
      <c r="DK929" s="64"/>
      <c r="DL929" s="64"/>
      <c r="DM929" s="64"/>
      <c r="DN929" s="64"/>
      <c r="DO929" s="64"/>
      <c r="DP929" s="64"/>
      <c r="DQ929" s="64"/>
      <c r="DR929" s="64"/>
      <c r="DS929" s="64"/>
      <c r="DT929" s="64"/>
      <c r="DU929" s="64"/>
      <c r="DV929" s="64"/>
      <c r="DW929" s="64"/>
      <c r="DX929" s="64"/>
      <c r="DY929" s="64"/>
      <c r="DZ929" s="64"/>
      <c r="EA929" s="64"/>
      <c r="EB929" s="64"/>
      <c r="EC929" s="64"/>
      <c r="ED929" s="64"/>
    </row>
    <row r="930" spans="26:134" ht="15.75" customHeight="1">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c r="BU930" s="64"/>
      <c r="BV930" s="64"/>
      <c r="BW930" s="64"/>
      <c r="BX930" s="64"/>
      <c r="BY930" s="64"/>
      <c r="BZ930" s="64"/>
      <c r="CA930" s="64"/>
      <c r="CB930" s="64"/>
      <c r="CC930" s="64"/>
      <c r="CD930" s="64"/>
      <c r="CE930" s="64"/>
      <c r="CF930" s="64"/>
      <c r="CG930" s="64"/>
      <c r="CH930" s="64"/>
      <c r="CI930" s="64"/>
      <c r="CJ930" s="64"/>
      <c r="CK930" s="64"/>
      <c r="CL930" s="64"/>
      <c r="CM930" s="64"/>
      <c r="CN930" s="64"/>
      <c r="CO930" s="64"/>
      <c r="CP930" s="64"/>
      <c r="CQ930" s="64"/>
      <c r="CR930" s="64"/>
      <c r="CS930" s="64"/>
      <c r="CT930" s="64"/>
      <c r="CU930" s="64"/>
      <c r="CV930" s="64"/>
      <c r="CW930" s="64"/>
      <c r="CX930" s="64"/>
      <c r="CY930" s="64"/>
      <c r="CZ930" s="64"/>
      <c r="DA930" s="64"/>
      <c r="DB930" s="64"/>
      <c r="DC930" s="64"/>
      <c r="DD930" s="64"/>
      <c r="DE930" s="64"/>
      <c r="DF930" s="64"/>
      <c r="DG930" s="64"/>
      <c r="DH930" s="64"/>
      <c r="DI930" s="64"/>
      <c r="DJ930" s="64"/>
      <c r="DK930" s="64"/>
      <c r="DL930" s="64"/>
      <c r="DM930" s="64"/>
      <c r="DN930" s="64"/>
      <c r="DO930" s="64"/>
      <c r="DP930" s="64"/>
      <c r="DQ930" s="64"/>
      <c r="DR930" s="64"/>
      <c r="DS930" s="64"/>
      <c r="DT930" s="64"/>
      <c r="DU930" s="64"/>
      <c r="DV930" s="64"/>
      <c r="DW930" s="64"/>
      <c r="DX930" s="64"/>
      <c r="DY930" s="64"/>
      <c r="DZ930" s="64"/>
      <c r="EA930" s="64"/>
      <c r="EB930" s="64"/>
      <c r="EC930" s="64"/>
      <c r="ED930" s="64"/>
    </row>
    <row r="931" spans="26:134" ht="15.75" customHeight="1">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c r="BU931" s="64"/>
      <c r="BV931" s="64"/>
      <c r="BW931" s="64"/>
      <c r="BX931" s="64"/>
      <c r="BY931" s="64"/>
      <c r="BZ931" s="64"/>
      <c r="CA931" s="64"/>
      <c r="CB931" s="64"/>
      <c r="CC931" s="64"/>
      <c r="CD931" s="64"/>
      <c r="CE931" s="64"/>
      <c r="CF931" s="64"/>
      <c r="CG931" s="64"/>
      <c r="CH931" s="64"/>
      <c r="CI931" s="64"/>
      <c r="CJ931" s="64"/>
      <c r="CK931" s="64"/>
      <c r="CL931" s="64"/>
      <c r="CM931" s="64"/>
      <c r="CN931" s="64"/>
      <c r="CO931" s="64"/>
      <c r="CP931" s="64"/>
      <c r="CQ931" s="64"/>
      <c r="CR931" s="64"/>
      <c r="CS931" s="64"/>
      <c r="CT931" s="64"/>
      <c r="CU931" s="64"/>
      <c r="CV931" s="64"/>
      <c r="CW931" s="64"/>
      <c r="CX931" s="64"/>
      <c r="CY931" s="64"/>
      <c r="CZ931" s="64"/>
      <c r="DA931" s="64"/>
      <c r="DB931" s="64"/>
      <c r="DC931" s="64"/>
      <c r="DD931" s="64"/>
      <c r="DE931" s="64"/>
      <c r="DF931" s="64"/>
      <c r="DG931" s="64"/>
      <c r="DH931" s="64"/>
      <c r="DI931" s="64"/>
      <c r="DJ931" s="64"/>
      <c r="DK931" s="64"/>
      <c r="DL931" s="64"/>
      <c r="DM931" s="64"/>
      <c r="DN931" s="64"/>
      <c r="DO931" s="64"/>
      <c r="DP931" s="64"/>
      <c r="DQ931" s="64"/>
      <c r="DR931" s="64"/>
      <c r="DS931" s="64"/>
      <c r="DT931" s="64"/>
      <c r="DU931" s="64"/>
      <c r="DV931" s="64"/>
      <c r="DW931" s="64"/>
      <c r="DX931" s="64"/>
      <c r="DY931" s="64"/>
      <c r="DZ931" s="64"/>
      <c r="EA931" s="64"/>
      <c r="EB931" s="64"/>
      <c r="EC931" s="64"/>
      <c r="ED931" s="64"/>
    </row>
    <row r="932" spans="26:134" ht="15.75" customHeight="1">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c r="BU932" s="64"/>
      <c r="BV932" s="64"/>
      <c r="BW932" s="64"/>
      <c r="BX932" s="64"/>
      <c r="BY932" s="64"/>
      <c r="BZ932" s="64"/>
      <c r="CA932" s="64"/>
      <c r="CB932" s="64"/>
      <c r="CC932" s="64"/>
      <c r="CD932" s="64"/>
      <c r="CE932" s="64"/>
      <c r="CF932" s="64"/>
      <c r="CG932" s="64"/>
      <c r="CH932" s="64"/>
      <c r="CI932" s="64"/>
      <c r="CJ932" s="64"/>
      <c r="CK932" s="64"/>
      <c r="CL932" s="64"/>
      <c r="CM932" s="64"/>
      <c r="CN932" s="64"/>
      <c r="CO932" s="64"/>
      <c r="CP932" s="64"/>
      <c r="CQ932" s="64"/>
      <c r="CR932" s="64"/>
      <c r="CS932" s="64"/>
      <c r="CT932" s="64"/>
      <c r="CU932" s="64"/>
      <c r="CV932" s="64"/>
      <c r="CW932" s="64"/>
      <c r="CX932" s="64"/>
      <c r="CY932" s="64"/>
      <c r="CZ932" s="64"/>
      <c r="DA932" s="64"/>
      <c r="DB932" s="64"/>
      <c r="DC932" s="64"/>
      <c r="DD932" s="64"/>
      <c r="DE932" s="64"/>
      <c r="DF932" s="64"/>
      <c r="DG932" s="64"/>
      <c r="DH932" s="64"/>
      <c r="DI932" s="64"/>
      <c r="DJ932" s="64"/>
      <c r="DK932" s="64"/>
      <c r="DL932" s="64"/>
      <c r="DM932" s="64"/>
      <c r="DN932" s="64"/>
      <c r="DO932" s="64"/>
      <c r="DP932" s="64"/>
      <c r="DQ932" s="64"/>
      <c r="DR932" s="64"/>
      <c r="DS932" s="64"/>
      <c r="DT932" s="64"/>
      <c r="DU932" s="64"/>
      <c r="DV932" s="64"/>
      <c r="DW932" s="64"/>
      <c r="DX932" s="64"/>
      <c r="DY932" s="64"/>
      <c r="DZ932" s="64"/>
      <c r="EA932" s="64"/>
      <c r="EB932" s="64"/>
      <c r="EC932" s="64"/>
      <c r="ED932" s="64"/>
    </row>
    <row r="933" spans="26:134" ht="15.75" customHeight="1">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c r="BU933" s="64"/>
      <c r="BV933" s="64"/>
      <c r="BW933" s="64"/>
      <c r="BX933" s="64"/>
      <c r="BY933" s="64"/>
      <c r="BZ933" s="64"/>
      <c r="CA933" s="64"/>
      <c r="CB933" s="64"/>
      <c r="CC933" s="64"/>
      <c r="CD933" s="64"/>
      <c r="CE933" s="64"/>
      <c r="CF933" s="64"/>
      <c r="CG933" s="64"/>
      <c r="CH933" s="64"/>
      <c r="CI933" s="64"/>
      <c r="CJ933" s="64"/>
      <c r="CK933" s="64"/>
      <c r="CL933" s="64"/>
      <c r="CM933" s="64"/>
      <c r="CN933" s="64"/>
      <c r="CO933" s="64"/>
      <c r="CP933" s="64"/>
      <c r="CQ933" s="64"/>
      <c r="CR933" s="64"/>
      <c r="CS933" s="64"/>
      <c r="CT933" s="64"/>
      <c r="CU933" s="64"/>
      <c r="CV933" s="64"/>
      <c r="CW933" s="64"/>
      <c r="CX933" s="64"/>
      <c r="CY933" s="64"/>
      <c r="CZ933" s="64"/>
      <c r="DA933" s="64"/>
      <c r="DB933" s="64"/>
      <c r="DC933" s="64"/>
      <c r="DD933" s="64"/>
      <c r="DE933" s="64"/>
      <c r="DF933" s="64"/>
      <c r="DG933" s="64"/>
      <c r="DH933" s="64"/>
      <c r="DI933" s="64"/>
      <c r="DJ933" s="64"/>
      <c r="DK933" s="64"/>
      <c r="DL933" s="64"/>
      <c r="DM933" s="64"/>
      <c r="DN933" s="64"/>
      <c r="DO933" s="64"/>
      <c r="DP933" s="64"/>
      <c r="DQ933" s="64"/>
      <c r="DR933" s="64"/>
      <c r="DS933" s="64"/>
      <c r="DT933" s="64"/>
      <c r="DU933" s="64"/>
      <c r="DV933" s="64"/>
      <c r="DW933" s="64"/>
      <c r="DX933" s="64"/>
      <c r="DY933" s="64"/>
      <c r="DZ933" s="64"/>
      <c r="EA933" s="64"/>
      <c r="EB933" s="64"/>
      <c r="EC933" s="64"/>
      <c r="ED933" s="64"/>
    </row>
    <row r="934" spans="26:134" ht="15.75" customHeight="1">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c r="BU934" s="64"/>
      <c r="BV934" s="64"/>
      <c r="BW934" s="64"/>
      <c r="BX934" s="64"/>
      <c r="BY934" s="64"/>
      <c r="BZ934" s="64"/>
      <c r="CA934" s="64"/>
      <c r="CB934" s="64"/>
      <c r="CC934" s="64"/>
      <c r="CD934" s="64"/>
      <c r="CE934" s="64"/>
      <c r="CF934" s="64"/>
      <c r="CG934" s="64"/>
      <c r="CH934" s="64"/>
      <c r="CI934" s="64"/>
      <c r="CJ934" s="64"/>
      <c r="CK934" s="64"/>
      <c r="CL934" s="64"/>
      <c r="CM934" s="64"/>
      <c r="CN934" s="64"/>
      <c r="CO934" s="64"/>
      <c r="CP934" s="64"/>
      <c r="CQ934" s="64"/>
      <c r="CR934" s="64"/>
      <c r="CS934" s="64"/>
      <c r="CT934" s="64"/>
      <c r="CU934" s="64"/>
      <c r="CV934" s="64"/>
      <c r="CW934" s="64"/>
      <c r="CX934" s="64"/>
      <c r="CY934" s="64"/>
      <c r="CZ934" s="64"/>
      <c r="DA934" s="64"/>
      <c r="DB934" s="64"/>
      <c r="DC934" s="64"/>
      <c r="DD934" s="64"/>
      <c r="DE934" s="64"/>
      <c r="DF934" s="64"/>
      <c r="DG934" s="64"/>
      <c r="DH934" s="64"/>
      <c r="DI934" s="64"/>
      <c r="DJ934" s="64"/>
      <c r="DK934" s="64"/>
      <c r="DL934" s="64"/>
      <c r="DM934" s="64"/>
      <c r="DN934" s="64"/>
      <c r="DO934" s="64"/>
      <c r="DP934" s="64"/>
      <c r="DQ934" s="64"/>
      <c r="DR934" s="64"/>
      <c r="DS934" s="64"/>
      <c r="DT934" s="64"/>
      <c r="DU934" s="64"/>
      <c r="DV934" s="64"/>
      <c r="DW934" s="64"/>
      <c r="DX934" s="64"/>
      <c r="DY934" s="64"/>
      <c r="DZ934" s="64"/>
      <c r="EA934" s="64"/>
      <c r="EB934" s="64"/>
      <c r="EC934" s="64"/>
      <c r="ED934" s="64"/>
    </row>
    <row r="935" spans="26:134" ht="15.75" customHeight="1">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c r="BU935" s="64"/>
      <c r="BV935" s="64"/>
      <c r="BW935" s="64"/>
      <c r="BX935" s="64"/>
      <c r="BY935" s="64"/>
      <c r="BZ935" s="64"/>
      <c r="CA935" s="64"/>
      <c r="CB935" s="64"/>
      <c r="CC935" s="64"/>
      <c r="CD935" s="64"/>
      <c r="CE935" s="64"/>
      <c r="CF935" s="64"/>
      <c r="CG935" s="64"/>
      <c r="CH935" s="64"/>
      <c r="CI935" s="64"/>
      <c r="CJ935" s="64"/>
      <c r="CK935" s="64"/>
      <c r="CL935" s="64"/>
      <c r="CM935" s="64"/>
      <c r="CN935" s="64"/>
      <c r="CO935" s="64"/>
      <c r="CP935" s="64"/>
      <c r="CQ935" s="64"/>
      <c r="CR935" s="64"/>
      <c r="CS935" s="64"/>
      <c r="CT935" s="64"/>
      <c r="CU935" s="64"/>
      <c r="CV935" s="64"/>
      <c r="CW935" s="64"/>
      <c r="CX935" s="64"/>
      <c r="CY935" s="64"/>
      <c r="CZ935" s="64"/>
      <c r="DA935" s="64"/>
      <c r="DB935" s="64"/>
      <c r="DC935" s="64"/>
      <c r="DD935" s="64"/>
      <c r="DE935" s="64"/>
      <c r="DF935" s="64"/>
      <c r="DG935" s="64"/>
      <c r="DH935" s="64"/>
      <c r="DI935" s="64"/>
      <c r="DJ935" s="64"/>
      <c r="DK935" s="64"/>
      <c r="DL935" s="64"/>
      <c r="DM935" s="64"/>
      <c r="DN935" s="64"/>
      <c r="DO935" s="64"/>
      <c r="DP935" s="64"/>
      <c r="DQ935" s="64"/>
      <c r="DR935" s="64"/>
      <c r="DS935" s="64"/>
      <c r="DT935" s="64"/>
      <c r="DU935" s="64"/>
      <c r="DV935" s="64"/>
      <c r="DW935" s="64"/>
      <c r="DX935" s="64"/>
      <c r="DY935" s="64"/>
      <c r="DZ935" s="64"/>
      <c r="EA935" s="64"/>
      <c r="EB935" s="64"/>
      <c r="EC935" s="64"/>
      <c r="ED935" s="64"/>
    </row>
    <row r="936" spans="26:134" ht="15.75" customHeight="1">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c r="BU936" s="64"/>
      <c r="BV936" s="64"/>
      <c r="BW936" s="64"/>
      <c r="BX936" s="64"/>
      <c r="BY936" s="64"/>
      <c r="BZ936" s="64"/>
      <c r="CA936" s="64"/>
      <c r="CB936" s="64"/>
      <c r="CC936" s="64"/>
      <c r="CD936" s="64"/>
      <c r="CE936" s="64"/>
      <c r="CF936" s="64"/>
      <c r="CG936" s="64"/>
      <c r="CH936" s="64"/>
      <c r="CI936" s="64"/>
      <c r="CJ936" s="64"/>
      <c r="CK936" s="64"/>
      <c r="CL936" s="64"/>
      <c r="CM936" s="64"/>
      <c r="CN936" s="64"/>
      <c r="CO936" s="64"/>
      <c r="CP936" s="64"/>
      <c r="CQ936" s="64"/>
      <c r="CR936" s="64"/>
      <c r="CS936" s="64"/>
      <c r="CT936" s="64"/>
      <c r="CU936" s="64"/>
      <c r="CV936" s="64"/>
      <c r="CW936" s="64"/>
      <c r="CX936" s="64"/>
      <c r="CY936" s="64"/>
      <c r="CZ936" s="64"/>
      <c r="DA936" s="64"/>
      <c r="DB936" s="64"/>
      <c r="DC936" s="64"/>
      <c r="DD936" s="64"/>
      <c r="DE936" s="64"/>
      <c r="DF936" s="64"/>
      <c r="DG936" s="64"/>
      <c r="DH936" s="64"/>
      <c r="DI936" s="64"/>
      <c r="DJ936" s="64"/>
      <c r="DK936" s="64"/>
      <c r="DL936" s="64"/>
      <c r="DM936" s="64"/>
      <c r="DN936" s="64"/>
      <c r="DO936" s="64"/>
      <c r="DP936" s="64"/>
      <c r="DQ936" s="64"/>
      <c r="DR936" s="64"/>
      <c r="DS936" s="64"/>
      <c r="DT936" s="64"/>
      <c r="DU936" s="64"/>
      <c r="DV936" s="64"/>
      <c r="DW936" s="64"/>
      <c r="DX936" s="64"/>
      <c r="DY936" s="64"/>
      <c r="DZ936" s="64"/>
      <c r="EA936" s="64"/>
      <c r="EB936" s="64"/>
      <c r="EC936" s="64"/>
      <c r="ED936" s="64"/>
    </row>
    <row r="937" spans="26:134" ht="15.75" customHeight="1">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c r="BU937" s="64"/>
      <c r="BV937" s="64"/>
      <c r="BW937" s="64"/>
      <c r="BX937" s="64"/>
      <c r="BY937" s="64"/>
      <c r="BZ937" s="64"/>
      <c r="CA937" s="64"/>
      <c r="CB937" s="64"/>
      <c r="CC937" s="64"/>
      <c r="CD937" s="64"/>
      <c r="CE937" s="64"/>
      <c r="CF937" s="64"/>
      <c r="CG937" s="64"/>
      <c r="CH937" s="64"/>
      <c r="CI937" s="64"/>
      <c r="CJ937" s="64"/>
      <c r="CK937" s="64"/>
      <c r="CL937" s="64"/>
      <c r="CM937" s="64"/>
      <c r="CN937" s="64"/>
      <c r="CO937" s="64"/>
      <c r="CP937" s="64"/>
      <c r="CQ937" s="64"/>
      <c r="CR937" s="64"/>
      <c r="CS937" s="64"/>
      <c r="CT937" s="64"/>
      <c r="CU937" s="64"/>
      <c r="CV937" s="64"/>
      <c r="CW937" s="64"/>
      <c r="CX937" s="64"/>
      <c r="CY937" s="64"/>
      <c r="CZ937" s="64"/>
      <c r="DA937" s="64"/>
      <c r="DB937" s="64"/>
      <c r="DC937" s="64"/>
      <c r="DD937" s="64"/>
      <c r="DE937" s="64"/>
      <c r="DF937" s="64"/>
      <c r="DG937" s="64"/>
      <c r="DH937" s="64"/>
      <c r="DI937" s="64"/>
      <c r="DJ937" s="64"/>
      <c r="DK937" s="64"/>
      <c r="DL937" s="64"/>
      <c r="DM937" s="64"/>
      <c r="DN937" s="64"/>
      <c r="DO937" s="64"/>
      <c r="DP937" s="64"/>
      <c r="DQ937" s="64"/>
      <c r="DR937" s="64"/>
      <c r="DS937" s="64"/>
      <c r="DT937" s="64"/>
      <c r="DU937" s="64"/>
      <c r="DV937" s="64"/>
      <c r="DW937" s="64"/>
      <c r="DX937" s="64"/>
      <c r="DY937" s="64"/>
      <c r="DZ937" s="64"/>
      <c r="EA937" s="64"/>
      <c r="EB937" s="64"/>
      <c r="EC937" s="64"/>
      <c r="ED937" s="64"/>
    </row>
    <row r="938" spans="26:134" ht="15.75" customHeight="1">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c r="BU938" s="64"/>
      <c r="BV938" s="64"/>
      <c r="BW938" s="64"/>
      <c r="BX938" s="64"/>
      <c r="BY938" s="64"/>
      <c r="BZ938" s="64"/>
      <c r="CA938" s="64"/>
      <c r="CB938" s="64"/>
      <c r="CC938" s="64"/>
      <c r="CD938" s="64"/>
      <c r="CE938" s="64"/>
      <c r="CF938" s="64"/>
      <c r="CG938" s="64"/>
      <c r="CH938" s="64"/>
      <c r="CI938" s="64"/>
      <c r="CJ938" s="64"/>
      <c r="CK938" s="64"/>
      <c r="CL938" s="64"/>
      <c r="CM938" s="64"/>
      <c r="CN938" s="64"/>
      <c r="CO938" s="64"/>
      <c r="CP938" s="64"/>
      <c r="CQ938" s="64"/>
      <c r="CR938" s="64"/>
      <c r="CS938" s="64"/>
      <c r="CT938" s="64"/>
      <c r="CU938" s="64"/>
      <c r="CV938" s="64"/>
      <c r="CW938" s="64"/>
      <c r="CX938" s="64"/>
      <c r="CY938" s="64"/>
      <c r="CZ938" s="64"/>
      <c r="DA938" s="64"/>
      <c r="DB938" s="64"/>
      <c r="DC938" s="64"/>
      <c r="DD938" s="64"/>
      <c r="DE938" s="64"/>
      <c r="DF938" s="64"/>
      <c r="DG938" s="64"/>
      <c r="DH938" s="64"/>
      <c r="DI938" s="64"/>
      <c r="DJ938" s="64"/>
      <c r="DK938" s="64"/>
      <c r="DL938" s="64"/>
      <c r="DM938" s="64"/>
      <c r="DN938" s="64"/>
      <c r="DO938" s="64"/>
      <c r="DP938" s="64"/>
      <c r="DQ938" s="64"/>
      <c r="DR938" s="64"/>
      <c r="DS938" s="64"/>
      <c r="DT938" s="64"/>
      <c r="DU938" s="64"/>
      <c r="DV938" s="64"/>
      <c r="DW938" s="64"/>
      <c r="DX938" s="64"/>
      <c r="DY938" s="64"/>
      <c r="DZ938" s="64"/>
      <c r="EA938" s="64"/>
      <c r="EB938" s="64"/>
      <c r="EC938" s="64"/>
      <c r="ED938" s="64"/>
    </row>
    <row r="939" spans="26:134" ht="15.75" customHeight="1">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c r="BU939" s="64"/>
      <c r="BV939" s="64"/>
      <c r="BW939" s="64"/>
      <c r="BX939" s="64"/>
      <c r="BY939" s="64"/>
      <c r="BZ939" s="64"/>
      <c r="CA939" s="64"/>
      <c r="CB939" s="64"/>
      <c r="CC939" s="64"/>
      <c r="CD939" s="64"/>
      <c r="CE939" s="64"/>
      <c r="CF939" s="64"/>
      <c r="CG939" s="64"/>
      <c r="CH939" s="64"/>
      <c r="CI939" s="64"/>
      <c r="CJ939" s="64"/>
      <c r="CK939" s="64"/>
      <c r="CL939" s="64"/>
      <c r="CM939" s="64"/>
      <c r="CN939" s="64"/>
      <c r="CO939" s="64"/>
      <c r="CP939" s="64"/>
      <c r="CQ939" s="64"/>
      <c r="CR939" s="64"/>
      <c r="CS939" s="64"/>
      <c r="CT939" s="64"/>
      <c r="CU939" s="64"/>
      <c r="CV939" s="64"/>
      <c r="CW939" s="64"/>
      <c r="CX939" s="64"/>
      <c r="CY939" s="64"/>
      <c r="CZ939" s="64"/>
      <c r="DA939" s="64"/>
      <c r="DB939" s="64"/>
      <c r="DC939" s="64"/>
      <c r="DD939" s="64"/>
      <c r="DE939" s="64"/>
      <c r="DF939" s="64"/>
      <c r="DG939" s="64"/>
      <c r="DH939" s="64"/>
      <c r="DI939" s="64"/>
      <c r="DJ939" s="64"/>
      <c r="DK939" s="64"/>
      <c r="DL939" s="64"/>
      <c r="DM939" s="64"/>
      <c r="DN939" s="64"/>
      <c r="DO939" s="64"/>
      <c r="DP939" s="64"/>
      <c r="DQ939" s="64"/>
      <c r="DR939" s="64"/>
      <c r="DS939" s="64"/>
      <c r="DT939" s="64"/>
      <c r="DU939" s="64"/>
      <c r="DV939" s="64"/>
      <c r="DW939" s="64"/>
      <c r="DX939" s="64"/>
      <c r="DY939" s="64"/>
      <c r="DZ939" s="64"/>
      <c r="EA939" s="64"/>
      <c r="EB939" s="64"/>
      <c r="EC939" s="64"/>
      <c r="ED939" s="64"/>
    </row>
    <row r="940" spans="26:134" ht="15.75" customHeight="1">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c r="BU940" s="64"/>
      <c r="BV940" s="64"/>
      <c r="BW940" s="64"/>
      <c r="BX940" s="64"/>
      <c r="BY940" s="64"/>
      <c r="BZ940" s="64"/>
      <c r="CA940" s="64"/>
      <c r="CB940" s="64"/>
      <c r="CC940" s="64"/>
      <c r="CD940" s="64"/>
      <c r="CE940" s="64"/>
      <c r="CF940" s="64"/>
      <c r="CG940" s="64"/>
      <c r="CH940" s="64"/>
      <c r="CI940" s="64"/>
      <c r="CJ940" s="64"/>
      <c r="CK940" s="64"/>
      <c r="CL940" s="64"/>
      <c r="CM940" s="64"/>
      <c r="CN940" s="64"/>
      <c r="CO940" s="64"/>
      <c r="CP940" s="64"/>
      <c r="CQ940" s="64"/>
      <c r="CR940" s="64"/>
      <c r="CS940" s="64"/>
      <c r="CT940" s="64"/>
      <c r="CU940" s="64"/>
      <c r="CV940" s="64"/>
      <c r="CW940" s="64"/>
      <c r="CX940" s="64"/>
      <c r="CY940" s="64"/>
      <c r="CZ940" s="64"/>
      <c r="DA940" s="64"/>
      <c r="DB940" s="64"/>
      <c r="DC940" s="64"/>
      <c r="DD940" s="64"/>
      <c r="DE940" s="64"/>
      <c r="DF940" s="64"/>
      <c r="DG940" s="64"/>
      <c r="DH940" s="64"/>
      <c r="DI940" s="64"/>
      <c r="DJ940" s="64"/>
      <c r="DK940" s="64"/>
      <c r="DL940" s="64"/>
      <c r="DM940" s="64"/>
      <c r="DN940" s="64"/>
      <c r="DO940" s="64"/>
      <c r="DP940" s="64"/>
      <c r="DQ940" s="64"/>
      <c r="DR940" s="64"/>
      <c r="DS940" s="64"/>
      <c r="DT940" s="64"/>
      <c r="DU940" s="64"/>
      <c r="DV940" s="64"/>
      <c r="DW940" s="64"/>
      <c r="DX940" s="64"/>
      <c r="DY940" s="64"/>
      <c r="DZ940" s="64"/>
      <c r="EA940" s="64"/>
      <c r="EB940" s="64"/>
      <c r="EC940" s="64"/>
      <c r="ED940" s="64"/>
    </row>
    <row r="941" spans="26:134" ht="15.75" customHeight="1">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c r="BU941" s="64"/>
      <c r="BV941" s="64"/>
      <c r="BW941" s="64"/>
      <c r="BX941" s="64"/>
      <c r="BY941" s="64"/>
      <c r="BZ941" s="64"/>
      <c r="CA941" s="64"/>
      <c r="CB941" s="64"/>
      <c r="CC941" s="64"/>
      <c r="CD941" s="64"/>
      <c r="CE941" s="64"/>
      <c r="CF941" s="64"/>
      <c r="CG941" s="64"/>
      <c r="CH941" s="64"/>
      <c r="CI941" s="64"/>
      <c r="CJ941" s="64"/>
      <c r="CK941" s="64"/>
      <c r="CL941" s="64"/>
      <c r="CM941" s="64"/>
      <c r="CN941" s="64"/>
      <c r="CO941" s="64"/>
      <c r="CP941" s="64"/>
      <c r="CQ941" s="64"/>
      <c r="CR941" s="64"/>
      <c r="CS941" s="64"/>
      <c r="CT941" s="64"/>
      <c r="CU941" s="64"/>
      <c r="CV941" s="64"/>
      <c r="CW941" s="64"/>
      <c r="CX941" s="64"/>
      <c r="CY941" s="64"/>
      <c r="CZ941" s="64"/>
      <c r="DA941" s="64"/>
      <c r="DB941" s="64"/>
      <c r="DC941" s="64"/>
      <c r="DD941" s="64"/>
      <c r="DE941" s="64"/>
      <c r="DF941" s="64"/>
      <c r="DG941" s="64"/>
      <c r="DH941" s="64"/>
      <c r="DI941" s="64"/>
      <c r="DJ941" s="64"/>
      <c r="DK941" s="64"/>
      <c r="DL941" s="64"/>
      <c r="DM941" s="64"/>
      <c r="DN941" s="64"/>
      <c r="DO941" s="64"/>
      <c r="DP941" s="64"/>
      <c r="DQ941" s="64"/>
      <c r="DR941" s="64"/>
      <c r="DS941" s="64"/>
      <c r="DT941" s="64"/>
      <c r="DU941" s="64"/>
      <c r="DV941" s="64"/>
      <c r="DW941" s="64"/>
      <c r="DX941" s="64"/>
      <c r="DY941" s="64"/>
      <c r="DZ941" s="64"/>
      <c r="EA941" s="64"/>
      <c r="EB941" s="64"/>
      <c r="EC941" s="64"/>
      <c r="ED941" s="64"/>
    </row>
    <row r="942" spans="26:134" ht="15.75" customHeight="1">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64"/>
      <c r="CM942" s="64"/>
      <c r="CN942" s="64"/>
      <c r="CO942" s="64"/>
      <c r="CP942" s="64"/>
      <c r="CQ942" s="64"/>
      <c r="CR942" s="64"/>
      <c r="CS942" s="64"/>
      <c r="CT942" s="64"/>
      <c r="CU942" s="64"/>
      <c r="CV942" s="64"/>
      <c r="CW942" s="64"/>
      <c r="CX942" s="64"/>
      <c r="CY942" s="64"/>
      <c r="CZ942" s="64"/>
      <c r="DA942" s="64"/>
      <c r="DB942" s="64"/>
      <c r="DC942" s="64"/>
      <c r="DD942" s="64"/>
      <c r="DE942" s="64"/>
      <c r="DF942" s="64"/>
      <c r="DG942" s="64"/>
      <c r="DH942" s="64"/>
      <c r="DI942" s="64"/>
      <c r="DJ942" s="64"/>
      <c r="DK942" s="64"/>
      <c r="DL942" s="64"/>
      <c r="DM942" s="64"/>
      <c r="DN942" s="64"/>
      <c r="DO942" s="64"/>
      <c r="DP942" s="64"/>
      <c r="DQ942" s="64"/>
      <c r="DR942" s="64"/>
      <c r="DS942" s="64"/>
      <c r="DT942" s="64"/>
      <c r="DU942" s="64"/>
      <c r="DV942" s="64"/>
      <c r="DW942" s="64"/>
      <c r="DX942" s="64"/>
      <c r="DY942" s="64"/>
      <c r="DZ942" s="64"/>
      <c r="EA942" s="64"/>
      <c r="EB942" s="64"/>
      <c r="EC942" s="64"/>
      <c r="ED942" s="64"/>
    </row>
    <row r="943" spans="26:134" ht="15.75" customHeight="1">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c r="BU943" s="64"/>
      <c r="BV943" s="64"/>
      <c r="BW943" s="64"/>
      <c r="BX943" s="64"/>
      <c r="BY943" s="64"/>
      <c r="BZ943" s="64"/>
      <c r="CA943" s="64"/>
      <c r="CB943" s="64"/>
      <c r="CC943" s="64"/>
      <c r="CD943" s="64"/>
      <c r="CE943" s="64"/>
      <c r="CF943" s="64"/>
      <c r="CG943" s="64"/>
      <c r="CH943" s="64"/>
      <c r="CI943" s="64"/>
      <c r="CJ943" s="64"/>
      <c r="CK943" s="64"/>
      <c r="CL943" s="64"/>
      <c r="CM943" s="64"/>
      <c r="CN943" s="64"/>
      <c r="CO943" s="64"/>
      <c r="CP943" s="64"/>
      <c r="CQ943" s="64"/>
      <c r="CR943" s="64"/>
      <c r="CS943" s="64"/>
      <c r="CT943" s="64"/>
      <c r="CU943" s="64"/>
      <c r="CV943" s="64"/>
      <c r="CW943" s="64"/>
      <c r="CX943" s="64"/>
      <c r="CY943" s="64"/>
      <c r="CZ943" s="64"/>
      <c r="DA943" s="64"/>
      <c r="DB943" s="64"/>
      <c r="DC943" s="64"/>
      <c r="DD943" s="64"/>
      <c r="DE943" s="64"/>
      <c r="DF943" s="64"/>
      <c r="DG943" s="64"/>
      <c r="DH943" s="64"/>
      <c r="DI943" s="64"/>
      <c r="DJ943" s="64"/>
      <c r="DK943" s="64"/>
      <c r="DL943" s="64"/>
      <c r="DM943" s="64"/>
      <c r="DN943" s="64"/>
      <c r="DO943" s="64"/>
      <c r="DP943" s="64"/>
      <c r="DQ943" s="64"/>
      <c r="DR943" s="64"/>
      <c r="DS943" s="64"/>
      <c r="DT943" s="64"/>
      <c r="DU943" s="64"/>
      <c r="DV943" s="64"/>
      <c r="DW943" s="64"/>
      <c r="DX943" s="64"/>
      <c r="DY943" s="64"/>
      <c r="DZ943" s="64"/>
      <c r="EA943" s="64"/>
      <c r="EB943" s="64"/>
      <c r="EC943" s="64"/>
      <c r="ED943" s="64"/>
    </row>
    <row r="944" spans="26:134" ht="15.75" customHeight="1">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c r="BU944" s="64"/>
      <c r="BV944" s="64"/>
      <c r="BW944" s="64"/>
      <c r="BX944" s="64"/>
      <c r="BY944" s="64"/>
      <c r="BZ944" s="64"/>
      <c r="CA944" s="64"/>
      <c r="CB944" s="64"/>
      <c r="CC944" s="64"/>
      <c r="CD944" s="64"/>
      <c r="CE944" s="64"/>
      <c r="CF944" s="64"/>
      <c r="CG944" s="64"/>
      <c r="CH944" s="64"/>
      <c r="CI944" s="64"/>
      <c r="CJ944" s="64"/>
      <c r="CK944" s="64"/>
      <c r="CL944" s="64"/>
      <c r="CM944" s="64"/>
      <c r="CN944" s="64"/>
      <c r="CO944" s="64"/>
      <c r="CP944" s="64"/>
      <c r="CQ944" s="64"/>
      <c r="CR944" s="64"/>
      <c r="CS944" s="64"/>
      <c r="CT944" s="64"/>
      <c r="CU944" s="64"/>
      <c r="CV944" s="64"/>
      <c r="CW944" s="64"/>
      <c r="CX944" s="64"/>
      <c r="CY944" s="64"/>
      <c r="CZ944" s="64"/>
      <c r="DA944" s="64"/>
      <c r="DB944" s="64"/>
      <c r="DC944" s="64"/>
      <c r="DD944" s="64"/>
      <c r="DE944" s="64"/>
      <c r="DF944" s="64"/>
      <c r="DG944" s="64"/>
      <c r="DH944" s="64"/>
      <c r="DI944" s="64"/>
      <c r="DJ944" s="64"/>
      <c r="DK944" s="64"/>
      <c r="DL944" s="64"/>
      <c r="DM944" s="64"/>
      <c r="DN944" s="64"/>
      <c r="DO944" s="64"/>
      <c r="DP944" s="64"/>
      <c r="DQ944" s="64"/>
      <c r="DR944" s="64"/>
      <c r="DS944" s="64"/>
      <c r="DT944" s="64"/>
      <c r="DU944" s="64"/>
      <c r="DV944" s="64"/>
      <c r="DW944" s="64"/>
      <c r="DX944" s="64"/>
      <c r="DY944" s="64"/>
      <c r="DZ944" s="64"/>
      <c r="EA944" s="64"/>
      <c r="EB944" s="64"/>
      <c r="EC944" s="64"/>
      <c r="ED944" s="64"/>
    </row>
    <row r="945" spans="26:134" ht="15.75" customHeight="1">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c r="BU945" s="64"/>
      <c r="BV945" s="64"/>
      <c r="BW945" s="64"/>
      <c r="BX945" s="64"/>
      <c r="BY945" s="64"/>
      <c r="BZ945" s="64"/>
      <c r="CA945" s="64"/>
      <c r="CB945" s="64"/>
      <c r="CC945" s="64"/>
      <c r="CD945" s="64"/>
      <c r="CE945" s="64"/>
      <c r="CF945" s="64"/>
      <c r="CG945" s="64"/>
      <c r="CH945" s="64"/>
      <c r="CI945" s="64"/>
      <c r="CJ945" s="64"/>
      <c r="CK945" s="64"/>
      <c r="CL945" s="64"/>
      <c r="CM945" s="64"/>
      <c r="CN945" s="64"/>
      <c r="CO945" s="64"/>
      <c r="CP945" s="64"/>
      <c r="CQ945" s="64"/>
      <c r="CR945" s="64"/>
      <c r="CS945" s="64"/>
      <c r="CT945" s="64"/>
      <c r="CU945" s="64"/>
      <c r="CV945" s="64"/>
      <c r="CW945" s="64"/>
      <c r="CX945" s="64"/>
      <c r="CY945" s="64"/>
      <c r="CZ945" s="64"/>
      <c r="DA945" s="64"/>
      <c r="DB945" s="64"/>
      <c r="DC945" s="64"/>
      <c r="DD945" s="64"/>
      <c r="DE945" s="64"/>
      <c r="DF945" s="64"/>
      <c r="DG945" s="64"/>
      <c r="DH945" s="64"/>
      <c r="DI945" s="64"/>
      <c r="DJ945" s="64"/>
      <c r="DK945" s="64"/>
      <c r="DL945" s="64"/>
      <c r="DM945" s="64"/>
      <c r="DN945" s="64"/>
      <c r="DO945" s="64"/>
      <c r="DP945" s="64"/>
      <c r="DQ945" s="64"/>
      <c r="DR945" s="64"/>
      <c r="DS945" s="64"/>
      <c r="DT945" s="64"/>
      <c r="DU945" s="64"/>
      <c r="DV945" s="64"/>
      <c r="DW945" s="64"/>
      <c r="DX945" s="64"/>
      <c r="DY945" s="64"/>
      <c r="DZ945" s="64"/>
      <c r="EA945" s="64"/>
      <c r="EB945" s="64"/>
      <c r="EC945" s="64"/>
      <c r="ED945" s="64"/>
    </row>
    <row r="946" spans="26:134" ht="15.75" customHeight="1">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c r="BU946" s="64"/>
      <c r="BV946" s="64"/>
      <c r="BW946" s="64"/>
      <c r="BX946" s="64"/>
      <c r="BY946" s="64"/>
      <c r="BZ946" s="64"/>
      <c r="CA946" s="64"/>
      <c r="CB946" s="64"/>
      <c r="CC946" s="64"/>
      <c r="CD946" s="64"/>
      <c r="CE946" s="64"/>
      <c r="CF946" s="64"/>
      <c r="CG946" s="64"/>
      <c r="CH946" s="64"/>
      <c r="CI946" s="64"/>
      <c r="CJ946" s="64"/>
      <c r="CK946" s="64"/>
      <c r="CL946" s="64"/>
      <c r="CM946" s="64"/>
      <c r="CN946" s="64"/>
      <c r="CO946" s="64"/>
      <c r="CP946" s="64"/>
      <c r="CQ946" s="64"/>
      <c r="CR946" s="64"/>
      <c r="CS946" s="64"/>
      <c r="CT946" s="64"/>
      <c r="CU946" s="64"/>
      <c r="CV946" s="64"/>
      <c r="CW946" s="64"/>
      <c r="CX946" s="64"/>
      <c r="CY946" s="64"/>
      <c r="CZ946" s="64"/>
      <c r="DA946" s="64"/>
      <c r="DB946" s="64"/>
      <c r="DC946" s="64"/>
      <c r="DD946" s="64"/>
      <c r="DE946" s="64"/>
      <c r="DF946" s="64"/>
      <c r="DG946" s="64"/>
      <c r="DH946" s="64"/>
      <c r="DI946" s="64"/>
      <c r="DJ946" s="64"/>
      <c r="DK946" s="64"/>
      <c r="DL946" s="64"/>
      <c r="DM946" s="64"/>
      <c r="DN946" s="64"/>
      <c r="DO946" s="64"/>
      <c r="DP946" s="64"/>
      <c r="DQ946" s="64"/>
      <c r="DR946" s="64"/>
      <c r="DS946" s="64"/>
      <c r="DT946" s="64"/>
      <c r="DU946" s="64"/>
      <c r="DV946" s="64"/>
      <c r="DW946" s="64"/>
      <c r="DX946" s="64"/>
      <c r="DY946" s="64"/>
      <c r="DZ946" s="64"/>
      <c r="EA946" s="64"/>
      <c r="EB946" s="64"/>
      <c r="EC946" s="64"/>
      <c r="ED946" s="64"/>
    </row>
    <row r="947" spans="26:134" ht="15.75" customHeight="1">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c r="BU947" s="64"/>
      <c r="BV947" s="64"/>
      <c r="BW947" s="64"/>
      <c r="BX947" s="64"/>
      <c r="BY947" s="64"/>
      <c r="BZ947" s="64"/>
      <c r="CA947" s="64"/>
      <c r="CB947" s="64"/>
      <c r="CC947" s="64"/>
      <c r="CD947" s="64"/>
      <c r="CE947" s="64"/>
      <c r="CF947" s="64"/>
      <c r="CG947" s="64"/>
      <c r="CH947" s="64"/>
      <c r="CI947" s="64"/>
      <c r="CJ947" s="64"/>
      <c r="CK947" s="64"/>
      <c r="CL947" s="64"/>
      <c r="CM947" s="64"/>
      <c r="CN947" s="64"/>
      <c r="CO947" s="64"/>
      <c r="CP947" s="64"/>
      <c r="CQ947" s="64"/>
      <c r="CR947" s="64"/>
      <c r="CS947" s="64"/>
      <c r="CT947" s="64"/>
      <c r="CU947" s="64"/>
      <c r="CV947" s="64"/>
      <c r="CW947" s="64"/>
      <c r="CX947" s="64"/>
      <c r="CY947" s="64"/>
      <c r="CZ947" s="64"/>
      <c r="DA947" s="64"/>
      <c r="DB947" s="64"/>
      <c r="DC947" s="64"/>
      <c r="DD947" s="64"/>
      <c r="DE947" s="64"/>
      <c r="DF947" s="64"/>
      <c r="DG947" s="64"/>
      <c r="DH947" s="64"/>
      <c r="DI947" s="64"/>
      <c r="DJ947" s="64"/>
      <c r="DK947" s="64"/>
      <c r="DL947" s="64"/>
      <c r="DM947" s="64"/>
      <c r="DN947" s="64"/>
      <c r="DO947" s="64"/>
      <c r="DP947" s="64"/>
      <c r="DQ947" s="64"/>
      <c r="DR947" s="64"/>
      <c r="DS947" s="64"/>
      <c r="DT947" s="64"/>
      <c r="DU947" s="64"/>
      <c r="DV947" s="64"/>
      <c r="DW947" s="64"/>
      <c r="DX947" s="64"/>
      <c r="DY947" s="64"/>
      <c r="DZ947" s="64"/>
      <c r="EA947" s="64"/>
      <c r="EB947" s="64"/>
      <c r="EC947" s="64"/>
      <c r="ED947" s="64"/>
    </row>
    <row r="948" spans="26:134" ht="15.75" customHeight="1">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c r="BU948" s="64"/>
      <c r="BV948" s="64"/>
      <c r="BW948" s="64"/>
      <c r="BX948" s="64"/>
      <c r="BY948" s="64"/>
      <c r="BZ948" s="64"/>
      <c r="CA948" s="64"/>
      <c r="CB948" s="64"/>
      <c r="CC948" s="64"/>
      <c r="CD948" s="64"/>
      <c r="CE948" s="64"/>
      <c r="CF948" s="64"/>
      <c r="CG948" s="64"/>
      <c r="CH948" s="64"/>
      <c r="CI948" s="64"/>
      <c r="CJ948" s="64"/>
      <c r="CK948" s="64"/>
      <c r="CL948" s="64"/>
      <c r="CM948" s="64"/>
      <c r="CN948" s="64"/>
      <c r="CO948" s="64"/>
      <c r="CP948" s="64"/>
      <c r="CQ948" s="64"/>
      <c r="CR948" s="64"/>
      <c r="CS948" s="64"/>
      <c r="CT948" s="64"/>
      <c r="CU948" s="64"/>
      <c r="CV948" s="64"/>
      <c r="CW948" s="64"/>
      <c r="CX948" s="64"/>
      <c r="CY948" s="64"/>
      <c r="CZ948" s="64"/>
      <c r="DA948" s="64"/>
      <c r="DB948" s="64"/>
      <c r="DC948" s="64"/>
      <c r="DD948" s="64"/>
      <c r="DE948" s="64"/>
      <c r="DF948" s="64"/>
      <c r="DG948" s="64"/>
      <c r="DH948" s="64"/>
      <c r="DI948" s="64"/>
      <c r="DJ948" s="64"/>
      <c r="DK948" s="64"/>
      <c r="DL948" s="64"/>
      <c r="DM948" s="64"/>
      <c r="DN948" s="64"/>
      <c r="DO948" s="64"/>
      <c r="DP948" s="64"/>
      <c r="DQ948" s="64"/>
      <c r="DR948" s="64"/>
      <c r="DS948" s="64"/>
      <c r="DT948" s="64"/>
      <c r="DU948" s="64"/>
      <c r="DV948" s="64"/>
      <c r="DW948" s="64"/>
      <c r="DX948" s="64"/>
      <c r="DY948" s="64"/>
      <c r="DZ948" s="64"/>
      <c r="EA948" s="64"/>
      <c r="EB948" s="64"/>
      <c r="EC948" s="64"/>
      <c r="ED948" s="64"/>
    </row>
    <row r="949" spans="26:134" ht="15.75" customHeight="1">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c r="BU949" s="64"/>
      <c r="BV949" s="64"/>
      <c r="BW949" s="64"/>
      <c r="BX949" s="64"/>
      <c r="BY949" s="64"/>
      <c r="BZ949" s="64"/>
      <c r="CA949" s="64"/>
      <c r="CB949" s="64"/>
      <c r="CC949" s="64"/>
      <c r="CD949" s="64"/>
      <c r="CE949" s="64"/>
      <c r="CF949" s="64"/>
      <c r="CG949" s="64"/>
      <c r="CH949" s="64"/>
      <c r="CI949" s="64"/>
      <c r="CJ949" s="64"/>
      <c r="CK949" s="64"/>
      <c r="CL949" s="64"/>
      <c r="CM949" s="64"/>
      <c r="CN949" s="64"/>
      <c r="CO949" s="64"/>
      <c r="CP949" s="64"/>
      <c r="CQ949" s="64"/>
      <c r="CR949" s="64"/>
      <c r="CS949" s="64"/>
      <c r="CT949" s="64"/>
      <c r="CU949" s="64"/>
      <c r="CV949" s="64"/>
      <c r="CW949" s="64"/>
      <c r="CX949" s="64"/>
      <c r="CY949" s="64"/>
      <c r="CZ949" s="64"/>
      <c r="DA949" s="64"/>
      <c r="DB949" s="64"/>
      <c r="DC949" s="64"/>
      <c r="DD949" s="64"/>
      <c r="DE949" s="64"/>
      <c r="DF949" s="64"/>
      <c r="DG949" s="64"/>
      <c r="DH949" s="64"/>
      <c r="DI949" s="64"/>
      <c r="DJ949" s="64"/>
      <c r="DK949" s="64"/>
      <c r="DL949" s="64"/>
      <c r="DM949" s="64"/>
      <c r="DN949" s="64"/>
      <c r="DO949" s="64"/>
      <c r="DP949" s="64"/>
      <c r="DQ949" s="64"/>
      <c r="DR949" s="64"/>
      <c r="DS949" s="64"/>
      <c r="DT949" s="64"/>
      <c r="DU949" s="64"/>
      <c r="DV949" s="64"/>
      <c r="DW949" s="64"/>
      <c r="DX949" s="64"/>
      <c r="DY949" s="64"/>
      <c r="DZ949" s="64"/>
      <c r="EA949" s="64"/>
      <c r="EB949" s="64"/>
      <c r="EC949" s="64"/>
      <c r="ED949" s="64"/>
    </row>
    <row r="950" spans="26:134" ht="15.75" customHeight="1">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c r="BU950" s="64"/>
      <c r="BV950" s="64"/>
      <c r="BW950" s="64"/>
      <c r="BX950" s="64"/>
      <c r="BY950" s="64"/>
      <c r="BZ950" s="64"/>
      <c r="CA950" s="64"/>
      <c r="CB950" s="64"/>
      <c r="CC950" s="64"/>
      <c r="CD950" s="64"/>
      <c r="CE950" s="64"/>
      <c r="CF950" s="64"/>
      <c r="CG950" s="64"/>
      <c r="CH950" s="64"/>
      <c r="CI950" s="64"/>
      <c r="CJ950" s="64"/>
      <c r="CK950" s="64"/>
      <c r="CL950" s="64"/>
      <c r="CM950" s="64"/>
      <c r="CN950" s="64"/>
      <c r="CO950" s="64"/>
      <c r="CP950" s="64"/>
      <c r="CQ950" s="64"/>
      <c r="CR950" s="64"/>
      <c r="CS950" s="64"/>
      <c r="CT950" s="64"/>
      <c r="CU950" s="64"/>
      <c r="CV950" s="64"/>
      <c r="CW950" s="64"/>
      <c r="CX950" s="64"/>
      <c r="CY950" s="64"/>
      <c r="CZ950" s="64"/>
      <c r="DA950" s="64"/>
      <c r="DB950" s="64"/>
      <c r="DC950" s="64"/>
      <c r="DD950" s="64"/>
      <c r="DE950" s="64"/>
      <c r="DF950" s="64"/>
      <c r="DG950" s="64"/>
      <c r="DH950" s="64"/>
      <c r="DI950" s="64"/>
      <c r="DJ950" s="64"/>
      <c r="DK950" s="64"/>
      <c r="DL950" s="64"/>
      <c r="DM950" s="64"/>
      <c r="DN950" s="64"/>
      <c r="DO950" s="64"/>
      <c r="DP950" s="64"/>
      <c r="DQ950" s="64"/>
      <c r="DR950" s="64"/>
      <c r="DS950" s="64"/>
      <c r="DT950" s="64"/>
      <c r="DU950" s="64"/>
      <c r="DV950" s="64"/>
      <c r="DW950" s="64"/>
      <c r="DX950" s="64"/>
      <c r="DY950" s="64"/>
      <c r="DZ950" s="64"/>
      <c r="EA950" s="64"/>
      <c r="EB950" s="64"/>
      <c r="EC950" s="64"/>
      <c r="ED950" s="64"/>
    </row>
    <row r="951" spans="26:134" ht="15.75" customHeight="1">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c r="BU951" s="64"/>
      <c r="BV951" s="64"/>
      <c r="BW951" s="64"/>
      <c r="BX951" s="64"/>
      <c r="BY951" s="64"/>
      <c r="BZ951" s="64"/>
      <c r="CA951" s="64"/>
      <c r="CB951" s="64"/>
      <c r="CC951" s="64"/>
      <c r="CD951" s="64"/>
      <c r="CE951" s="64"/>
      <c r="CF951" s="64"/>
      <c r="CG951" s="64"/>
      <c r="CH951" s="64"/>
      <c r="CI951" s="64"/>
      <c r="CJ951" s="64"/>
      <c r="CK951" s="64"/>
      <c r="CL951" s="64"/>
      <c r="CM951" s="64"/>
      <c r="CN951" s="64"/>
      <c r="CO951" s="64"/>
      <c r="CP951" s="64"/>
      <c r="CQ951" s="64"/>
      <c r="CR951" s="64"/>
      <c r="CS951" s="64"/>
      <c r="CT951" s="64"/>
      <c r="CU951" s="64"/>
      <c r="CV951" s="64"/>
      <c r="CW951" s="64"/>
      <c r="CX951" s="64"/>
      <c r="CY951" s="64"/>
      <c r="CZ951" s="64"/>
      <c r="DA951" s="64"/>
      <c r="DB951" s="64"/>
      <c r="DC951" s="64"/>
      <c r="DD951" s="64"/>
      <c r="DE951" s="64"/>
      <c r="DF951" s="64"/>
      <c r="DG951" s="64"/>
      <c r="DH951" s="64"/>
      <c r="DI951" s="64"/>
      <c r="DJ951" s="64"/>
      <c r="DK951" s="64"/>
      <c r="DL951" s="64"/>
      <c r="DM951" s="64"/>
      <c r="DN951" s="64"/>
      <c r="DO951" s="64"/>
      <c r="DP951" s="64"/>
      <c r="DQ951" s="64"/>
      <c r="DR951" s="64"/>
      <c r="DS951" s="64"/>
      <c r="DT951" s="64"/>
      <c r="DU951" s="64"/>
      <c r="DV951" s="64"/>
      <c r="DW951" s="64"/>
      <c r="DX951" s="64"/>
      <c r="DY951" s="64"/>
      <c r="DZ951" s="64"/>
      <c r="EA951" s="64"/>
      <c r="EB951" s="64"/>
      <c r="EC951" s="64"/>
      <c r="ED951" s="64"/>
    </row>
    <row r="952" spans="26:134" ht="15.75" customHeight="1">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c r="BU952" s="64"/>
      <c r="BV952" s="64"/>
      <c r="BW952" s="64"/>
      <c r="BX952" s="64"/>
      <c r="BY952" s="64"/>
      <c r="BZ952" s="64"/>
      <c r="CA952" s="64"/>
      <c r="CB952" s="64"/>
      <c r="CC952" s="64"/>
      <c r="CD952" s="64"/>
      <c r="CE952" s="64"/>
      <c r="CF952" s="64"/>
      <c r="CG952" s="64"/>
      <c r="CH952" s="64"/>
      <c r="CI952" s="64"/>
      <c r="CJ952" s="64"/>
      <c r="CK952" s="64"/>
      <c r="CL952" s="64"/>
      <c r="CM952" s="64"/>
      <c r="CN952" s="64"/>
      <c r="CO952" s="64"/>
      <c r="CP952" s="64"/>
      <c r="CQ952" s="64"/>
      <c r="CR952" s="64"/>
      <c r="CS952" s="64"/>
      <c r="CT952" s="64"/>
      <c r="CU952" s="64"/>
      <c r="CV952" s="64"/>
      <c r="CW952" s="64"/>
      <c r="CX952" s="64"/>
      <c r="CY952" s="64"/>
      <c r="CZ952" s="64"/>
      <c r="DA952" s="64"/>
      <c r="DB952" s="64"/>
      <c r="DC952" s="64"/>
      <c r="DD952" s="64"/>
      <c r="DE952" s="64"/>
      <c r="DF952" s="64"/>
      <c r="DG952" s="64"/>
      <c r="DH952" s="64"/>
      <c r="DI952" s="64"/>
      <c r="DJ952" s="64"/>
      <c r="DK952" s="64"/>
      <c r="DL952" s="64"/>
      <c r="DM952" s="64"/>
      <c r="DN952" s="64"/>
      <c r="DO952" s="64"/>
      <c r="DP952" s="64"/>
      <c r="DQ952" s="64"/>
      <c r="DR952" s="64"/>
      <c r="DS952" s="64"/>
      <c r="DT952" s="64"/>
      <c r="DU952" s="64"/>
      <c r="DV952" s="64"/>
      <c r="DW952" s="64"/>
      <c r="DX952" s="64"/>
      <c r="DY952" s="64"/>
      <c r="DZ952" s="64"/>
      <c r="EA952" s="64"/>
      <c r="EB952" s="64"/>
      <c r="EC952" s="64"/>
      <c r="ED952" s="64"/>
    </row>
    <row r="953" spans="26:134" ht="15.75" customHeight="1">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c r="BU953" s="64"/>
      <c r="BV953" s="64"/>
      <c r="BW953" s="64"/>
      <c r="BX953" s="64"/>
      <c r="BY953" s="64"/>
      <c r="BZ953" s="64"/>
      <c r="CA953" s="64"/>
      <c r="CB953" s="64"/>
      <c r="CC953" s="64"/>
      <c r="CD953" s="64"/>
      <c r="CE953" s="64"/>
      <c r="CF953" s="64"/>
      <c r="CG953" s="64"/>
      <c r="CH953" s="64"/>
      <c r="CI953" s="64"/>
      <c r="CJ953" s="64"/>
      <c r="CK953" s="64"/>
      <c r="CL953" s="64"/>
      <c r="CM953" s="64"/>
      <c r="CN953" s="64"/>
      <c r="CO953" s="64"/>
      <c r="CP953" s="64"/>
      <c r="CQ953" s="64"/>
      <c r="CR953" s="64"/>
      <c r="CS953" s="64"/>
      <c r="CT953" s="64"/>
      <c r="CU953" s="64"/>
      <c r="CV953" s="64"/>
      <c r="CW953" s="64"/>
      <c r="CX953" s="64"/>
      <c r="CY953" s="64"/>
      <c r="CZ953" s="64"/>
      <c r="DA953" s="64"/>
      <c r="DB953" s="64"/>
      <c r="DC953" s="64"/>
      <c r="DD953" s="64"/>
      <c r="DE953" s="64"/>
      <c r="DF953" s="64"/>
      <c r="DG953" s="64"/>
      <c r="DH953" s="64"/>
      <c r="DI953" s="64"/>
      <c r="DJ953" s="64"/>
      <c r="DK953" s="64"/>
      <c r="DL953" s="64"/>
      <c r="DM953" s="64"/>
      <c r="DN953" s="64"/>
      <c r="DO953" s="64"/>
      <c r="DP953" s="64"/>
      <c r="DQ953" s="64"/>
      <c r="DR953" s="64"/>
      <c r="DS953" s="64"/>
      <c r="DT953" s="64"/>
      <c r="DU953" s="64"/>
      <c r="DV953" s="64"/>
      <c r="DW953" s="64"/>
      <c r="DX953" s="64"/>
      <c r="DY953" s="64"/>
      <c r="DZ953" s="64"/>
      <c r="EA953" s="64"/>
      <c r="EB953" s="64"/>
      <c r="EC953" s="64"/>
      <c r="ED953" s="64"/>
    </row>
    <row r="954" spans="26:134" ht="15.75" customHeight="1">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c r="BU954" s="64"/>
      <c r="BV954" s="64"/>
      <c r="BW954" s="64"/>
      <c r="BX954" s="64"/>
      <c r="BY954" s="64"/>
      <c r="BZ954" s="64"/>
      <c r="CA954" s="64"/>
      <c r="CB954" s="64"/>
      <c r="CC954" s="64"/>
      <c r="CD954" s="64"/>
      <c r="CE954" s="64"/>
      <c r="CF954" s="64"/>
      <c r="CG954" s="64"/>
      <c r="CH954" s="64"/>
      <c r="CI954" s="64"/>
      <c r="CJ954" s="64"/>
      <c r="CK954" s="64"/>
      <c r="CL954" s="64"/>
      <c r="CM954" s="64"/>
      <c r="CN954" s="64"/>
      <c r="CO954" s="64"/>
      <c r="CP954" s="64"/>
      <c r="CQ954" s="64"/>
      <c r="CR954" s="64"/>
      <c r="CS954" s="64"/>
      <c r="CT954" s="64"/>
      <c r="CU954" s="64"/>
      <c r="CV954" s="64"/>
      <c r="CW954" s="64"/>
      <c r="CX954" s="64"/>
      <c r="CY954" s="64"/>
      <c r="CZ954" s="64"/>
      <c r="DA954" s="64"/>
      <c r="DB954" s="64"/>
      <c r="DC954" s="64"/>
      <c r="DD954" s="64"/>
      <c r="DE954" s="64"/>
      <c r="DF954" s="64"/>
      <c r="DG954" s="64"/>
      <c r="DH954" s="64"/>
      <c r="DI954" s="64"/>
      <c r="DJ954" s="64"/>
      <c r="DK954" s="64"/>
      <c r="DL954" s="64"/>
      <c r="DM954" s="64"/>
      <c r="DN954" s="64"/>
      <c r="DO954" s="64"/>
      <c r="DP954" s="64"/>
      <c r="DQ954" s="64"/>
      <c r="DR954" s="64"/>
      <c r="DS954" s="64"/>
      <c r="DT954" s="64"/>
      <c r="DU954" s="64"/>
      <c r="DV954" s="64"/>
      <c r="DW954" s="64"/>
      <c r="DX954" s="64"/>
      <c r="DY954" s="64"/>
      <c r="DZ954" s="64"/>
      <c r="EA954" s="64"/>
      <c r="EB954" s="64"/>
      <c r="EC954" s="64"/>
      <c r="ED954" s="64"/>
    </row>
    <row r="955" spans="26:134" ht="15.75" customHeight="1">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c r="BU955" s="64"/>
      <c r="BV955" s="64"/>
      <c r="BW955" s="64"/>
      <c r="BX955" s="64"/>
      <c r="BY955" s="64"/>
      <c r="BZ955" s="64"/>
      <c r="CA955" s="64"/>
      <c r="CB955" s="64"/>
      <c r="CC955" s="64"/>
      <c r="CD955" s="64"/>
      <c r="CE955" s="64"/>
      <c r="CF955" s="64"/>
      <c r="CG955" s="64"/>
      <c r="CH955" s="64"/>
      <c r="CI955" s="64"/>
      <c r="CJ955" s="64"/>
      <c r="CK955" s="64"/>
      <c r="CL955" s="64"/>
      <c r="CM955" s="64"/>
      <c r="CN955" s="64"/>
      <c r="CO955" s="64"/>
      <c r="CP955" s="64"/>
      <c r="CQ955" s="64"/>
      <c r="CR955" s="64"/>
      <c r="CS955" s="64"/>
      <c r="CT955" s="64"/>
      <c r="CU955" s="64"/>
      <c r="CV955" s="64"/>
      <c r="CW955" s="64"/>
      <c r="CX955" s="64"/>
      <c r="CY955" s="64"/>
      <c r="CZ955" s="64"/>
      <c r="DA955" s="64"/>
      <c r="DB955" s="64"/>
      <c r="DC955" s="64"/>
      <c r="DD955" s="64"/>
      <c r="DE955" s="64"/>
      <c r="DF955" s="64"/>
      <c r="DG955" s="64"/>
      <c r="DH955" s="64"/>
      <c r="DI955" s="64"/>
      <c r="DJ955" s="64"/>
      <c r="DK955" s="64"/>
      <c r="DL955" s="64"/>
      <c r="DM955" s="64"/>
      <c r="DN955" s="64"/>
      <c r="DO955" s="64"/>
      <c r="DP955" s="64"/>
      <c r="DQ955" s="64"/>
      <c r="DR955" s="64"/>
      <c r="DS955" s="64"/>
      <c r="DT955" s="64"/>
      <c r="DU955" s="64"/>
      <c r="DV955" s="64"/>
      <c r="DW955" s="64"/>
      <c r="DX955" s="64"/>
      <c r="DY955" s="64"/>
      <c r="DZ955" s="64"/>
      <c r="EA955" s="64"/>
      <c r="EB955" s="64"/>
      <c r="EC955" s="64"/>
      <c r="ED955" s="64"/>
    </row>
    <row r="956" spans="26:134" ht="15.75" customHeight="1">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c r="BU956" s="64"/>
      <c r="BV956" s="64"/>
      <c r="BW956" s="64"/>
      <c r="BX956" s="64"/>
      <c r="BY956" s="64"/>
      <c r="BZ956" s="64"/>
      <c r="CA956" s="64"/>
      <c r="CB956" s="64"/>
      <c r="CC956" s="64"/>
      <c r="CD956" s="64"/>
      <c r="CE956" s="64"/>
      <c r="CF956" s="64"/>
      <c r="CG956" s="64"/>
      <c r="CH956" s="64"/>
      <c r="CI956" s="64"/>
      <c r="CJ956" s="64"/>
      <c r="CK956" s="64"/>
      <c r="CL956" s="64"/>
      <c r="CM956" s="64"/>
      <c r="CN956" s="64"/>
      <c r="CO956" s="64"/>
      <c r="CP956" s="64"/>
      <c r="CQ956" s="64"/>
      <c r="CR956" s="64"/>
      <c r="CS956" s="64"/>
      <c r="CT956" s="64"/>
      <c r="CU956" s="64"/>
      <c r="CV956" s="64"/>
      <c r="CW956" s="64"/>
      <c r="CX956" s="64"/>
      <c r="CY956" s="64"/>
      <c r="CZ956" s="64"/>
      <c r="DA956" s="64"/>
      <c r="DB956" s="64"/>
      <c r="DC956" s="64"/>
      <c r="DD956" s="64"/>
      <c r="DE956" s="64"/>
      <c r="DF956" s="64"/>
      <c r="DG956" s="64"/>
      <c r="DH956" s="64"/>
      <c r="DI956" s="64"/>
      <c r="DJ956" s="64"/>
      <c r="DK956" s="64"/>
      <c r="DL956" s="64"/>
      <c r="DM956" s="64"/>
      <c r="DN956" s="64"/>
      <c r="DO956" s="64"/>
      <c r="DP956" s="64"/>
      <c r="DQ956" s="64"/>
      <c r="DR956" s="64"/>
      <c r="DS956" s="64"/>
      <c r="DT956" s="64"/>
      <c r="DU956" s="64"/>
      <c r="DV956" s="64"/>
      <c r="DW956" s="64"/>
      <c r="DX956" s="64"/>
      <c r="DY956" s="64"/>
      <c r="DZ956" s="64"/>
      <c r="EA956" s="64"/>
      <c r="EB956" s="64"/>
      <c r="EC956" s="64"/>
      <c r="ED956" s="64"/>
    </row>
    <row r="957" spans="26:134" ht="15.75" customHeight="1">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c r="BU957" s="64"/>
      <c r="BV957" s="64"/>
      <c r="BW957" s="64"/>
      <c r="BX957" s="64"/>
      <c r="BY957" s="64"/>
      <c r="BZ957" s="64"/>
      <c r="CA957" s="64"/>
      <c r="CB957" s="64"/>
      <c r="CC957" s="64"/>
      <c r="CD957" s="64"/>
      <c r="CE957" s="64"/>
      <c r="CF957" s="64"/>
      <c r="CG957" s="64"/>
      <c r="CH957" s="64"/>
      <c r="CI957" s="64"/>
      <c r="CJ957" s="64"/>
      <c r="CK957" s="64"/>
      <c r="CL957" s="64"/>
      <c r="CM957" s="64"/>
      <c r="CN957" s="64"/>
      <c r="CO957" s="64"/>
      <c r="CP957" s="64"/>
      <c r="CQ957" s="64"/>
      <c r="CR957" s="64"/>
      <c r="CS957" s="64"/>
      <c r="CT957" s="64"/>
      <c r="CU957" s="64"/>
      <c r="CV957" s="64"/>
      <c r="CW957" s="64"/>
      <c r="CX957" s="64"/>
      <c r="CY957" s="64"/>
      <c r="CZ957" s="64"/>
      <c r="DA957" s="64"/>
      <c r="DB957" s="64"/>
      <c r="DC957" s="64"/>
      <c r="DD957" s="64"/>
      <c r="DE957" s="64"/>
      <c r="DF957" s="64"/>
      <c r="DG957" s="64"/>
      <c r="DH957" s="64"/>
      <c r="DI957" s="64"/>
      <c r="DJ957" s="64"/>
      <c r="DK957" s="64"/>
      <c r="DL957" s="64"/>
      <c r="DM957" s="64"/>
      <c r="DN957" s="64"/>
      <c r="DO957" s="64"/>
      <c r="DP957" s="64"/>
      <c r="DQ957" s="64"/>
      <c r="DR957" s="64"/>
      <c r="DS957" s="64"/>
      <c r="DT957" s="64"/>
      <c r="DU957" s="64"/>
      <c r="DV957" s="64"/>
      <c r="DW957" s="64"/>
      <c r="DX957" s="64"/>
      <c r="DY957" s="64"/>
      <c r="DZ957" s="64"/>
      <c r="EA957" s="64"/>
      <c r="EB957" s="64"/>
      <c r="EC957" s="64"/>
      <c r="ED957" s="64"/>
    </row>
    <row r="958" spans="26:134" ht="15.75" customHeight="1">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c r="BU958" s="64"/>
      <c r="BV958" s="64"/>
      <c r="BW958" s="64"/>
      <c r="BX958" s="64"/>
      <c r="BY958" s="64"/>
      <c r="BZ958" s="64"/>
      <c r="CA958" s="64"/>
      <c r="CB958" s="64"/>
      <c r="CC958" s="64"/>
      <c r="CD958" s="64"/>
      <c r="CE958" s="64"/>
      <c r="CF958" s="64"/>
      <c r="CG958" s="64"/>
      <c r="CH958" s="64"/>
      <c r="CI958" s="64"/>
      <c r="CJ958" s="64"/>
      <c r="CK958" s="64"/>
      <c r="CL958" s="64"/>
      <c r="CM958" s="64"/>
      <c r="CN958" s="64"/>
      <c r="CO958" s="64"/>
      <c r="CP958" s="64"/>
      <c r="CQ958" s="64"/>
      <c r="CR958" s="64"/>
      <c r="CS958" s="64"/>
      <c r="CT958" s="64"/>
      <c r="CU958" s="64"/>
      <c r="CV958" s="64"/>
      <c r="CW958" s="64"/>
      <c r="CX958" s="64"/>
      <c r="CY958" s="64"/>
      <c r="CZ958" s="64"/>
      <c r="DA958" s="64"/>
      <c r="DB958" s="64"/>
      <c r="DC958" s="64"/>
      <c r="DD958" s="64"/>
      <c r="DE958" s="64"/>
      <c r="DF958" s="64"/>
      <c r="DG958" s="64"/>
      <c r="DH958" s="64"/>
      <c r="DI958" s="64"/>
      <c r="DJ958" s="64"/>
      <c r="DK958" s="64"/>
      <c r="DL958" s="64"/>
      <c r="DM958" s="64"/>
      <c r="DN958" s="64"/>
      <c r="DO958" s="64"/>
      <c r="DP958" s="64"/>
      <c r="DQ958" s="64"/>
      <c r="DR958" s="64"/>
      <c r="DS958" s="64"/>
      <c r="DT958" s="64"/>
      <c r="DU958" s="64"/>
      <c r="DV958" s="64"/>
      <c r="DW958" s="64"/>
      <c r="DX958" s="64"/>
      <c r="DY958" s="64"/>
      <c r="DZ958" s="64"/>
      <c r="EA958" s="64"/>
      <c r="EB958" s="64"/>
      <c r="EC958" s="64"/>
      <c r="ED958" s="64"/>
    </row>
    <row r="959" spans="26:134" ht="15.75" customHeight="1">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c r="BU959" s="64"/>
      <c r="BV959" s="64"/>
      <c r="BW959" s="64"/>
      <c r="BX959" s="64"/>
      <c r="BY959" s="64"/>
      <c r="BZ959" s="64"/>
      <c r="CA959" s="64"/>
      <c r="CB959" s="64"/>
      <c r="CC959" s="64"/>
      <c r="CD959" s="64"/>
      <c r="CE959" s="64"/>
      <c r="CF959" s="64"/>
      <c r="CG959" s="64"/>
      <c r="CH959" s="64"/>
      <c r="CI959" s="64"/>
      <c r="CJ959" s="64"/>
      <c r="CK959" s="64"/>
      <c r="CL959" s="64"/>
      <c r="CM959" s="64"/>
      <c r="CN959" s="64"/>
      <c r="CO959" s="64"/>
      <c r="CP959" s="64"/>
      <c r="CQ959" s="64"/>
      <c r="CR959" s="64"/>
      <c r="CS959" s="64"/>
      <c r="CT959" s="64"/>
      <c r="CU959" s="64"/>
      <c r="CV959" s="64"/>
      <c r="CW959" s="64"/>
      <c r="CX959" s="64"/>
      <c r="CY959" s="64"/>
      <c r="CZ959" s="64"/>
      <c r="DA959" s="64"/>
      <c r="DB959" s="64"/>
      <c r="DC959" s="64"/>
      <c r="DD959" s="64"/>
      <c r="DE959" s="64"/>
      <c r="DF959" s="64"/>
      <c r="DG959" s="64"/>
      <c r="DH959" s="64"/>
      <c r="DI959" s="64"/>
      <c r="DJ959" s="64"/>
      <c r="DK959" s="64"/>
      <c r="DL959" s="64"/>
      <c r="DM959" s="64"/>
      <c r="DN959" s="64"/>
      <c r="DO959" s="64"/>
      <c r="DP959" s="64"/>
      <c r="DQ959" s="64"/>
      <c r="DR959" s="64"/>
      <c r="DS959" s="64"/>
      <c r="DT959" s="64"/>
      <c r="DU959" s="64"/>
      <c r="DV959" s="64"/>
      <c r="DW959" s="64"/>
      <c r="DX959" s="64"/>
      <c r="DY959" s="64"/>
      <c r="DZ959" s="64"/>
      <c r="EA959" s="64"/>
      <c r="EB959" s="64"/>
      <c r="EC959" s="64"/>
      <c r="ED959" s="64"/>
    </row>
    <row r="960" spans="26:134" ht="15.75" customHeight="1">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c r="BU960" s="64"/>
      <c r="BV960" s="64"/>
      <c r="BW960" s="64"/>
      <c r="BX960" s="64"/>
      <c r="BY960" s="64"/>
      <c r="BZ960" s="64"/>
      <c r="CA960" s="64"/>
      <c r="CB960" s="64"/>
      <c r="CC960" s="64"/>
      <c r="CD960" s="64"/>
      <c r="CE960" s="64"/>
      <c r="CF960" s="64"/>
      <c r="CG960" s="64"/>
      <c r="CH960" s="64"/>
      <c r="CI960" s="64"/>
      <c r="CJ960" s="64"/>
      <c r="CK960" s="64"/>
      <c r="CL960" s="64"/>
      <c r="CM960" s="64"/>
      <c r="CN960" s="64"/>
      <c r="CO960" s="64"/>
      <c r="CP960" s="64"/>
      <c r="CQ960" s="64"/>
      <c r="CR960" s="64"/>
      <c r="CS960" s="64"/>
      <c r="CT960" s="64"/>
      <c r="CU960" s="64"/>
      <c r="CV960" s="64"/>
      <c r="CW960" s="64"/>
      <c r="CX960" s="64"/>
      <c r="CY960" s="64"/>
      <c r="CZ960" s="64"/>
      <c r="DA960" s="64"/>
      <c r="DB960" s="64"/>
      <c r="DC960" s="64"/>
      <c r="DD960" s="64"/>
      <c r="DE960" s="64"/>
      <c r="DF960" s="64"/>
      <c r="DG960" s="64"/>
      <c r="DH960" s="64"/>
      <c r="DI960" s="64"/>
      <c r="DJ960" s="64"/>
      <c r="DK960" s="64"/>
      <c r="DL960" s="64"/>
      <c r="DM960" s="64"/>
      <c r="DN960" s="64"/>
      <c r="DO960" s="64"/>
      <c r="DP960" s="64"/>
      <c r="DQ960" s="64"/>
      <c r="DR960" s="64"/>
      <c r="DS960" s="64"/>
      <c r="DT960" s="64"/>
      <c r="DU960" s="64"/>
      <c r="DV960" s="64"/>
      <c r="DW960" s="64"/>
      <c r="DX960" s="64"/>
      <c r="DY960" s="64"/>
      <c r="DZ960" s="64"/>
      <c r="EA960" s="64"/>
      <c r="EB960" s="64"/>
      <c r="EC960" s="64"/>
      <c r="ED960" s="64"/>
    </row>
    <row r="961" spans="26:134" ht="15.75" customHeight="1">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c r="BU961" s="64"/>
      <c r="BV961" s="64"/>
      <c r="BW961" s="64"/>
      <c r="BX961" s="64"/>
      <c r="BY961" s="64"/>
      <c r="BZ961" s="64"/>
      <c r="CA961" s="64"/>
      <c r="CB961" s="64"/>
      <c r="CC961" s="64"/>
      <c r="CD961" s="64"/>
      <c r="CE961" s="64"/>
      <c r="CF961" s="64"/>
      <c r="CG961" s="64"/>
      <c r="CH961" s="64"/>
      <c r="CI961" s="64"/>
      <c r="CJ961" s="64"/>
      <c r="CK961" s="64"/>
      <c r="CL961" s="64"/>
      <c r="CM961" s="64"/>
      <c r="CN961" s="64"/>
      <c r="CO961" s="64"/>
      <c r="CP961" s="64"/>
      <c r="CQ961" s="64"/>
      <c r="CR961" s="64"/>
      <c r="CS961" s="64"/>
      <c r="CT961" s="64"/>
      <c r="CU961" s="64"/>
      <c r="CV961" s="64"/>
      <c r="CW961" s="64"/>
      <c r="CX961" s="64"/>
      <c r="CY961" s="64"/>
      <c r="CZ961" s="64"/>
      <c r="DA961" s="64"/>
      <c r="DB961" s="64"/>
      <c r="DC961" s="64"/>
      <c r="DD961" s="64"/>
      <c r="DE961" s="64"/>
      <c r="DF961" s="64"/>
      <c r="DG961" s="64"/>
      <c r="DH961" s="64"/>
      <c r="DI961" s="64"/>
      <c r="DJ961" s="64"/>
      <c r="DK961" s="64"/>
      <c r="DL961" s="64"/>
      <c r="DM961" s="64"/>
      <c r="DN961" s="64"/>
      <c r="DO961" s="64"/>
      <c r="DP961" s="64"/>
      <c r="DQ961" s="64"/>
      <c r="DR961" s="64"/>
      <c r="DS961" s="64"/>
      <c r="DT961" s="64"/>
      <c r="DU961" s="64"/>
      <c r="DV961" s="64"/>
      <c r="DW961" s="64"/>
      <c r="DX961" s="64"/>
      <c r="DY961" s="64"/>
      <c r="DZ961" s="64"/>
      <c r="EA961" s="64"/>
      <c r="EB961" s="64"/>
      <c r="EC961" s="64"/>
      <c r="ED961" s="64"/>
    </row>
    <row r="962" spans="26:134" ht="15.75" customHeight="1">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c r="BU962" s="64"/>
      <c r="BV962" s="64"/>
      <c r="BW962" s="64"/>
      <c r="BX962" s="64"/>
      <c r="BY962" s="64"/>
      <c r="BZ962" s="64"/>
      <c r="CA962" s="64"/>
      <c r="CB962" s="64"/>
      <c r="CC962" s="64"/>
      <c r="CD962" s="64"/>
      <c r="CE962" s="64"/>
      <c r="CF962" s="64"/>
      <c r="CG962" s="64"/>
      <c r="CH962" s="64"/>
      <c r="CI962" s="64"/>
      <c r="CJ962" s="64"/>
      <c r="CK962" s="64"/>
      <c r="CL962" s="64"/>
      <c r="CM962" s="64"/>
      <c r="CN962" s="64"/>
      <c r="CO962" s="64"/>
      <c r="CP962" s="64"/>
      <c r="CQ962" s="64"/>
      <c r="CR962" s="64"/>
      <c r="CS962" s="64"/>
      <c r="CT962" s="64"/>
      <c r="CU962" s="64"/>
      <c r="CV962" s="64"/>
      <c r="CW962" s="64"/>
      <c r="CX962" s="64"/>
      <c r="CY962" s="64"/>
      <c r="CZ962" s="64"/>
      <c r="DA962" s="64"/>
      <c r="DB962" s="64"/>
      <c r="DC962" s="64"/>
      <c r="DD962" s="64"/>
      <c r="DE962" s="64"/>
      <c r="DF962" s="64"/>
      <c r="DG962" s="64"/>
      <c r="DH962" s="64"/>
      <c r="DI962" s="64"/>
      <c r="DJ962" s="64"/>
      <c r="DK962" s="64"/>
      <c r="DL962" s="64"/>
      <c r="DM962" s="64"/>
      <c r="DN962" s="64"/>
      <c r="DO962" s="64"/>
      <c r="DP962" s="64"/>
      <c r="DQ962" s="64"/>
      <c r="DR962" s="64"/>
      <c r="DS962" s="64"/>
      <c r="DT962" s="64"/>
      <c r="DU962" s="64"/>
      <c r="DV962" s="64"/>
      <c r="DW962" s="64"/>
      <c r="DX962" s="64"/>
      <c r="DY962" s="64"/>
      <c r="DZ962" s="64"/>
      <c r="EA962" s="64"/>
      <c r="EB962" s="64"/>
      <c r="EC962" s="64"/>
      <c r="ED962" s="64"/>
    </row>
    <row r="963" spans="26:134" ht="15.75" customHeight="1">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c r="BU963" s="64"/>
      <c r="BV963" s="64"/>
      <c r="BW963" s="64"/>
      <c r="BX963" s="64"/>
      <c r="BY963" s="64"/>
      <c r="BZ963" s="64"/>
      <c r="CA963" s="64"/>
      <c r="CB963" s="64"/>
      <c r="CC963" s="64"/>
      <c r="CD963" s="64"/>
      <c r="CE963" s="64"/>
      <c r="CF963" s="64"/>
      <c r="CG963" s="64"/>
      <c r="CH963" s="64"/>
      <c r="CI963" s="64"/>
      <c r="CJ963" s="64"/>
      <c r="CK963" s="64"/>
      <c r="CL963" s="64"/>
      <c r="CM963" s="64"/>
      <c r="CN963" s="64"/>
      <c r="CO963" s="64"/>
      <c r="CP963" s="64"/>
      <c r="CQ963" s="64"/>
      <c r="CR963" s="64"/>
      <c r="CS963" s="64"/>
      <c r="CT963" s="64"/>
      <c r="CU963" s="64"/>
      <c r="CV963" s="64"/>
      <c r="CW963" s="64"/>
      <c r="CX963" s="64"/>
      <c r="CY963" s="64"/>
      <c r="CZ963" s="64"/>
      <c r="DA963" s="64"/>
      <c r="DB963" s="64"/>
      <c r="DC963" s="64"/>
      <c r="DD963" s="64"/>
      <c r="DE963" s="64"/>
      <c r="DF963" s="64"/>
      <c r="DG963" s="64"/>
      <c r="DH963" s="64"/>
      <c r="DI963" s="64"/>
      <c r="DJ963" s="64"/>
      <c r="DK963" s="64"/>
      <c r="DL963" s="64"/>
      <c r="DM963" s="64"/>
      <c r="DN963" s="64"/>
      <c r="DO963" s="64"/>
      <c r="DP963" s="64"/>
      <c r="DQ963" s="64"/>
      <c r="DR963" s="64"/>
      <c r="DS963" s="64"/>
      <c r="DT963" s="64"/>
      <c r="DU963" s="64"/>
      <c r="DV963" s="64"/>
      <c r="DW963" s="64"/>
      <c r="DX963" s="64"/>
      <c r="DY963" s="64"/>
      <c r="DZ963" s="64"/>
      <c r="EA963" s="64"/>
      <c r="EB963" s="64"/>
      <c r="EC963" s="64"/>
      <c r="ED963" s="64"/>
    </row>
    <row r="964" spans="26:134" ht="15.75" customHeight="1">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c r="BU964" s="64"/>
      <c r="BV964" s="64"/>
      <c r="BW964" s="64"/>
      <c r="BX964" s="64"/>
      <c r="BY964" s="64"/>
      <c r="BZ964" s="64"/>
      <c r="CA964" s="64"/>
      <c r="CB964" s="64"/>
      <c r="CC964" s="64"/>
      <c r="CD964" s="64"/>
      <c r="CE964" s="64"/>
      <c r="CF964" s="64"/>
      <c r="CG964" s="64"/>
      <c r="CH964" s="64"/>
      <c r="CI964" s="64"/>
      <c r="CJ964" s="64"/>
      <c r="CK964" s="64"/>
      <c r="CL964" s="64"/>
      <c r="CM964" s="64"/>
      <c r="CN964" s="64"/>
      <c r="CO964" s="64"/>
      <c r="CP964" s="64"/>
      <c r="CQ964" s="64"/>
      <c r="CR964" s="64"/>
      <c r="CS964" s="64"/>
      <c r="CT964" s="64"/>
      <c r="CU964" s="64"/>
      <c r="CV964" s="64"/>
      <c r="CW964" s="64"/>
      <c r="CX964" s="64"/>
      <c r="CY964" s="64"/>
      <c r="CZ964" s="64"/>
      <c r="DA964" s="64"/>
      <c r="DB964" s="64"/>
      <c r="DC964" s="64"/>
      <c r="DD964" s="64"/>
      <c r="DE964" s="64"/>
      <c r="DF964" s="64"/>
      <c r="DG964" s="64"/>
      <c r="DH964" s="64"/>
      <c r="DI964" s="64"/>
      <c r="DJ964" s="64"/>
      <c r="DK964" s="64"/>
      <c r="DL964" s="64"/>
      <c r="DM964" s="64"/>
      <c r="DN964" s="64"/>
      <c r="DO964" s="64"/>
      <c r="DP964" s="64"/>
      <c r="DQ964" s="64"/>
      <c r="DR964" s="64"/>
      <c r="DS964" s="64"/>
      <c r="DT964" s="64"/>
      <c r="DU964" s="64"/>
      <c r="DV964" s="64"/>
      <c r="DW964" s="64"/>
      <c r="DX964" s="64"/>
      <c r="DY964" s="64"/>
      <c r="DZ964" s="64"/>
      <c r="EA964" s="64"/>
      <c r="EB964" s="64"/>
      <c r="EC964" s="64"/>
      <c r="ED964" s="64"/>
    </row>
    <row r="965" spans="26:134" ht="15.75" customHeight="1">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c r="BU965" s="64"/>
      <c r="BV965" s="64"/>
      <c r="BW965" s="64"/>
      <c r="BX965" s="64"/>
      <c r="BY965" s="64"/>
      <c r="BZ965" s="64"/>
      <c r="CA965" s="64"/>
      <c r="CB965" s="64"/>
      <c r="CC965" s="64"/>
      <c r="CD965" s="64"/>
      <c r="CE965" s="64"/>
      <c r="CF965" s="64"/>
      <c r="CG965" s="64"/>
      <c r="CH965" s="64"/>
      <c r="CI965" s="64"/>
      <c r="CJ965" s="64"/>
      <c r="CK965" s="64"/>
      <c r="CL965" s="64"/>
      <c r="CM965" s="64"/>
      <c r="CN965" s="64"/>
      <c r="CO965" s="64"/>
      <c r="CP965" s="64"/>
      <c r="CQ965" s="64"/>
      <c r="CR965" s="64"/>
      <c r="CS965" s="64"/>
      <c r="CT965" s="64"/>
      <c r="CU965" s="64"/>
      <c r="CV965" s="64"/>
      <c r="CW965" s="64"/>
      <c r="CX965" s="64"/>
      <c r="CY965" s="64"/>
      <c r="CZ965" s="64"/>
      <c r="DA965" s="64"/>
      <c r="DB965" s="64"/>
      <c r="DC965" s="64"/>
      <c r="DD965" s="64"/>
      <c r="DE965" s="64"/>
      <c r="DF965" s="64"/>
      <c r="DG965" s="64"/>
      <c r="DH965" s="64"/>
      <c r="DI965" s="64"/>
      <c r="DJ965" s="64"/>
      <c r="DK965" s="64"/>
      <c r="DL965" s="64"/>
      <c r="DM965" s="64"/>
      <c r="DN965" s="64"/>
      <c r="DO965" s="64"/>
      <c r="DP965" s="64"/>
      <c r="DQ965" s="64"/>
      <c r="DR965" s="64"/>
      <c r="DS965" s="64"/>
      <c r="DT965" s="64"/>
      <c r="DU965" s="64"/>
      <c r="DV965" s="64"/>
      <c r="DW965" s="64"/>
      <c r="DX965" s="64"/>
      <c r="DY965" s="64"/>
      <c r="DZ965" s="64"/>
      <c r="EA965" s="64"/>
      <c r="EB965" s="64"/>
      <c r="EC965" s="64"/>
      <c r="ED965" s="64"/>
    </row>
    <row r="966" spans="26:134" ht="15.75" customHeight="1">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c r="BU966" s="64"/>
      <c r="BV966" s="64"/>
      <c r="BW966" s="64"/>
      <c r="BX966" s="64"/>
      <c r="BY966" s="64"/>
      <c r="BZ966" s="64"/>
      <c r="CA966" s="64"/>
      <c r="CB966" s="64"/>
      <c r="CC966" s="64"/>
      <c r="CD966" s="64"/>
      <c r="CE966" s="64"/>
      <c r="CF966" s="64"/>
      <c r="CG966" s="64"/>
      <c r="CH966" s="64"/>
      <c r="CI966" s="64"/>
      <c r="CJ966" s="64"/>
      <c r="CK966" s="64"/>
      <c r="CL966" s="64"/>
      <c r="CM966" s="64"/>
      <c r="CN966" s="64"/>
      <c r="CO966" s="64"/>
      <c r="CP966" s="64"/>
      <c r="CQ966" s="64"/>
      <c r="CR966" s="64"/>
      <c r="CS966" s="64"/>
      <c r="CT966" s="64"/>
      <c r="CU966" s="64"/>
      <c r="CV966" s="64"/>
      <c r="CW966" s="64"/>
      <c r="CX966" s="64"/>
      <c r="CY966" s="64"/>
      <c r="CZ966" s="64"/>
      <c r="DA966" s="64"/>
      <c r="DB966" s="64"/>
      <c r="DC966" s="64"/>
      <c r="DD966" s="64"/>
      <c r="DE966" s="64"/>
      <c r="DF966" s="64"/>
      <c r="DG966" s="64"/>
      <c r="DH966" s="64"/>
      <c r="DI966" s="64"/>
      <c r="DJ966" s="64"/>
      <c r="DK966" s="64"/>
      <c r="DL966" s="64"/>
      <c r="DM966" s="64"/>
      <c r="DN966" s="64"/>
      <c r="DO966" s="64"/>
      <c r="DP966" s="64"/>
      <c r="DQ966" s="64"/>
      <c r="DR966" s="64"/>
      <c r="DS966" s="64"/>
      <c r="DT966" s="64"/>
      <c r="DU966" s="64"/>
      <c r="DV966" s="64"/>
      <c r="DW966" s="64"/>
      <c r="DX966" s="64"/>
      <c r="DY966" s="64"/>
      <c r="DZ966" s="64"/>
      <c r="EA966" s="64"/>
      <c r="EB966" s="64"/>
      <c r="EC966" s="64"/>
      <c r="ED966" s="64"/>
    </row>
    <row r="967" spans="26:134" ht="15.75" customHeight="1">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c r="BU967" s="64"/>
      <c r="BV967" s="64"/>
      <c r="BW967" s="64"/>
      <c r="BX967" s="64"/>
      <c r="BY967" s="64"/>
      <c r="BZ967" s="64"/>
      <c r="CA967" s="64"/>
      <c r="CB967" s="64"/>
      <c r="CC967" s="64"/>
      <c r="CD967" s="64"/>
      <c r="CE967" s="64"/>
      <c r="CF967" s="64"/>
      <c r="CG967" s="64"/>
      <c r="CH967" s="64"/>
      <c r="CI967" s="64"/>
      <c r="CJ967" s="64"/>
      <c r="CK967" s="64"/>
      <c r="CL967" s="64"/>
      <c r="CM967" s="64"/>
      <c r="CN967" s="64"/>
      <c r="CO967" s="64"/>
      <c r="CP967" s="64"/>
      <c r="CQ967" s="64"/>
      <c r="CR967" s="64"/>
      <c r="CS967" s="64"/>
      <c r="CT967" s="64"/>
      <c r="CU967" s="64"/>
      <c r="CV967" s="64"/>
      <c r="CW967" s="64"/>
      <c r="CX967" s="64"/>
      <c r="CY967" s="64"/>
      <c r="CZ967" s="64"/>
      <c r="DA967" s="64"/>
      <c r="DB967" s="64"/>
      <c r="DC967" s="64"/>
      <c r="DD967" s="64"/>
      <c r="DE967" s="64"/>
      <c r="DF967" s="64"/>
      <c r="DG967" s="64"/>
      <c r="DH967" s="64"/>
      <c r="DI967" s="64"/>
      <c r="DJ967" s="64"/>
      <c r="DK967" s="64"/>
      <c r="DL967" s="64"/>
      <c r="DM967" s="64"/>
      <c r="DN967" s="64"/>
      <c r="DO967" s="64"/>
      <c r="DP967" s="64"/>
      <c r="DQ967" s="64"/>
      <c r="DR967" s="64"/>
      <c r="DS967" s="64"/>
      <c r="DT967" s="64"/>
      <c r="DU967" s="64"/>
      <c r="DV967" s="64"/>
      <c r="DW967" s="64"/>
      <c r="DX967" s="64"/>
      <c r="DY967" s="64"/>
      <c r="DZ967" s="64"/>
      <c r="EA967" s="64"/>
      <c r="EB967" s="64"/>
      <c r="EC967" s="64"/>
      <c r="ED967" s="64"/>
    </row>
    <row r="968" spans="26:134" ht="15.75" customHeight="1">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c r="BU968" s="64"/>
      <c r="BV968" s="64"/>
      <c r="BW968" s="64"/>
      <c r="BX968" s="64"/>
      <c r="BY968" s="64"/>
      <c r="BZ968" s="64"/>
      <c r="CA968" s="64"/>
      <c r="CB968" s="64"/>
      <c r="CC968" s="64"/>
      <c r="CD968" s="64"/>
      <c r="CE968" s="64"/>
      <c r="CF968" s="64"/>
      <c r="CG968" s="64"/>
      <c r="CH968" s="64"/>
      <c r="CI968" s="64"/>
      <c r="CJ968" s="64"/>
      <c r="CK968" s="64"/>
      <c r="CL968" s="64"/>
      <c r="CM968" s="64"/>
      <c r="CN968" s="64"/>
      <c r="CO968" s="64"/>
      <c r="CP968" s="64"/>
      <c r="CQ968" s="64"/>
      <c r="CR968" s="64"/>
      <c r="CS968" s="64"/>
      <c r="CT968" s="64"/>
      <c r="CU968" s="64"/>
      <c r="CV968" s="64"/>
      <c r="CW968" s="64"/>
      <c r="CX968" s="64"/>
      <c r="CY968" s="64"/>
      <c r="CZ968" s="64"/>
      <c r="DA968" s="64"/>
      <c r="DB968" s="64"/>
      <c r="DC968" s="64"/>
      <c r="DD968" s="64"/>
      <c r="DE968" s="64"/>
      <c r="DF968" s="64"/>
      <c r="DG968" s="64"/>
      <c r="DH968" s="64"/>
      <c r="DI968" s="64"/>
      <c r="DJ968" s="64"/>
      <c r="DK968" s="64"/>
      <c r="DL968" s="64"/>
      <c r="DM968" s="64"/>
      <c r="DN968" s="64"/>
      <c r="DO968" s="64"/>
      <c r="DP968" s="64"/>
      <c r="DQ968" s="64"/>
      <c r="DR968" s="64"/>
      <c r="DS968" s="64"/>
      <c r="DT968" s="64"/>
      <c r="DU968" s="64"/>
      <c r="DV968" s="64"/>
      <c r="DW968" s="64"/>
      <c r="DX968" s="64"/>
      <c r="DY968" s="64"/>
      <c r="DZ968" s="64"/>
      <c r="EA968" s="64"/>
      <c r="EB968" s="64"/>
      <c r="EC968" s="64"/>
      <c r="ED968" s="64"/>
    </row>
    <row r="969" spans="26:134" ht="15.75" customHeight="1">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c r="BU969" s="64"/>
      <c r="BV969" s="64"/>
      <c r="BW969" s="64"/>
      <c r="BX969" s="64"/>
      <c r="BY969" s="64"/>
      <c r="BZ969" s="64"/>
      <c r="CA969" s="64"/>
      <c r="CB969" s="64"/>
      <c r="CC969" s="64"/>
      <c r="CD969" s="64"/>
      <c r="CE969" s="64"/>
      <c r="CF969" s="64"/>
      <c r="CG969" s="64"/>
      <c r="CH969" s="64"/>
      <c r="CI969" s="64"/>
      <c r="CJ969" s="64"/>
      <c r="CK969" s="64"/>
      <c r="CL969" s="64"/>
      <c r="CM969" s="64"/>
      <c r="CN969" s="64"/>
      <c r="CO969" s="64"/>
      <c r="CP969" s="64"/>
      <c r="CQ969" s="64"/>
      <c r="CR969" s="64"/>
      <c r="CS969" s="64"/>
      <c r="CT969" s="64"/>
      <c r="CU969" s="64"/>
      <c r="CV969" s="64"/>
      <c r="CW969" s="64"/>
      <c r="CX969" s="64"/>
      <c r="CY969" s="64"/>
      <c r="CZ969" s="64"/>
      <c r="DA969" s="64"/>
      <c r="DB969" s="64"/>
      <c r="DC969" s="64"/>
      <c r="DD969" s="64"/>
      <c r="DE969" s="64"/>
      <c r="DF969" s="64"/>
      <c r="DG969" s="64"/>
      <c r="DH969" s="64"/>
      <c r="DI969" s="64"/>
      <c r="DJ969" s="64"/>
      <c r="DK969" s="64"/>
      <c r="DL969" s="64"/>
      <c r="DM969" s="64"/>
      <c r="DN969" s="64"/>
      <c r="DO969" s="64"/>
      <c r="DP969" s="64"/>
      <c r="DQ969" s="64"/>
      <c r="DR969" s="64"/>
      <c r="DS969" s="64"/>
      <c r="DT969" s="64"/>
      <c r="DU969" s="64"/>
      <c r="DV969" s="64"/>
      <c r="DW969" s="64"/>
      <c r="DX969" s="64"/>
      <c r="DY969" s="64"/>
      <c r="DZ969" s="64"/>
      <c r="EA969" s="64"/>
      <c r="EB969" s="64"/>
      <c r="EC969" s="64"/>
      <c r="ED969" s="64"/>
    </row>
    <row r="970" spans="26:134" ht="15.75" customHeight="1">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c r="BU970" s="64"/>
      <c r="BV970" s="64"/>
      <c r="BW970" s="64"/>
      <c r="BX970" s="64"/>
      <c r="BY970" s="64"/>
      <c r="BZ970" s="64"/>
      <c r="CA970" s="64"/>
      <c r="CB970" s="64"/>
      <c r="CC970" s="64"/>
      <c r="CD970" s="64"/>
      <c r="CE970" s="64"/>
      <c r="CF970" s="64"/>
      <c r="CG970" s="64"/>
      <c r="CH970" s="64"/>
      <c r="CI970" s="64"/>
      <c r="CJ970" s="64"/>
      <c r="CK970" s="64"/>
      <c r="CL970" s="64"/>
      <c r="CM970" s="64"/>
      <c r="CN970" s="64"/>
      <c r="CO970" s="64"/>
      <c r="CP970" s="64"/>
      <c r="CQ970" s="64"/>
      <c r="CR970" s="64"/>
      <c r="CS970" s="64"/>
      <c r="CT970" s="64"/>
      <c r="CU970" s="64"/>
      <c r="CV970" s="64"/>
      <c r="CW970" s="64"/>
      <c r="CX970" s="64"/>
      <c r="CY970" s="64"/>
      <c r="CZ970" s="64"/>
      <c r="DA970" s="64"/>
      <c r="DB970" s="64"/>
      <c r="DC970" s="64"/>
      <c r="DD970" s="64"/>
      <c r="DE970" s="64"/>
      <c r="DF970" s="64"/>
      <c r="DG970" s="64"/>
      <c r="DH970" s="64"/>
      <c r="DI970" s="64"/>
      <c r="DJ970" s="64"/>
      <c r="DK970" s="64"/>
      <c r="DL970" s="64"/>
      <c r="DM970" s="64"/>
      <c r="DN970" s="64"/>
      <c r="DO970" s="64"/>
      <c r="DP970" s="64"/>
      <c r="DQ970" s="64"/>
      <c r="DR970" s="64"/>
      <c r="DS970" s="64"/>
      <c r="DT970" s="64"/>
      <c r="DU970" s="64"/>
      <c r="DV970" s="64"/>
      <c r="DW970" s="64"/>
      <c r="DX970" s="64"/>
      <c r="DY970" s="64"/>
      <c r="DZ970" s="64"/>
      <c r="EA970" s="64"/>
      <c r="EB970" s="64"/>
      <c r="EC970" s="64"/>
      <c r="ED970" s="64"/>
    </row>
    <row r="971" spans="26:134" ht="15.75" customHeight="1">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c r="BU971" s="64"/>
      <c r="BV971" s="64"/>
      <c r="BW971" s="64"/>
      <c r="BX971" s="64"/>
      <c r="BY971" s="64"/>
      <c r="BZ971" s="64"/>
      <c r="CA971" s="64"/>
      <c r="CB971" s="64"/>
      <c r="CC971" s="64"/>
      <c r="CD971" s="64"/>
      <c r="CE971" s="64"/>
      <c r="CF971" s="64"/>
      <c r="CG971" s="64"/>
      <c r="CH971" s="64"/>
      <c r="CI971" s="64"/>
      <c r="CJ971" s="64"/>
      <c r="CK971" s="64"/>
      <c r="CL971" s="64"/>
      <c r="CM971" s="64"/>
      <c r="CN971" s="64"/>
      <c r="CO971" s="64"/>
      <c r="CP971" s="64"/>
      <c r="CQ971" s="64"/>
      <c r="CR971" s="64"/>
      <c r="CS971" s="64"/>
      <c r="CT971" s="64"/>
      <c r="CU971" s="64"/>
      <c r="CV971" s="64"/>
      <c r="CW971" s="64"/>
      <c r="CX971" s="64"/>
      <c r="CY971" s="64"/>
      <c r="CZ971" s="64"/>
      <c r="DA971" s="64"/>
      <c r="DB971" s="64"/>
      <c r="DC971" s="64"/>
      <c r="DD971" s="64"/>
      <c r="DE971" s="64"/>
      <c r="DF971" s="64"/>
      <c r="DG971" s="64"/>
      <c r="DH971" s="64"/>
      <c r="DI971" s="64"/>
      <c r="DJ971" s="64"/>
      <c r="DK971" s="64"/>
      <c r="DL971" s="64"/>
      <c r="DM971" s="64"/>
      <c r="DN971" s="64"/>
      <c r="DO971" s="64"/>
      <c r="DP971" s="64"/>
      <c r="DQ971" s="64"/>
      <c r="DR971" s="64"/>
      <c r="DS971" s="64"/>
      <c r="DT971" s="64"/>
      <c r="DU971" s="64"/>
      <c r="DV971" s="64"/>
      <c r="DW971" s="64"/>
      <c r="DX971" s="64"/>
      <c r="DY971" s="64"/>
      <c r="DZ971" s="64"/>
      <c r="EA971" s="64"/>
      <c r="EB971" s="64"/>
      <c r="EC971" s="64"/>
      <c r="ED971" s="64"/>
    </row>
    <row r="972" spans="26:134" ht="15.75" customHeight="1">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c r="BU972" s="64"/>
      <c r="BV972" s="64"/>
      <c r="BW972" s="64"/>
      <c r="BX972" s="64"/>
      <c r="BY972" s="64"/>
      <c r="BZ972" s="64"/>
      <c r="CA972" s="64"/>
      <c r="CB972" s="64"/>
      <c r="CC972" s="64"/>
      <c r="CD972" s="64"/>
      <c r="CE972" s="64"/>
      <c r="CF972" s="64"/>
      <c r="CG972" s="64"/>
      <c r="CH972" s="64"/>
      <c r="CI972" s="64"/>
      <c r="CJ972" s="64"/>
      <c r="CK972" s="64"/>
      <c r="CL972" s="64"/>
      <c r="CM972" s="64"/>
      <c r="CN972" s="64"/>
      <c r="CO972" s="64"/>
      <c r="CP972" s="64"/>
      <c r="CQ972" s="64"/>
      <c r="CR972" s="64"/>
      <c r="CS972" s="64"/>
      <c r="CT972" s="64"/>
      <c r="CU972" s="64"/>
      <c r="CV972" s="64"/>
      <c r="CW972" s="64"/>
      <c r="CX972" s="64"/>
      <c r="CY972" s="64"/>
      <c r="CZ972" s="64"/>
      <c r="DA972" s="64"/>
      <c r="DB972" s="64"/>
      <c r="DC972" s="64"/>
      <c r="DD972" s="64"/>
      <c r="DE972" s="64"/>
      <c r="DF972" s="64"/>
      <c r="DG972" s="64"/>
      <c r="DH972" s="64"/>
      <c r="DI972" s="64"/>
      <c r="DJ972" s="64"/>
      <c r="DK972" s="64"/>
      <c r="DL972" s="64"/>
      <c r="DM972" s="64"/>
      <c r="DN972" s="64"/>
      <c r="DO972" s="64"/>
      <c r="DP972" s="64"/>
      <c r="DQ972" s="64"/>
      <c r="DR972" s="64"/>
      <c r="DS972" s="64"/>
      <c r="DT972" s="64"/>
      <c r="DU972" s="64"/>
      <c r="DV972" s="64"/>
      <c r="DW972" s="64"/>
      <c r="DX972" s="64"/>
      <c r="DY972" s="64"/>
      <c r="DZ972" s="64"/>
      <c r="EA972" s="64"/>
      <c r="EB972" s="64"/>
      <c r="EC972" s="64"/>
      <c r="ED972" s="64"/>
    </row>
    <row r="973" spans="26:134" ht="15.75" customHeight="1">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c r="BU973" s="64"/>
      <c r="BV973" s="64"/>
      <c r="BW973" s="64"/>
      <c r="BX973" s="64"/>
      <c r="BY973" s="64"/>
      <c r="BZ973" s="64"/>
      <c r="CA973" s="64"/>
      <c r="CB973" s="64"/>
      <c r="CC973" s="64"/>
      <c r="CD973" s="64"/>
      <c r="CE973" s="64"/>
      <c r="CF973" s="64"/>
      <c r="CG973" s="64"/>
      <c r="CH973" s="64"/>
      <c r="CI973" s="64"/>
      <c r="CJ973" s="64"/>
      <c r="CK973" s="64"/>
      <c r="CL973" s="64"/>
      <c r="CM973" s="64"/>
      <c r="CN973" s="64"/>
      <c r="CO973" s="64"/>
      <c r="CP973" s="64"/>
      <c r="CQ973" s="64"/>
      <c r="CR973" s="64"/>
      <c r="CS973" s="64"/>
      <c r="CT973" s="64"/>
      <c r="CU973" s="64"/>
      <c r="CV973" s="64"/>
      <c r="CW973" s="64"/>
      <c r="CX973" s="64"/>
      <c r="CY973" s="64"/>
      <c r="CZ973" s="64"/>
      <c r="DA973" s="64"/>
      <c r="DB973" s="64"/>
      <c r="DC973" s="64"/>
      <c r="DD973" s="64"/>
      <c r="DE973" s="64"/>
      <c r="DF973" s="64"/>
      <c r="DG973" s="64"/>
      <c r="DH973" s="64"/>
      <c r="DI973" s="64"/>
      <c r="DJ973" s="64"/>
      <c r="DK973" s="64"/>
      <c r="DL973" s="64"/>
      <c r="DM973" s="64"/>
      <c r="DN973" s="64"/>
      <c r="DO973" s="64"/>
      <c r="DP973" s="64"/>
      <c r="DQ973" s="64"/>
      <c r="DR973" s="64"/>
      <c r="DS973" s="64"/>
      <c r="DT973" s="64"/>
      <c r="DU973" s="64"/>
      <c r="DV973" s="64"/>
      <c r="DW973" s="64"/>
      <c r="DX973" s="64"/>
      <c r="DY973" s="64"/>
      <c r="DZ973" s="64"/>
      <c r="EA973" s="64"/>
      <c r="EB973" s="64"/>
      <c r="EC973" s="64"/>
      <c r="ED973" s="64"/>
    </row>
    <row r="974" spans="26:134" ht="15.75" customHeight="1">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c r="BU974" s="64"/>
      <c r="BV974" s="64"/>
      <c r="BW974" s="64"/>
      <c r="BX974" s="64"/>
      <c r="BY974" s="64"/>
      <c r="BZ974" s="64"/>
      <c r="CA974" s="64"/>
      <c r="CB974" s="64"/>
      <c r="CC974" s="64"/>
      <c r="CD974" s="64"/>
      <c r="CE974" s="64"/>
      <c r="CF974" s="64"/>
      <c r="CG974" s="64"/>
      <c r="CH974" s="64"/>
      <c r="CI974" s="64"/>
      <c r="CJ974" s="64"/>
      <c r="CK974" s="64"/>
      <c r="CL974" s="64"/>
      <c r="CM974" s="64"/>
      <c r="CN974" s="64"/>
      <c r="CO974" s="64"/>
      <c r="CP974" s="64"/>
      <c r="CQ974" s="64"/>
      <c r="CR974" s="64"/>
      <c r="CS974" s="64"/>
      <c r="CT974" s="64"/>
      <c r="CU974" s="64"/>
      <c r="CV974" s="64"/>
      <c r="CW974" s="64"/>
      <c r="CX974" s="64"/>
      <c r="CY974" s="64"/>
      <c r="CZ974" s="64"/>
      <c r="DA974" s="64"/>
      <c r="DB974" s="64"/>
      <c r="DC974" s="64"/>
      <c r="DD974" s="64"/>
      <c r="DE974" s="64"/>
      <c r="DF974" s="64"/>
      <c r="DG974" s="64"/>
      <c r="DH974" s="64"/>
      <c r="DI974" s="64"/>
      <c r="DJ974" s="64"/>
      <c r="DK974" s="64"/>
      <c r="DL974" s="64"/>
      <c r="DM974" s="64"/>
      <c r="DN974" s="64"/>
      <c r="DO974" s="64"/>
      <c r="DP974" s="64"/>
      <c r="DQ974" s="64"/>
      <c r="DR974" s="64"/>
      <c r="DS974" s="64"/>
      <c r="DT974" s="64"/>
      <c r="DU974" s="64"/>
      <c r="DV974" s="64"/>
      <c r="DW974" s="64"/>
      <c r="DX974" s="64"/>
      <c r="DY974" s="64"/>
      <c r="DZ974" s="64"/>
      <c r="EA974" s="64"/>
      <c r="EB974" s="64"/>
      <c r="EC974" s="64"/>
      <c r="ED974" s="64"/>
    </row>
    <row r="975" spans="26:134" ht="15.75" customHeight="1">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c r="BU975" s="64"/>
      <c r="BV975" s="64"/>
      <c r="BW975" s="64"/>
      <c r="BX975" s="64"/>
      <c r="BY975" s="64"/>
      <c r="BZ975" s="64"/>
      <c r="CA975" s="64"/>
      <c r="CB975" s="64"/>
      <c r="CC975" s="64"/>
      <c r="CD975" s="64"/>
      <c r="CE975" s="64"/>
      <c r="CF975" s="64"/>
      <c r="CG975" s="64"/>
      <c r="CH975" s="64"/>
      <c r="CI975" s="64"/>
      <c r="CJ975" s="64"/>
      <c r="CK975" s="64"/>
      <c r="CL975" s="64"/>
      <c r="CM975" s="64"/>
      <c r="CN975" s="64"/>
      <c r="CO975" s="64"/>
      <c r="CP975" s="64"/>
      <c r="CQ975" s="64"/>
      <c r="CR975" s="64"/>
      <c r="CS975" s="64"/>
      <c r="CT975" s="64"/>
      <c r="CU975" s="64"/>
      <c r="CV975" s="64"/>
      <c r="CW975" s="64"/>
      <c r="CX975" s="64"/>
      <c r="CY975" s="64"/>
      <c r="CZ975" s="64"/>
      <c r="DA975" s="64"/>
      <c r="DB975" s="64"/>
      <c r="DC975" s="64"/>
      <c r="DD975" s="64"/>
      <c r="DE975" s="64"/>
      <c r="DF975" s="64"/>
      <c r="DG975" s="64"/>
      <c r="DH975" s="64"/>
      <c r="DI975" s="64"/>
      <c r="DJ975" s="64"/>
      <c r="DK975" s="64"/>
      <c r="DL975" s="64"/>
      <c r="DM975" s="64"/>
      <c r="DN975" s="64"/>
      <c r="DO975" s="64"/>
      <c r="DP975" s="64"/>
      <c r="DQ975" s="64"/>
      <c r="DR975" s="64"/>
      <c r="DS975" s="64"/>
      <c r="DT975" s="64"/>
      <c r="DU975" s="64"/>
      <c r="DV975" s="64"/>
      <c r="DW975" s="64"/>
      <c r="DX975" s="64"/>
      <c r="DY975" s="64"/>
      <c r="DZ975" s="64"/>
      <c r="EA975" s="64"/>
      <c r="EB975" s="64"/>
      <c r="EC975" s="64"/>
      <c r="ED975" s="64"/>
    </row>
    <row r="976" spans="26:134" ht="15.75" customHeight="1">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c r="BU976" s="64"/>
      <c r="BV976" s="64"/>
      <c r="BW976" s="64"/>
      <c r="BX976" s="64"/>
      <c r="BY976" s="64"/>
      <c r="BZ976" s="64"/>
      <c r="CA976" s="64"/>
      <c r="CB976" s="64"/>
      <c r="CC976" s="64"/>
      <c r="CD976" s="64"/>
      <c r="CE976" s="64"/>
      <c r="CF976" s="64"/>
      <c r="CG976" s="64"/>
      <c r="CH976" s="64"/>
      <c r="CI976" s="64"/>
      <c r="CJ976" s="64"/>
      <c r="CK976" s="64"/>
      <c r="CL976" s="64"/>
      <c r="CM976" s="64"/>
      <c r="CN976" s="64"/>
      <c r="CO976" s="64"/>
      <c r="CP976" s="64"/>
      <c r="CQ976" s="64"/>
      <c r="CR976" s="64"/>
      <c r="CS976" s="64"/>
      <c r="CT976" s="64"/>
      <c r="CU976" s="64"/>
      <c r="CV976" s="64"/>
      <c r="CW976" s="64"/>
      <c r="CX976" s="64"/>
      <c r="CY976" s="64"/>
      <c r="CZ976" s="64"/>
      <c r="DA976" s="64"/>
      <c r="DB976" s="64"/>
      <c r="DC976" s="64"/>
      <c r="DD976" s="64"/>
      <c r="DE976" s="64"/>
      <c r="DF976" s="64"/>
      <c r="DG976" s="64"/>
      <c r="DH976" s="64"/>
      <c r="DI976" s="64"/>
      <c r="DJ976" s="64"/>
      <c r="DK976" s="64"/>
      <c r="DL976" s="64"/>
      <c r="DM976" s="64"/>
      <c r="DN976" s="64"/>
      <c r="DO976" s="64"/>
      <c r="DP976" s="64"/>
      <c r="DQ976" s="64"/>
      <c r="DR976" s="64"/>
      <c r="DS976" s="64"/>
      <c r="DT976" s="64"/>
      <c r="DU976" s="64"/>
      <c r="DV976" s="64"/>
      <c r="DW976" s="64"/>
      <c r="DX976" s="64"/>
      <c r="DY976" s="64"/>
      <c r="DZ976" s="64"/>
      <c r="EA976" s="64"/>
      <c r="EB976" s="64"/>
      <c r="EC976" s="64"/>
      <c r="ED976" s="64"/>
    </row>
    <row r="977" spans="26:134" ht="15.75" customHeight="1">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c r="BU977" s="64"/>
      <c r="BV977" s="64"/>
      <c r="BW977" s="64"/>
      <c r="BX977" s="64"/>
      <c r="BY977" s="64"/>
      <c r="BZ977" s="64"/>
      <c r="CA977" s="64"/>
      <c r="CB977" s="64"/>
      <c r="CC977" s="64"/>
      <c r="CD977" s="64"/>
      <c r="CE977" s="64"/>
      <c r="CF977" s="64"/>
      <c r="CG977" s="64"/>
      <c r="CH977" s="64"/>
      <c r="CI977" s="64"/>
      <c r="CJ977" s="64"/>
      <c r="CK977" s="64"/>
      <c r="CL977" s="64"/>
      <c r="CM977" s="64"/>
      <c r="CN977" s="64"/>
      <c r="CO977" s="64"/>
      <c r="CP977" s="64"/>
      <c r="CQ977" s="64"/>
      <c r="CR977" s="64"/>
      <c r="CS977" s="64"/>
      <c r="CT977" s="64"/>
      <c r="CU977" s="64"/>
      <c r="CV977" s="64"/>
      <c r="CW977" s="64"/>
      <c r="CX977" s="64"/>
      <c r="CY977" s="64"/>
      <c r="CZ977" s="64"/>
      <c r="DA977" s="64"/>
      <c r="DB977" s="64"/>
      <c r="DC977" s="64"/>
      <c r="DD977" s="64"/>
      <c r="DE977" s="64"/>
      <c r="DF977" s="64"/>
      <c r="DG977" s="64"/>
      <c r="DH977" s="64"/>
      <c r="DI977" s="64"/>
      <c r="DJ977" s="64"/>
      <c r="DK977" s="64"/>
      <c r="DL977" s="64"/>
      <c r="DM977" s="64"/>
      <c r="DN977" s="64"/>
      <c r="DO977" s="64"/>
      <c r="DP977" s="64"/>
      <c r="DQ977" s="64"/>
      <c r="DR977" s="64"/>
      <c r="DS977" s="64"/>
      <c r="DT977" s="64"/>
      <c r="DU977" s="64"/>
      <c r="DV977" s="64"/>
      <c r="DW977" s="64"/>
      <c r="DX977" s="64"/>
      <c r="DY977" s="64"/>
      <c r="DZ977" s="64"/>
      <c r="EA977" s="64"/>
      <c r="EB977" s="64"/>
      <c r="EC977" s="64"/>
      <c r="ED977" s="64"/>
    </row>
    <row r="978" spans="26:134" ht="15.75" customHeight="1">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c r="BU978" s="64"/>
      <c r="BV978" s="64"/>
      <c r="BW978" s="64"/>
      <c r="BX978" s="64"/>
      <c r="BY978" s="64"/>
      <c r="BZ978" s="64"/>
      <c r="CA978" s="64"/>
      <c r="CB978" s="64"/>
      <c r="CC978" s="64"/>
      <c r="CD978" s="64"/>
      <c r="CE978" s="64"/>
      <c r="CF978" s="64"/>
      <c r="CG978" s="64"/>
      <c r="CH978" s="64"/>
      <c r="CI978" s="64"/>
      <c r="CJ978" s="64"/>
      <c r="CK978" s="64"/>
      <c r="CL978" s="64"/>
      <c r="CM978" s="64"/>
      <c r="CN978" s="64"/>
      <c r="CO978" s="64"/>
      <c r="CP978" s="64"/>
      <c r="CQ978" s="64"/>
      <c r="CR978" s="64"/>
      <c r="CS978" s="64"/>
      <c r="CT978" s="64"/>
      <c r="CU978" s="64"/>
      <c r="CV978" s="64"/>
      <c r="CW978" s="64"/>
      <c r="CX978" s="64"/>
      <c r="CY978" s="64"/>
      <c r="CZ978" s="64"/>
      <c r="DA978" s="64"/>
      <c r="DB978" s="64"/>
      <c r="DC978" s="64"/>
      <c r="DD978" s="64"/>
      <c r="DE978" s="64"/>
      <c r="DF978" s="64"/>
      <c r="DG978" s="64"/>
      <c r="DH978" s="64"/>
      <c r="DI978" s="64"/>
      <c r="DJ978" s="64"/>
      <c r="DK978" s="64"/>
      <c r="DL978" s="64"/>
      <c r="DM978" s="64"/>
      <c r="DN978" s="64"/>
      <c r="DO978" s="64"/>
      <c r="DP978" s="64"/>
      <c r="DQ978" s="64"/>
      <c r="DR978" s="64"/>
      <c r="DS978" s="64"/>
      <c r="DT978" s="64"/>
      <c r="DU978" s="64"/>
      <c r="DV978" s="64"/>
      <c r="DW978" s="64"/>
      <c r="DX978" s="64"/>
      <c r="DY978" s="64"/>
      <c r="DZ978" s="64"/>
      <c r="EA978" s="64"/>
      <c r="EB978" s="64"/>
      <c r="EC978" s="64"/>
      <c r="ED978" s="64"/>
    </row>
    <row r="979" spans="26:134" ht="15.75" customHeight="1">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c r="BU979" s="64"/>
      <c r="BV979" s="64"/>
      <c r="BW979" s="64"/>
      <c r="BX979" s="64"/>
      <c r="BY979" s="64"/>
      <c r="BZ979" s="64"/>
      <c r="CA979" s="64"/>
      <c r="CB979" s="64"/>
      <c r="CC979" s="64"/>
      <c r="CD979" s="64"/>
      <c r="CE979" s="64"/>
      <c r="CF979" s="64"/>
      <c r="CG979" s="64"/>
      <c r="CH979" s="64"/>
      <c r="CI979" s="64"/>
      <c r="CJ979" s="64"/>
      <c r="CK979" s="64"/>
      <c r="CL979" s="64"/>
      <c r="CM979" s="64"/>
      <c r="CN979" s="64"/>
      <c r="CO979" s="64"/>
      <c r="CP979" s="64"/>
      <c r="CQ979" s="64"/>
      <c r="CR979" s="64"/>
      <c r="CS979" s="64"/>
      <c r="CT979" s="64"/>
      <c r="CU979" s="64"/>
      <c r="CV979" s="64"/>
      <c r="CW979" s="64"/>
      <c r="CX979" s="64"/>
      <c r="CY979" s="64"/>
      <c r="CZ979" s="64"/>
      <c r="DA979" s="64"/>
      <c r="DB979" s="64"/>
      <c r="DC979" s="64"/>
      <c r="DD979" s="64"/>
      <c r="DE979" s="64"/>
      <c r="DF979" s="64"/>
      <c r="DG979" s="64"/>
      <c r="DH979" s="64"/>
      <c r="DI979" s="64"/>
      <c r="DJ979" s="64"/>
      <c r="DK979" s="64"/>
      <c r="DL979" s="64"/>
      <c r="DM979" s="64"/>
      <c r="DN979" s="64"/>
      <c r="DO979" s="64"/>
      <c r="DP979" s="64"/>
      <c r="DQ979" s="64"/>
      <c r="DR979" s="64"/>
      <c r="DS979" s="64"/>
      <c r="DT979" s="64"/>
      <c r="DU979" s="64"/>
      <c r="DV979" s="64"/>
      <c r="DW979" s="64"/>
      <c r="DX979" s="64"/>
      <c r="DY979" s="64"/>
      <c r="DZ979" s="64"/>
      <c r="EA979" s="64"/>
      <c r="EB979" s="64"/>
      <c r="EC979" s="64"/>
      <c r="ED979" s="64"/>
    </row>
    <row r="980" spans="26:134" ht="15.75" customHeight="1">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c r="BU980" s="64"/>
      <c r="BV980" s="64"/>
      <c r="BW980" s="64"/>
      <c r="BX980" s="64"/>
      <c r="BY980" s="64"/>
      <c r="BZ980" s="64"/>
      <c r="CA980" s="64"/>
      <c r="CB980" s="64"/>
      <c r="CC980" s="64"/>
      <c r="CD980" s="64"/>
      <c r="CE980" s="64"/>
      <c r="CF980" s="64"/>
      <c r="CG980" s="64"/>
      <c r="CH980" s="64"/>
      <c r="CI980" s="64"/>
      <c r="CJ980" s="64"/>
      <c r="CK980" s="64"/>
      <c r="CL980" s="64"/>
      <c r="CM980" s="64"/>
      <c r="CN980" s="64"/>
      <c r="CO980" s="64"/>
      <c r="CP980" s="64"/>
      <c r="CQ980" s="64"/>
      <c r="CR980" s="64"/>
      <c r="CS980" s="64"/>
      <c r="CT980" s="64"/>
      <c r="CU980" s="64"/>
      <c r="CV980" s="64"/>
      <c r="CW980" s="64"/>
      <c r="CX980" s="64"/>
      <c r="CY980" s="64"/>
      <c r="CZ980" s="64"/>
      <c r="DA980" s="64"/>
      <c r="DB980" s="64"/>
      <c r="DC980" s="64"/>
      <c r="DD980" s="64"/>
      <c r="DE980" s="64"/>
      <c r="DF980" s="64"/>
      <c r="DG980" s="64"/>
      <c r="DH980" s="64"/>
      <c r="DI980" s="64"/>
      <c r="DJ980" s="64"/>
      <c r="DK980" s="64"/>
      <c r="DL980" s="64"/>
      <c r="DM980" s="64"/>
      <c r="DN980" s="64"/>
      <c r="DO980" s="64"/>
      <c r="DP980" s="64"/>
      <c r="DQ980" s="64"/>
      <c r="DR980" s="64"/>
      <c r="DS980" s="64"/>
      <c r="DT980" s="64"/>
      <c r="DU980" s="64"/>
      <c r="DV980" s="64"/>
      <c r="DW980" s="64"/>
      <c r="DX980" s="64"/>
      <c r="DY980" s="64"/>
      <c r="DZ980" s="64"/>
      <c r="EA980" s="64"/>
      <c r="EB980" s="64"/>
      <c r="EC980" s="64"/>
      <c r="ED980" s="64"/>
    </row>
    <row r="981" spans="26:134" ht="15.75" customHeight="1">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c r="BU981" s="64"/>
      <c r="BV981" s="64"/>
      <c r="BW981" s="64"/>
      <c r="BX981" s="64"/>
      <c r="BY981" s="64"/>
      <c r="BZ981" s="64"/>
      <c r="CA981" s="64"/>
      <c r="CB981" s="64"/>
      <c r="CC981" s="64"/>
      <c r="CD981" s="64"/>
      <c r="CE981" s="64"/>
      <c r="CF981" s="64"/>
      <c r="CG981" s="64"/>
      <c r="CH981" s="64"/>
      <c r="CI981" s="64"/>
      <c r="CJ981" s="64"/>
      <c r="CK981" s="64"/>
      <c r="CL981" s="64"/>
      <c r="CM981" s="64"/>
      <c r="CN981" s="64"/>
      <c r="CO981" s="64"/>
      <c r="CP981" s="64"/>
      <c r="CQ981" s="64"/>
      <c r="CR981" s="64"/>
      <c r="CS981" s="64"/>
      <c r="CT981" s="64"/>
      <c r="CU981" s="64"/>
      <c r="CV981" s="64"/>
      <c r="CW981" s="64"/>
      <c r="CX981" s="64"/>
      <c r="CY981" s="64"/>
      <c r="CZ981" s="64"/>
      <c r="DA981" s="64"/>
      <c r="DB981" s="64"/>
      <c r="DC981" s="64"/>
      <c r="DD981" s="64"/>
      <c r="DE981" s="64"/>
      <c r="DF981" s="64"/>
      <c r="DG981" s="64"/>
      <c r="DH981" s="64"/>
      <c r="DI981" s="64"/>
      <c r="DJ981" s="64"/>
      <c r="DK981" s="64"/>
      <c r="DL981" s="64"/>
      <c r="DM981" s="64"/>
      <c r="DN981" s="64"/>
      <c r="DO981" s="64"/>
      <c r="DP981" s="64"/>
      <c r="DQ981" s="64"/>
      <c r="DR981" s="64"/>
      <c r="DS981" s="64"/>
      <c r="DT981" s="64"/>
      <c r="DU981" s="64"/>
      <c r="DV981" s="64"/>
      <c r="DW981" s="64"/>
      <c r="DX981" s="64"/>
      <c r="DY981" s="64"/>
      <c r="DZ981" s="64"/>
      <c r="EA981" s="64"/>
      <c r="EB981" s="64"/>
      <c r="EC981" s="64"/>
      <c r="ED981" s="64"/>
    </row>
    <row r="982" spans="26:134" ht="15.75" customHeight="1">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c r="BU982" s="64"/>
      <c r="BV982" s="64"/>
      <c r="BW982" s="64"/>
      <c r="BX982" s="64"/>
      <c r="BY982" s="64"/>
      <c r="BZ982" s="64"/>
      <c r="CA982" s="64"/>
      <c r="CB982" s="64"/>
      <c r="CC982" s="64"/>
      <c r="CD982" s="64"/>
      <c r="CE982" s="64"/>
      <c r="CF982" s="64"/>
      <c r="CG982" s="64"/>
      <c r="CH982" s="64"/>
      <c r="CI982" s="64"/>
      <c r="CJ982" s="64"/>
      <c r="CK982" s="64"/>
      <c r="CL982" s="64"/>
      <c r="CM982" s="64"/>
      <c r="CN982" s="64"/>
      <c r="CO982" s="64"/>
      <c r="CP982" s="64"/>
      <c r="CQ982" s="64"/>
      <c r="CR982" s="64"/>
      <c r="CS982" s="64"/>
      <c r="CT982" s="64"/>
      <c r="CU982" s="64"/>
      <c r="CV982" s="64"/>
      <c r="CW982" s="64"/>
      <c r="CX982" s="64"/>
      <c r="CY982" s="64"/>
      <c r="CZ982" s="64"/>
      <c r="DA982" s="64"/>
      <c r="DB982" s="64"/>
      <c r="DC982" s="64"/>
      <c r="DD982" s="64"/>
      <c r="DE982" s="64"/>
      <c r="DF982" s="64"/>
      <c r="DG982" s="64"/>
      <c r="DH982" s="64"/>
      <c r="DI982" s="64"/>
      <c r="DJ982" s="64"/>
      <c r="DK982" s="64"/>
      <c r="DL982" s="64"/>
      <c r="DM982" s="64"/>
      <c r="DN982" s="64"/>
      <c r="DO982" s="64"/>
      <c r="DP982" s="64"/>
      <c r="DQ982" s="64"/>
      <c r="DR982" s="64"/>
      <c r="DS982" s="64"/>
      <c r="DT982" s="64"/>
      <c r="DU982" s="64"/>
      <c r="DV982" s="64"/>
      <c r="DW982" s="64"/>
      <c r="DX982" s="64"/>
      <c r="DY982" s="64"/>
      <c r="DZ982" s="64"/>
      <c r="EA982" s="64"/>
      <c r="EB982" s="64"/>
      <c r="EC982" s="64"/>
      <c r="ED982" s="64"/>
    </row>
    <row r="983" spans="26:134" ht="15.75" customHeight="1">
      <c r="Z983" s="64"/>
      <c r="AA983" s="64"/>
      <c r="AB983" s="64"/>
      <c r="AC983" s="64"/>
      <c r="AD983" s="64"/>
      <c r="AE983" s="64"/>
      <c r="AF983" s="64"/>
      <c r="AG983" s="64"/>
      <c r="AH983" s="64"/>
      <c r="AI983" s="64"/>
      <c r="AJ983" s="64"/>
      <c r="AK983" s="64"/>
      <c r="AL983" s="64"/>
      <c r="AM983" s="64"/>
      <c r="AN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c r="BU983" s="64"/>
      <c r="BV983" s="64"/>
      <c r="BW983" s="64"/>
      <c r="BX983" s="64"/>
      <c r="BY983" s="64"/>
      <c r="BZ983" s="64"/>
      <c r="CA983" s="64"/>
      <c r="CB983" s="64"/>
      <c r="CC983" s="64"/>
      <c r="CD983" s="64"/>
      <c r="CE983" s="64"/>
      <c r="CF983" s="64"/>
      <c r="CG983" s="64"/>
      <c r="CH983" s="64"/>
      <c r="CI983" s="64"/>
      <c r="CJ983" s="64"/>
      <c r="CK983" s="64"/>
      <c r="CL983" s="64"/>
      <c r="CM983" s="64"/>
      <c r="CN983" s="64"/>
      <c r="CO983" s="64"/>
      <c r="CP983" s="64"/>
      <c r="CQ983" s="64"/>
      <c r="CR983" s="64"/>
      <c r="CS983" s="64"/>
      <c r="CT983" s="64"/>
      <c r="CU983" s="64"/>
      <c r="CV983" s="64"/>
      <c r="CW983" s="64"/>
      <c r="CX983" s="64"/>
      <c r="CY983" s="64"/>
      <c r="CZ983" s="64"/>
      <c r="DA983" s="64"/>
      <c r="DB983" s="64"/>
      <c r="DC983" s="64"/>
      <c r="DD983" s="64"/>
      <c r="DE983" s="64"/>
      <c r="DF983" s="64"/>
      <c r="DG983" s="64"/>
      <c r="DH983" s="64"/>
      <c r="DI983" s="64"/>
      <c r="DJ983" s="64"/>
      <c r="DK983" s="64"/>
      <c r="DL983" s="64"/>
      <c r="DM983" s="64"/>
      <c r="DN983" s="64"/>
      <c r="DO983" s="64"/>
      <c r="DP983" s="64"/>
      <c r="DQ983" s="64"/>
      <c r="DR983" s="64"/>
      <c r="DS983" s="64"/>
      <c r="DT983" s="64"/>
      <c r="DU983" s="64"/>
      <c r="DV983" s="64"/>
      <c r="DW983" s="64"/>
      <c r="DX983" s="64"/>
      <c r="DY983" s="64"/>
      <c r="DZ983" s="64"/>
      <c r="EA983" s="64"/>
      <c r="EB983" s="64"/>
      <c r="EC983" s="64"/>
      <c r="ED983" s="64"/>
    </row>
    <row r="984" spans="26:134" ht="15.75" customHeight="1">
      <c r="Z984" s="64"/>
      <c r="AA984" s="64"/>
      <c r="AB984" s="64"/>
      <c r="AC984" s="64"/>
      <c r="AD984" s="64"/>
      <c r="AE984" s="64"/>
      <c r="AF984" s="64"/>
      <c r="AG984" s="64"/>
      <c r="AH984" s="64"/>
      <c r="AI984" s="64"/>
      <c r="AJ984" s="64"/>
      <c r="AK984" s="64"/>
      <c r="AL984" s="64"/>
      <c r="AM984" s="64"/>
      <c r="AN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c r="BU984" s="64"/>
      <c r="BV984" s="64"/>
      <c r="BW984" s="64"/>
      <c r="BX984" s="64"/>
      <c r="BY984" s="64"/>
      <c r="BZ984" s="64"/>
      <c r="CA984" s="64"/>
      <c r="CB984" s="64"/>
      <c r="CC984" s="64"/>
      <c r="CD984" s="64"/>
      <c r="CE984" s="64"/>
      <c r="CF984" s="64"/>
      <c r="CG984" s="64"/>
      <c r="CH984" s="64"/>
      <c r="CI984" s="64"/>
      <c r="CJ984" s="64"/>
      <c r="CK984" s="64"/>
      <c r="CL984" s="64"/>
      <c r="CM984" s="64"/>
      <c r="CN984" s="64"/>
      <c r="CO984" s="64"/>
      <c r="CP984" s="64"/>
      <c r="CQ984" s="64"/>
      <c r="CR984" s="64"/>
      <c r="CS984" s="64"/>
      <c r="CT984" s="64"/>
      <c r="CU984" s="64"/>
      <c r="CV984" s="64"/>
      <c r="CW984" s="64"/>
      <c r="CX984" s="64"/>
      <c r="CY984" s="64"/>
      <c r="CZ984" s="64"/>
      <c r="DA984" s="64"/>
      <c r="DB984" s="64"/>
      <c r="DC984" s="64"/>
      <c r="DD984" s="64"/>
      <c r="DE984" s="64"/>
      <c r="DF984" s="64"/>
      <c r="DG984" s="64"/>
      <c r="DH984" s="64"/>
      <c r="DI984" s="64"/>
      <c r="DJ984" s="64"/>
      <c r="DK984" s="64"/>
      <c r="DL984" s="64"/>
      <c r="DM984" s="64"/>
      <c r="DN984" s="64"/>
      <c r="DO984" s="64"/>
      <c r="DP984" s="64"/>
      <c r="DQ984" s="64"/>
      <c r="DR984" s="64"/>
      <c r="DS984" s="64"/>
      <c r="DT984" s="64"/>
      <c r="DU984" s="64"/>
      <c r="DV984" s="64"/>
      <c r="DW984" s="64"/>
      <c r="DX984" s="64"/>
      <c r="DY984" s="64"/>
      <c r="DZ984" s="64"/>
      <c r="EA984" s="64"/>
      <c r="EB984" s="64"/>
      <c r="EC984" s="64"/>
      <c r="ED984" s="64"/>
    </row>
    <row r="985" spans="26:134" ht="15.75" customHeight="1">
      <c r="Z985" s="64"/>
      <c r="AA985" s="64"/>
      <c r="AB985" s="64"/>
      <c r="AC985" s="64"/>
      <c r="AD985" s="64"/>
      <c r="AE985" s="64"/>
      <c r="AF985" s="64"/>
      <c r="AG985" s="64"/>
      <c r="AH985" s="64"/>
      <c r="AI985" s="64"/>
      <c r="AJ985" s="64"/>
      <c r="AK985" s="64"/>
      <c r="AL985" s="64"/>
      <c r="AM985" s="64"/>
      <c r="AN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c r="BU985" s="64"/>
      <c r="BV985" s="64"/>
      <c r="BW985" s="64"/>
      <c r="BX985" s="64"/>
      <c r="BY985" s="64"/>
      <c r="BZ985" s="64"/>
      <c r="CA985" s="64"/>
      <c r="CB985" s="64"/>
      <c r="CC985" s="64"/>
      <c r="CD985" s="64"/>
      <c r="CE985" s="64"/>
      <c r="CF985" s="64"/>
      <c r="CG985" s="64"/>
      <c r="CH985" s="64"/>
      <c r="CI985" s="64"/>
      <c r="CJ985" s="64"/>
      <c r="CK985" s="64"/>
      <c r="CL985" s="64"/>
      <c r="CM985" s="64"/>
      <c r="CN985" s="64"/>
      <c r="CO985" s="64"/>
      <c r="CP985" s="64"/>
      <c r="CQ985" s="64"/>
      <c r="CR985" s="64"/>
      <c r="CS985" s="64"/>
      <c r="CT985" s="64"/>
      <c r="CU985" s="64"/>
      <c r="CV985" s="64"/>
      <c r="CW985" s="64"/>
      <c r="CX985" s="64"/>
      <c r="CY985" s="64"/>
      <c r="CZ985" s="64"/>
      <c r="DA985" s="64"/>
      <c r="DB985" s="64"/>
      <c r="DC985" s="64"/>
      <c r="DD985" s="64"/>
      <c r="DE985" s="64"/>
      <c r="DF985" s="64"/>
      <c r="DG985" s="64"/>
      <c r="DH985" s="64"/>
      <c r="DI985" s="64"/>
      <c r="DJ985" s="64"/>
      <c r="DK985" s="64"/>
      <c r="DL985" s="64"/>
      <c r="DM985" s="64"/>
      <c r="DN985" s="64"/>
      <c r="DO985" s="64"/>
      <c r="DP985" s="64"/>
      <c r="DQ985" s="64"/>
      <c r="DR985" s="64"/>
      <c r="DS985" s="64"/>
      <c r="DT985" s="64"/>
      <c r="DU985" s="64"/>
      <c r="DV985" s="64"/>
      <c r="DW985" s="64"/>
      <c r="DX985" s="64"/>
      <c r="DY985" s="64"/>
      <c r="DZ985" s="64"/>
      <c r="EA985" s="64"/>
      <c r="EB985" s="64"/>
      <c r="EC985" s="64"/>
      <c r="ED985" s="64"/>
    </row>
    <row r="986" spans="26:134" ht="15.75" customHeight="1">
      <c r="Z986" s="64"/>
      <c r="AA986" s="64"/>
      <c r="AB986" s="64"/>
      <c r="AC986" s="64"/>
      <c r="AD986" s="64"/>
      <c r="AE986" s="64"/>
      <c r="AF986" s="64"/>
      <c r="AG986" s="64"/>
      <c r="AH986" s="64"/>
      <c r="AI986" s="64"/>
      <c r="AJ986" s="64"/>
      <c r="AK986" s="64"/>
      <c r="AL986" s="64"/>
      <c r="AM986" s="64"/>
      <c r="AN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c r="BU986" s="64"/>
      <c r="BV986" s="64"/>
      <c r="BW986" s="64"/>
      <c r="BX986" s="64"/>
      <c r="BY986" s="64"/>
      <c r="BZ986" s="64"/>
      <c r="CA986" s="64"/>
      <c r="CB986" s="64"/>
      <c r="CC986" s="64"/>
      <c r="CD986" s="64"/>
      <c r="CE986" s="64"/>
      <c r="CF986" s="64"/>
      <c r="CG986" s="64"/>
      <c r="CH986" s="64"/>
      <c r="CI986" s="64"/>
      <c r="CJ986" s="64"/>
      <c r="CK986" s="64"/>
      <c r="CL986" s="64"/>
      <c r="CM986" s="64"/>
      <c r="CN986" s="64"/>
      <c r="CO986" s="64"/>
      <c r="CP986" s="64"/>
      <c r="CQ986" s="64"/>
      <c r="CR986" s="64"/>
      <c r="CS986" s="64"/>
      <c r="CT986" s="64"/>
      <c r="CU986" s="64"/>
      <c r="CV986" s="64"/>
      <c r="CW986" s="64"/>
      <c r="CX986" s="64"/>
      <c r="CY986" s="64"/>
      <c r="CZ986" s="64"/>
      <c r="DA986" s="64"/>
      <c r="DB986" s="64"/>
      <c r="DC986" s="64"/>
      <c r="DD986" s="64"/>
      <c r="DE986" s="64"/>
      <c r="DF986" s="64"/>
      <c r="DG986" s="64"/>
      <c r="DH986" s="64"/>
      <c r="DI986" s="64"/>
      <c r="DJ986" s="64"/>
      <c r="DK986" s="64"/>
      <c r="DL986" s="64"/>
      <c r="DM986" s="64"/>
      <c r="DN986" s="64"/>
      <c r="DO986" s="64"/>
      <c r="DP986" s="64"/>
      <c r="DQ986" s="64"/>
      <c r="DR986" s="64"/>
      <c r="DS986" s="64"/>
      <c r="DT986" s="64"/>
      <c r="DU986" s="64"/>
      <c r="DV986" s="64"/>
      <c r="DW986" s="64"/>
      <c r="DX986" s="64"/>
      <c r="DY986" s="64"/>
      <c r="DZ986" s="64"/>
      <c r="EA986" s="64"/>
      <c r="EB986" s="64"/>
      <c r="EC986" s="64"/>
      <c r="ED986" s="64"/>
    </row>
    <row r="987" spans="26:134" ht="15.75" customHeight="1">
      <c r="Z987" s="64"/>
      <c r="AA987" s="64"/>
      <c r="AB987" s="64"/>
      <c r="AC987" s="64"/>
      <c r="AD987" s="64"/>
      <c r="AE987" s="64"/>
      <c r="AF987" s="64"/>
      <c r="AG987" s="64"/>
      <c r="AH987" s="64"/>
      <c r="AI987" s="64"/>
      <c r="AJ987" s="64"/>
      <c r="AK987" s="64"/>
      <c r="AL987" s="64"/>
      <c r="AM987" s="64"/>
      <c r="AN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c r="BU987" s="64"/>
      <c r="BV987" s="64"/>
      <c r="BW987" s="64"/>
      <c r="BX987" s="64"/>
      <c r="BY987" s="64"/>
      <c r="BZ987" s="64"/>
      <c r="CA987" s="64"/>
      <c r="CB987" s="64"/>
      <c r="CC987" s="64"/>
      <c r="CD987" s="64"/>
      <c r="CE987" s="64"/>
      <c r="CF987" s="64"/>
      <c r="CG987" s="64"/>
      <c r="CH987" s="64"/>
      <c r="CI987" s="64"/>
      <c r="CJ987" s="64"/>
      <c r="CK987" s="64"/>
      <c r="CL987" s="64"/>
      <c r="CM987" s="64"/>
      <c r="CN987" s="64"/>
      <c r="CO987" s="64"/>
      <c r="CP987" s="64"/>
      <c r="CQ987" s="64"/>
      <c r="CR987" s="64"/>
      <c r="CS987" s="64"/>
      <c r="CT987" s="64"/>
      <c r="CU987" s="64"/>
      <c r="CV987" s="64"/>
      <c r="CW987" s="64"/>
      <c r="CX987" s="64"/>
      <c r="CY987" s="64"/>
      <c r="CZ987" s="64"/>
      <c r="DA987" s="64"/>
      <c r="DB987" s="64"/>
      <c r="DC987" s="64"/>
      <c r="DD987" s="64"/>
      <c r="DE987" s="64"/>
      <c r="DF987" s="64"/>
      <c r="DG987" s="64"/>
      <c r="DH987" s="64"/>
      <c r="DI987" s="64"/>
      <c r="DJ987" s="64"/>
      <c r="DK987" s="64"/>
      <c r="DL987" s="64"/>
      <c r="DM987" s="64"/>
      <c r="DN987" s="64"/>
      <c r="DO987" s="64"/>
      <c r="DP987" s="64"/>
      <c r="DQ987" s="64"/>
      <c r="DR987" s="64"/>
      <c r="DS987" s="64"/>
      <c r="DT987" s="64"/>
      <c r="DU987" s="64"/>
      <c r="DV987" s="64"/>
      <c r="DW987" s="64"/>
      <c r="DX987" s="64"/>
      <c r="DY987" s="64"/>
      <c r="DZ987" s="64"/>
      <c r="EA987" s="64"/>
      <c r="EB987" s="64"/>
      <c r="EC987" s="64"/>
      <c r="ED987" s="64"/>
    </row>
    <row r="988" spans="26:134" ht="15.75" customHeight="1">
      <c r="Z988" s="64"/>
      <c r="AA988" s="64"/>
      <c r="AB988" s="64"/>
      <c r="AC988" s="64"/>
      <c r="AD988" s="64"/>
      <c r="AE988" s="64"/>
      <c r="AF988" s="64"/>
      <c r="AG988" s="64"/>
      <c r="AH988" s="64"/>
      <c r="AI988" s="64"/>
      <c r="AJ988" s="64"/>
      <c r="AK988" s="64"/>
      <c r="AL988" s="64"/>
      <c r="AM988" s="64"/>
      <c r="AN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c r="BU988" s="64"/>
      <c r="BV988" s="64"/>
      <c r="BW988" s="64"/>
      <c r="BX988" s="64"/>
      <c r="BY988" s="64"/>
      <c r="BZ988" s="64"/>
      <c r="CA988" s="64"/>
      <c r="CB988" s="64"/>
      <c r="CC988" s="64"/>
      <c r="CD988" s="64"/>
      <c r="CE988" s="64"/>
      <c r="CF988" s="64"/>
      <c r="CG988" s="64"/>
      <c r="CH988" s="64"/>
      <c r="CI988" s="64"/>
      <c r="CJ988" s="64"/>
      <c r="CK988" s="64"/>
      <c r="CL988" s="64"/>
      <c r="CM988" s="64"/>
      <c r="CN988" s="64"/>
      <c r="CO988" s="64"/>
      <c r="CP988" s="64"/>
      <c r="CQ988" s="64"/>
      <c r="CR988" s="64"/>
      <c r="CS988" s="64"/>
      <c r="CT988" s="64"/>
      <c r="CU988" s="64"/>
      <c r="CV988" s="64"/>
      <c r="CW988" s="64"/>
      <c r="CX988" s="64"/>
      <c r="CY988" s="64"/>
      <c r="CZ988" s="64"/>
      <c r="DA988" s="64"/>
      <c r="DB988" s="64"/>
      <c r="DC988" s="64"/>
      <c r="DD988" s="64"/>
      <c r="DE988" s="64"/>
      <c r="DF988" s="64"/>
      <c r="DG988" s="64"/>
      <c r="DH988" s="64"/>
      <c r="DI988" s="64"/>
      <c r="DJ988" s="64"/>
      <c r="DK988" s="64"/>
      <c r="DL988" s="64"/>
      <c r="DM988" s="64"/>
      <c r="DN988" s="64"/>
      <c r="DO988" s="64"/>
      <c r="DP988" s="64"/>
      <c r="DQ988" s="64"/>
      <c r="DR988" s="64"/>
      <c r="DS988" s="64"/>
      <c r="DT988" s="64"/>
      <c r="DU988" s="64"/>
      <c r="DV988" s="64"/>
      <c r="DW988" s="64"/>
      <c r="DX988" s="64"/>
      <c r="DY988" s="64"/>
      <c r="DZ988" s="64"/>
      <c r="EA988" s="64"/>
      <c r="EB988" s="64"/>
      <c r="EC988" s="64"/>
      <c r="ED988" s="64"/>
    </row>
    <row r="989" spans="26:134" ht="15.75" customHeight="1">
      <c r="Z989" s="64"/>
      <c r="AA989" s="64"/>
      <c r="AB989" s="64"/>
      <c r="AC989" s="64"/>
      <c r="AD989" s="64"/>
      <c r="AE989" s="64"/>
      <c r="AF989" s="64"/>
      <c r="AG989" s="64"/>
      <c r="AH989" s="64"/>
      <c r="AI989" s="64"/>
      <c r="AJ989" s="64"/>
      <c r="AK989" s="64"/>
      <c r="AL989" s="64"/>
      <c r="AM989" s="64"/>
      <c r="AN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c r="BU989" s="64"/>
      <c r="BV989" s="64"/>
      <c r="BW989" s="64"/>
      <c r="BX989" s="64"/>
      <c r="BY989" s="64"/>
      <c r="BZ989" s="64"/>
      <c r="CA989" s="64"/>
      <c r="CB989" s="64"/>
      <c r="CC989" s="64"/>
      <c r="CD989" s="64"/>
      <c r="CE989" s="64"/>
      <c r="CF989" s="64"/>
      <c r="CG989" s="64"/>
      <c r="CH989" s="64"/>
      <c r="CI989" s="64"/>
      <c r="CJ989" s="64"/>
      <c r="CK989" s="64"/>
      <c r="CL989" s="64"/>
      <c r="CM989" s="64"/>
      <c r="CN989" s="64"/>
      <c r="CO989" s="64"/>
      <c r="CP989" s="64"/>
      <c r="CQ989" s="64"/>
      <c r="CR989" s="64"/>
      <c r="CS989" s="64"/>
      <c r="CT989" s="64"/>
      <c r="CU989" s="64"/>
      <c r="CV989" s="64"/>
      <c r="CW989" s="64"/>
      <c r="CX989" s="64"/>
      <c r="CY989" s="64"/>
      <c r="CZ989" s="64"/>
      <c r="DA989" s="64"/>
      <c r="DB989" s="64"/>
      <c r="DC989" s="64"/>
      <c r="DD989" s="64"/>
      <c r="DE989" s="64"/>
      <c r="DF989" s="64"/>
      <c r="DG989" s="64"/>
      <c r="DH989" s="64"/>
      <c r="DI989" s="64"/>
      <c r="DJ989" s="64"/>
      <c r="DK989" s="64"/>
      <c r="DL989" s="64"/>
      <c r="DM989" s="64"/>
      <c r="DN989" s="64"/>
      <c r="DO989" s="64"/>
      <c r="DP989" s="64"/>
      <c r="DQ989" s="64"/>
      <c r="DR989" s="64"/>
      <c r="DS989" s="64"/>
      <c r="DT989" s="64"/>
      <c r="DU989" s="64"/>
      <c r="DV989" s="64"/>
      <c r="DW989" s="64"/>
      <c r="DX989" s="64"/>
      <c r="DY989" s="64"/>
      <c r="DZ989" s="64"/>
      <c r="EA989" s="64"/>
      <c r="EB989" s="64"/>
      <c r="EC989" s="64"/>
      <c r="ED989" s="64"/>
    </row>
    <row r="990" spans="26:134" ht="15.75" customHeight="1">
      <c r="Z990" s="64"/>
      <c r="AA990" s="64"/>
      <c r="AB990" s="64"/>
      <c r="AC990" s="64"/>
      <c r="AD990" s="64"/>
      <c r="AE990" s="64"/>
      <c r="AF990" s="64"/>
      <c r="AG990" s="64"/>
      <c r="AH990" s="64"/>
      <c r="AI990" s="64"/>
      <c r="AJ990" s="64"/>
      <c r="AK990" s="64"/>
      <c r="AL990" s="64"/>
      <c r="AM990" s="64"/>
      <c r="AN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c r="BU990" s="64"/>
      <c r="BV990" s="64"/>
      <c r="BW990" s="64"/>
      <c r="BX990" s="64"/>
      <c r="BY990" s="64"/>
      <c r="BZ990" s="64"/>
      <c r="CA990" s="64"/>
      <c r="CB990" s="64"/>
      <c r="CC990" s="64"/>
      <c r="CD990" s="64"/>
      <c r="CE990" s="64"/>
      <c r="CF990" s="64"/>
      <c r="CG990" s="64"/>
      <c r="CH990" s="64"/>
      <c r="CI990" s="64"/>
      <c r="CJ990" s="64"/>
      <c r="CK990" s="64"/>
      <c r="CL990" s="64"/>
      <c r="CM990" s="64"/>
      <c r="CN990" s="64"/>
      <c r="CO990" s="64"/>
      <c r="CP990" s="64"/>
      <c r="CQ990" s="64"/>
      <c r="CR990" s="64"/>
      <c r="CS990" s="64"/>
      <c r="CT990" s="64"/>
      <c r="CU990" s="64"/>
      <c r="CV990" s="64"/>
      <c r="CW990" s="64"/>
      <c r="CX990" s="64"/>
      <c r="CY990" s="64"/>
      <c r="CZ990" s="64"/>
      <c r="DA990" s="64"/>
      <c r="DB990" s="64"/>
      <c r="DC990" s="64"/>
      <c r="DD990" s="64"/>
      <c r="DE990" s="64"/>
      <c r="DF990" s="64"/>
      <c r="DG990" s="64"/>
      <c r="DH990" s="64"/>
      <c r="DI990" s="64"/>
      <c r="DJ990" s="64"/>
      <c r="DK990" s="64"/>
      <c r="DL990" s="64"/>
      <c r="DM990" s="64"/>
      <c r="DN990" s="64"/>
      <c r="DO990" s="64"/>
      <c r="DP990" s="64"/>
      <c r="DQ990" s="64"/>
      <c r="DR990" s="64"/>
      <c r="DS990" s="64"/>
      <c r="DT990" s="64"/>
      <c r="DU990" s="64"/>
      <c r="DV990" s="64"/>
      <c r="DW990" s="64"/>
      <c r="DX990" s="64"/>
      <c r="DY990" s="64"/>
      <c r="DZ990" s="64"/>
      <c r="EA990" s="64"/>
      <c r="EB990" s="64"/>
      <c r="EC990" s="64"/>
      <c r="ED990" s="64"/>
    </row>
    <row r="991" spans="26:134" ht="15.75" customHeight="1">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c r="CI991" s="64"/>
      <c r="CJ991" s="64"/>
      <c r="CK991" s="64"/>
      <c r="CL991" s="64"/>
      <c r="CM991" s="64"/>
      <c r="CN991" s="64"/>
      <c r="CO991" s="64"/>
      <c r="CP991" s="64"/>
      <c r="CQ991" s="64"/>
      <c r="CR991" s="64"/>
      <c r="CS991" s="64"/>
      <c r="CT991" s="64"/>
      <c r="CU991" s="64"/>
      <c r="CV991" s="64"/>
      <c r="CW991" s="64"/>
      <c r="CX991" s="64"/>
      <c r="CY991" s="64"/>
      <c r="CZ991" s="64"/>
      <c r="DA991" s="64"/>
      <c r="DB991" s="64"/>
      <c r="DC991" s="64"/>
      <c r="DD991" s="64"/>
      <c r="DE991" s="64"/>
      <c r="DF991" s="64"/>
      <c r="DG991" s="64"/>
      <c r="DH991" s="64"/>
      <c r="DI991" s="64"/>
      <c r="DJ991" s="64"/>
      <c r="DK991" s="64"/>
      <c r="DL991" s="64"/>
      <c r="DM991" s="64"/>
      <c r="DN991" s="64"/>
      <c r="DO991" s="64"/>
      <c r="DP991" s="64"/>
      <c r="DQ991" s="64"/>
      <c r="DR991" s="64"/>
      <c r="DS991" s="64"/>
      <c r="DT991" s="64"/>
      <c r="DU991" s="64"/>
      <c r="DV991" s="64"/>
      <c r="DW991" s="64"/>
      <c r="DX991" s="64"/>
      <c r="DY991" s="64"/>
      <c r="DZ991" s="64"/>
      <c r="EA991" s="64"/>
      <c r="EB991" s="64"/>
      <c r="EC991" s="64"/>
      <c r="ED991" s="64"/>
    </row>
    <row r="992" spans="26:134" ht="15.75" customHeight="1">
      <c r="Z992" s="64"/>
      <c r="AA992" s="64"/>
      <c r="AB992" s="64"/>
      <c r="AC992" s="64"/>
      <c r="AD992" s="64"/>
      <c r="AE992" s="64"/>
      <c r="AF992" s="64"/>
      <c r="AG992" s="64"/>
      <c r="AH992" s="64"/>
      <c r="AI992" s="64"/>
      <c r="AJ992" s="64"/>
      <c r="AK992" s="64"/>
      <c r="AL992" s="64"/>
      <c r="AM992" s="64"/>
      <c r="AN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c r="BU992" s="64"/>
      <c r="BV992" s="64"/>
      <c r="BW992" s="64"/>
      <c r="BX992" s="64"/>
      <c r="BY992" s="64"/>
      <c r="BZ992" s="64"/>
      <c r="CA992" s="64"/>
      <c r="CB992" s="64"/>
      <c r="CC992" s="64"/>
      <c r="CD992" s="64"/>
      <c r="CE992" s="64"/>
      <c r="CF992" s="64"/>
      <c r="CG992" s="64"/>
      <c r="CH992" s="64"/>
      <c r="CI992" s="64"/>
      <c r="CJ992" s="64"/>
      <c r="CK992" s="64"/>
      <c r="CL992" s="64"/>
      <c r="CM992" s="64"/>
      <c r="CN992" s="64"/>
      <c r="CO992" s="64"/>
      <c r="CP992" s="64"/>
      <c r="CQ992" s="64"/>
      <c r="CR992" s="64"/>
      <c r="CS992" s="64"/>
      <c r="CT992" s="64"/>
      <c r="CU992" s="64"/>
      <c r="CV992" s="64"/>
      <c r="CW992" s="64"/>
      <c r="CX992" s="64"/>
      <c r="CY992" s="64"/>
      <c r="CZ992" s="64"/>
      <c r="DA992" s="64"/>
      <c r="DB992" s="64"/>
      <c r="DC992" s="64"/>
      <c r="DD992" s="64"/>
      <c r="DE992" s="64"/>
      <c r="DF992" s="64"/>
      <c r="DG992" s="64"/>
      <c r="DH992" s="64"/>
      <c r="DI992" s="64"/>
      <c r="DJ992" s="64"/>
      <c r="DK992" s="64"/>
      <c r="DL992" s="64"/>
      <c r="DM992" s="64"/>
      <c r="DN992" s="64"/>
      <c r="DO992" s="64"/>
      <c r="DP992" s="64"/>
      <c r="DQ992" s="64"/>
      <c r="DR992" s="64"/>
      <c r="DS992" s="64"/>
      <c r="DT992" s="64"/>
      <c r="DU992" s="64"/>
      <c r="DV992" s="64"/>
      <c r="DW992" s="64"/>
      <c r="DX992" s="64"/>
      <c r="DY992" s="64"/>
      <c r="DZ992" s="64"/>
      <c r="EA992" s="64"/>
      <c r="EB992" s="64"/>
      <c r="EC992" s="64"/>
      <c r="ED992" s="64"/>
    </row>
    <row r="993" spans="26:134" ht="15.75" customHeight="1">
      <c r="Z993" s="64"/>
      <c r="AA993" s="64"/>
      <c r="AB993" s="64"/>
      <c r="AC993" s="64"/>
      <c r="AD993" s="64"/>
      <c r="AE993" s="64"/>
      <c r="AF993" s="64"/>
      <c r="AG993" s="64"/>
      <c r="AH993" s="64"/>
      <c r="AI993" s="64"/>
      <c r="AJ993" s="64"/>
      <c r="AK993" s="64"/>
      <c r="AL993" s="64"/>
      <c r="AM993" s="64"/>
      <c r="AN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c r="BU993" s="64"/>
      <c r="BV993" s="64"/>
      <c r="BW993" s="64"/>
      <c r="BX993" s="64"/>
      <c r="BY993" s="64"/>
      <c r="BZ993" s="64"/>
      <c r="CA993" s="64"/>
      <c r="CB993" s="64"/>
      <c r="CC993" s="64"/>
      <c r="CD993" s="64"/>
      <c r="CE993" s="64"/>
      <c r="CF993" s="64"/>
      <c r="CG993" s="64"/>
      <c r="CH993" s="64"/>
      <c r="CI993" s="64"/>
      <c r="CJ993" s="64"/>
      <c r="CK993" s="64"/>
      <c r="CL993" s="64"/>
      <c r="CM993" s="64"/>
      <c r="CN993" s="64"/>
      <c r="CO993" s="64"/>
      <c r="CP993" s="64"/>
      <c r="CQ993" s="64"/>
      <c r="CR993" s="64"/>
      <c r="CS993" s="64"/>
      <c r="CT993" s="64"/>
      <c r="CU993" s="64"/>
      <c r="CV993" s="64"/>
      <c r="CW993" s="64"/>
      <c r="CX993" s="64"/>
      <c r="CY993" s="64"/>
      <c r="CZ993" s="64"/>
      <c r="DA993" s="64"/>
      <c r="DB993" s="64"/>
      <c r="DC993" s="64"/>
      <c r="DD993" s="64"/>
      <c r="DE993" s="64"/>
      <c r="DF993" s="64"/>
      <c r="DG993" s="64"/>
      <c r="DH993" s="64"/>
      <c r="DI993" s="64"/>
      <c r="DJ993" s="64"/>
      <c r="DK993" s="64"/>
      <c r="DL993" s="64"/>
      <c r="DM993" s="64"/>
      <c r="DN993" s="64"/>
      <c r="DO993" s="64"/>
      <c r="DP993" s="64"/>
      <c r="DQ993" s="64"/>
      <c r="DR993" s="64"/>
      <c r="DS993" s="64"/>
      <c r="DT993" s="64"/>
      <c r="DU993" s="64"/>
      <c r="DV993" s="64"/>
      <c r="DW993" s="64"/>
      <c r="DX993" s="64"/>
      <c r="DY993" s="64"/>
      <c r="DZ993" s="64"/>
      <c r="EA993" s="64"/>
      <c r="EB993" s="64"/>
      <c r="EC993" s="64"/>
      <c r="ED993" s="64"/>
    </row>
    <row r="994" spans="26:134" ht="15.75" customHeight="1">
      <c r="Z994" s="64"/>
      <c r="AA994" s="64"/>
      <c r="AB994" s="64"/>
      <c r="AC994" s="64"/>
      <c r="AD994" s="64"/>
      <c r="AE994" s="64"/>
      <c r="AF994" s="64"/>
      <c r="AG994" s="64"/>
      <c r="AH994" s="64"/>
      <c r="AI994" s="64"/>
      <c r="AJ994" s="64"/>
      <c r="AK994" s="64"/>
      <c r="AL994" s="64"/>
      <c r="AM994" s="64"/>
      <c r="AN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c r="BU994" s="64"/>
      <c r="BV994" s="64"/>
      <c r="BW994" s="64"/>
      <c r="BX994" s="64"/>
      <c r="BY994" s="64"/>
      <c r="BZ994" s="64"/>
      <c r="CA994" s="64"/>
      <c r="CB994" s="64"/>
      <c r="CC994" s="64"/>
      <c r="CD994" s="64"/>
      <c r="CE994" s="64"/>
      <c r="CF994" s="64"/>
      <c r="CG994" s="64"/>
      <c r="CH994" s="64"/>
      <c r="CI994" s="64"/>
      <c r="CJ994" s="64"/>
      <c r="CK994" s="64"/>
      <c r="CL994" s="64"/>
      <c r="CM994" s="64"/>
      <c r="CN994" s="64"/>
      <c r="CO994" s="64"/>
      <c r="CP994" s="64"/>
      <c r="CQ994" s="64"/>
      <c r="CR994" s="64"/>
      <c r="CS994" s="64"/>
      <c r="CT994" s="64"/>
      <c r="CU994" s="64"/>
      <c r="CV994" s="64"/>
      <c r="CW994" s="64"/>
      <c r="CX994" s="64"/>
      <c r="CY994" s="64"/>
      <c r="CZ994" s="64"/>
      <c r="DA994" s="64"/>
      <c r="DB994" s="64"/>
      <c r="DC994" s="64"/>
      <c r="DD994" s="64"/>
      <c r="DE994" s="64"/>
      <c r="DF994" s="64"/>
      <c r="DG994" s="64"/>
      <c r="DH994" s="64"/>
      <c r="DI994" s="64"/>
      <c r="DJ994" s="64"/>
      <c r="DK994" s="64"/>
      <c r="DL994" s="64"/>
      <c r="DM994" s="64"/>
      <c r="DN994" s="64"/>
      <c r="DO994" s="64"/>
      <c r="DP994" s="64"/>
      <c r="DQ994" s="64"/>
      <c r="DR994" s="64"/>
      <c r="DS994" s="64"/>
      <c r="DT994" s="64"/>
      <c r="DU994" s="64"/>
      <c r="DV994" s="64"/>
      <c r="DW994" s="64"/>
      <c r="DX994" s="64"/>
      <c r="DY994" s="64"/>
      <c r="DZ994" s="64"/>
      <c r="EA994" s="64"/>
      <c r="EB994" s="64"/>
      <c r="EC994" s="64"/>
      <c r="ED994" s="64"/>
    </row>
    <row r="995" spans="26:134" ht="15.75" customHeight="1">
      <c r="Z995" s="64"/>
      <c r="AA995" s="64"/>
      <c r="AB995" s="64"/>
      <c r="AC995" s="64"/>
      <c r="AD995" s="64"/>
      <c r="AE995" s="64"/>
      <c r="AF995" s="64"/>
      <c r="AG995" s="64"/>
      <c r="AH995" s="64"/>
      <c r="AI995" s="64"/>
      <c r="AJ995" s="64"/>
      <c r="AK995" s="64"/>
      <c r="AL995" s="64"/>
      <c r="AM995" s="64"/>
      <c r="AN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c r="BU995" s="64"/>
      <c r="BV995" s="64"/>
      <c r="BW995" s="64"/>
      <c r="BX995" s="64"/>
      <c r="BY995" s="64"/>
      <c r="BZ995" s="64"/>
      <c r="CA995" s="64"/>
      <c r="CB995" s="64"/>
      <c r="CC995" s="64"/>
      <c r="CD995" s="64"/>
      <c r="CE995" s="64"/>
      <c r="CF995" s="64"/>
      <c r="CG995" s="64"/>
      <c r="CH995" s="64"/>
      <c r="CI995" s="64"/>
      <c r="CJ995" s="64"/>
      <c r="CK995" s="64"/>
      <c r="CL995" s="64"/>
      <c r="CM995" s="64"/>
      <c r="CN995" s="64"/>
      <c r="CO995" s="64"/>
      <c r="CP995" s="64"/>
      <c r="CQ995" s="64"/>
      <c r="CR995" s="64"/>
      <c r="CS995" s="64"/>
      <c r="CT995" s="64"/>
      <c r="CU995" s="64"/>
      <c r="CV995" s="64"/>
      <c r="CW995" s="64"/>
      <c r="CX995" s="64"/>
      <c r="CY995" s="64"/>
      <c r="CZ995" s="64"/>
      <c r="DA995" s="64"/>
      <c r="DB995" s="64"/>
      <c r="DC995" s="64"/>
      <c r="DD995" s="64"/>
      <c r="DE995" s="64"/>
      <c r="DF995" s="64"/>
      <c r="DG995" s="64"/>
      <c r="DH995" s="64"/>
      <c r="DI995" s="64"/>
      <c r="DJ995" s="64"/>
      <c r="DK995" s="64"/>
      <c r="DL995" s="64"/>
      <c r="DM995" s="64"/>
      <c r="DN995" s="64"/>
      <c r="DO995" s="64"/>
      <c r="DP995" s="64"/>
      <c r="DQ995" s="64"/>
      <c r="DR995" s="64"/>
      <c r="DS995" s="64"/>
      <c r="DT995" s="64"/>
      <c r="DU995" s="64"/>
      <c r="DV995" s="64"/>
      <c r="DW995" s="64"/>
      <c r="DX995" s="64"/>
      <c r="DY995" s="64"/>
      <c r="DZ995" s="64"/>
      <c r="EA995" s="64"/>
      <c r="EB995" s="64"/>
      <c r="EC995" s="64"/>
      <c r="ED995" s="64"/>
    </row>
    <row r="996" spans="26:134" ht="15.75" customHeight="1">
      <c r="Z996" s="64"/>
      <c r="AA996" s="64"/>
      <c r="AB996" s="64"/>
      <c r="AC996" s="64"/>
      <c r="AD996" s="64"/>
      <c r="AE996" s="64"/>
      <c r="AF996" s="64"/>
      <c r="AG996" s="64"/>
      <c r="AH996" s="64"/>
      <c r="AI996" s="64"/>
      <c r="AJ996" s="64"/>
      <c r="AK996" s="64"/>
      <c r="AL996" s="64"/>
      <c r="AM996" s="64"/>
      <c r="AN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c r="BU996" s="64"/>
      <c r="BV996" s="64"/>
      <c r="BW996" s="64"/>
      <c r="BX996" s="64"/>
      <c r="BY996" s="64"/>
      <c r="BZ996" s="64"/>
      <c r="CA996" s="64"/>
      <c r="CB996" s="64"/>
      <c r="CC996" s="64"/>
      <c r="CD996" s="64"/>
      <c r="CE996" s="64"/>
      <c r="CF996" s="64"/>
      <c r="CG996" s="64"/>
      <c r="CH996" s="64"/>
      <c r="CI996" s="64"/>
      <c r="CJ996" s="64"/>
      <c r="CK996" s="64"/>
      <c r="CL996" s="64"/>
      <c r="CM996" s="64"/>
      <c r="CN996" s="64"/>
      <c r="CO996" s="64"/>
      <c r="CP996" s="64"/>
      <c r="CQ996" s="64"/>
      <c r="CR996" s="64"/>
      <c r="CS996" s="64"/>
      <c r="CT996" s="64"/>
      <c r="CU996" s="64"/>
      <c r="CV996" s="64"/>
      <c r="CW996" s="64"/>
      <c r="CX996" s="64"/>
      <c r="CY996" s="64"/>
      <c r="CZ996" s="64"/>
      <c r="DA996" s="64"/>
      <c r="DB996" s="64"/>
      <c r="DC996" s="64"/>
      <c r="DD996" s="64"/>
      <c r="DE996" s="64"/>
      <c r="DF996" s="64"/>
      <c r="DG996" s="64"/>
      <c r="DH996" s="64"/>
      <c r="DI996" s="64"/>
      <c r="DJ996" s="64"/>
      <c r="DK996" s="64"/>
      <c r="DL996" s="64"/>
      <c r="DM996" s="64"/>
      <c r="DN996" s="64"/>
      <c r="DO996" s="64"/>
      <c r="DP996" s="64"/>
      <c r="DQ996" s="64"/>
      <c r="DR996" s="64"/>
      <c r="DS996" s="64"/>
      <c r="DT996" s="64"/>
      <c r="DU996" s="64"/>
      <c r="DV996" s="64"/>
      <c r="DW996" s="64"/>
      <c r="DX996" s="64"/>
      <c r="DY996" s="64"/>
      <c r="DZ996" s="64"/>
      <c r="EA996" s="64"/>
      <c r="EB996" s="64"/>
      <c r="EC996" s="64"/>
      <c r="ED996" s="64"/>
    </row>
    <row r="997" spans="26:134" ht="15.75" customHeight="1">
      <c r="Z997" s="64"/>
      <c r="AA997" s="64"/>
      <c r="AB997" s="64"/>
      <c r="AC997" s="64"/>
      <c r="AD997" s="64"/>
      <c r="AE997" s="64"/>
      <c r="AF997" s="64"/>
      <c r="AG997" s="64"/>
      <c r="AH997" s="64"/>
      <c r="AI997" s="64"/>
      <c r="AJ997" s="64"/>
      <c r="AK997" s="64"/>
      <c r="AL997" s="64"/>
      <c r="AM997" s="64"/>
      <c r="AN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c r="BU997" s="64"/>
      <c r="BV997" s="64"/>
      <c r="BW997" s="64"/>
      <c r="BX997" s="64"/>
      <c r="BY997" s="64"/>
      <c r="BZ997" s="64"/>
      <c r="CA997" s="64"/>
      <c r="CB997" s="64"/>
      <c r="CC997" s="64"/>
      <c r="CD997" s="64"/>
      <c r="CE997" s="64"/>
      <c r="CF997" s="64"/>
      <c r="CG997" s="64"/>
      <c r="CH997" s="64"/>
      <c r="CI997" s="64"/>
      <c r="CJ997" s="64"/>
      <c r="CK997" s="64"/>
      <c r="CL997" s="64"/>
      <c r="CM997" s="64"/>
      <c r="CN997" s="64"/>
      <c r="CO997" s="64"/>
      <c r="CP997" s="64"/>
      <c r="CQ997" s="64"/>
      <c r="CR997" s="64"/>
      <c r="CS997" s="64"/>
      <c r="CT997" s="64"/>
      <c r="CU997" s="64"/>
      <c r="CV997" s="64"/>
      <c r="CW997" s="64"/>
      <c r="CX997" s="64"/>
      <c r="CY997" s="64"/>
      <c r="CZ997" s="64"/>
      <c r="DA997" s="64"/>
      <c r="DB997" s="64"/>
      <c r="DC997" s="64"/>
      <c r="DD997" s="64"/>
      <c r="DE997" s="64"/>
      <c r="DF997" s="64"/>
      <c r="DG997" s="64"/>
      <c r="DH997" s="64"/>
      <c r="DI997" s="64"/>
      <c r="DJ997" s="64"/>
      <c r="DK997" s="64"/>
      <c r="DL997" s="64"/>
      <c r="DM997" s="64"/>
      <c r="DN997" s="64"/>
      <c r="DO997" s="64"/>
      <c r="DP997" s="64"/>
      <c r="DQ997" s="64"/>
      <c r="DR997" s="64"/>
      <c r="DS997" s="64"/>
      <c r="DT997" s="64"/>
      <c r="DU997" s="64"/>
      <c r="DV997" s="64"/>
      <c r="DW997" s="64"/>
      <c r="DX997" s="64"/>
      <c r="DY997" s="64"/>
      <c r="DZ997" s="64"/>
      <c r="EA997" s="64"/>
      <c r="EB997" s="64"/>
      <c r="EC997" s="64"/>
      <c r="ED997" s="64"/>
    </row>
    <row r="998" spans="26:134" ht="15.75" customHeight="1">
      <c r="Z998" s="64"/>
      <c r="AA998" s="64"/>
      <c r="AB998" s="64"/>
      <c r="AC998" s="64"/>
      <c r="AD998" s="64"/>
      <c r="AE998" s="64"/>
      <c r="AF998" s="64"/>
      <c r="AG998" s="64"/>
      <c r="AH998" s="64"/>
      <c r="AI998" s="64"/>
      <c r="AJ998" s="64"/>
      <c r="AK998" s="64"/>
      <c r="AL998" s="64"/>
      <c r="AM998" s="64"/>
      <c r="AN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c r="BU998" s="64"/>
      <c r="BV998" s="64"/>
      <c r="BW998" s="64"/>
      <c r="BX998" s="64"/>
      <c r="BY998" s="64"/>
      <c r="BZ998" s="64"/>
      <c r="CA998" s="64"/>
      <c r="CB998" s="64"/>
      <c r="CC998" s="64"/>
      <c r="CD998" s="64"/>
      <c r="CE998" s="64"/>
      <c r="CF998" s="64"/>
      <c r="CG998" s="64"/>
      <c r="CH998" s="64"/>
      <c r="CI998" s="64"/>
      <c r="CJ998" s="64"/>
      <c r="CK998" s="64"/>
      <c r="CL998" s="64"/>
      <c r="CM998" s="64"/>
      <c r="CN998" s="64"/>
      <c r="CO998" s="64"/>
      <c r="CP998" s="64"/>
      <c r="CQ998" s="64"/>
      <c r="CR998" s="64"/>
      <c r="CS998" s="64"/>
      <c r="CT998" s="64"/>
      <c r="CU998" s="64"/>
      <c r="CV998" s="64"/>
      <c r="CW998" s="64"/>
      <c r="CX998" s="64"/>
      <c r="CY998" s="64"/>
      <c r="CZ998" s="64"/>
      <c r="DA998" s="64"/>
      <c r="DB998" s="64"/>
      <c r="DC998" s="64"/>
      <c r="DD998" s="64"/>
      <c r="DE998" s="64"/>
      <c r="DF998" s="64"/>
      <c r="DG998" s="64"/>
      <c r="DH998" s="64"/>
      <c r="DI998" s="64"/>
      <c r="DJ998" s="64"/>
      <c r="DK998" s="64"/>
      <c r="DL998" s="64"/>
      <c r="DM998" s="64"/>
      <c r="DN998" s="64"/>
      <c r="DO998" s="64"/>
      <c r="DP998" s="64"/>
      <c r="DQ998" s="64"/>
      <c r="DR998" s="64"/>
      <c r="DS998" s="64"/>
      <c r="DT998" s="64"/>
      <c r="DU998" s="64"/>
      <c r="DV998" s="64"/>
      <c r="DW998" s="64"/>
      <c r="DX998" s="64"/>
      <c r="DY998" s="64"/>
      <c r="DZ998" s="64"/>
      <c r="EA998" s="64"/>
      <c r="EB998" s="64"/>
      <c r="EC998" s="64"/>
      <c r="ED998" s="64"/>
    </row>
    <row r="999" spans="26:134" ht="15.75" customHeight="1">
      <c r="Z999" s="64"/>
      <c r="AA999" s="64"/>
      <c r="AB999" s="64"/>
      <c r="AC999" s="64"/>
      <c r="AD999" s="64"/>
      <c r="AE999" s="64"/>
      <c r="AF999" s="64"/>
      <c r="AG999" s="64"/>
      <c r="AH999" s="64"/>
      <c r="AI999" s="64"/>
      <c r="AJ999" s="64"/>
      <c r="AK999" s="64"/>
      <c r="AL999" s="64"/>
      <c r="AM999" s="64"/>
      <c r="AN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c r="BU999" s="64"/>
      <c r="BV999" s="64"/>
      <c r="BW999" s="64"/>
      <c r="BX999" s="64"/>
      <c r="BY999" s="64"/>
      <c r="BZ999" s="64"/>
      <c r="CA999" s="64"/>
      <c r="CB999" s="64"/>
      <c r="CC999" s="64"/>
      <c r="CD999" s="64"/>
      <c r="CE999" s="64"/>
      <c r="CF999" s="64"/>
      <c r="CG999" s="64"/>
      <c r="CH999" s="64"/>
      <c r="CI999" s="64"/>
      <c r="CJ999" s="64"/>
      <c r="CK999" s="64"/>
      <c r="CL999" s="64"/>
      <c r="CM999" s="64"/>
      <c r="CN999" s="64"/>
      <c r="CO999" s="64"/>
      <c r="CP999" s="64"/>
      <c r="CQ999" s="64"/>
      <c r="CR999" s="64"/>
      <c r="CS999" s="64"/>
      <c r="CT999" s="64"/>
      <c r="CU999" s="64"/>
      <c r="CV999" s="64"/>
      <c r="CW999" s="64"/>
      <c r="CX999" s="64"/>
      <c r="CY999" s="64"/>
      <c r="CZ999" s="64"/>
      <c r="DA999" s="64"/>
      <c r="DB999" s="64"/>
      <c r="DC999" s="64"/>
      <c r="DD999" s="64"/>
      <c r="DE999" s="64"/>
      <c r="DF999" s="64"/>
      <c r="DG999" s="64"/>
      <c r="DH999" s="64"/>
      <c r="DI999" s="64"/>
      <c r="DJ999" s="64"/>
      <c r="DK999" s="64"/>
      <c r="DL999" s="64"/>
      <c r="DM999" s="64"/>
      <c r="DN999" s="64"/>
      <c r="DO999" s="64"/>
      <c r="DP999" s="64"/>
      <c r="DQ999" s="64"/>
      <c r="DR999" s="64"/>
      <c r="DS999" s="64"/>
      <c r="DT999" s="64"/>
      <c r="DU999" s="64"/>
      <c r="DV999" s="64"/>
      <c r="DW999" s="64"/>
      <c r="DX999" s="64"/>
      <c r="DY999" s="64"/>
      <c r="DZ999" s="64"/>
      <c r="EA999" s="64"/>
      <c r="EB999" s="64"/>
      <c r="EC999" s="64"/>
      <c r="ED999" s="64"/>
    </row>
    <row r="1000" spans="26:134" ht="15.75" customHeight="1">
      <c r="Z1000" s="64"/>
      <c r="AA1000" s="64"/>
      <c r="AB1000" s="64"/>
      <c r="AC1000" s="64"/>
      <c r="AD1000" s="64"/>
      <c r="AE1000" s="64"/>
      <c r="AF1000" s="64"/>
      <c r="AG1000" s="64"/>
      <c r="AH1000" s="64"/>
      <c r="AI1000" s="64"/>
      <c r="AJ1000" s="64"/>
      <c r="AK1000" s="64"/>
      <c r="AL1000" s="64"/>
      <c r="AM1000" s="64"/>
      <c r="AN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c r="BU1000" s="64"/>
      <c r="BV1000" s="64"/>
      <c r="BW1000" s="64"/>
      <c r="BX1000" s="64"/>
      <c r="BY1000" s="64"/>
      <c r="BZ1000" s="64"/>
      <c r="CA1000" s="64"/>
      <c r="CB1000" s="64"/>
      <c r="CC1000" s="64"/>
      <c r="CD1000" s="64"/>
      <c r="CE1000" s="64"/>
      <c r="CF1000" s="64"/>
      <c r="CG1000" s="64"/>
      <c r="CH1000" s="64"/>
      <c r="CI1000" s="64"/>
      <c r="CJ1000" s="64"/>
      <c r="CK1000" s="64"/>
      <c r="CL1000" s="64"/>
      <c r="CM1000" s="64"/>
      <c r="CN1000" s="64"/>
      <c r="CO1000" s="64"/>
      <c r="CP1000" s="64"/>
      <c r="CQ1000" s="64"/>
      <c r="CR1000" s="64"/>
      <c r="CS1000" s="64"/>
      <c r="CT1000" s="64"/>
      <c r="CU1000" s="64"/>
      <c r="CV1000" s="64"/>
      <c r="CW1000" s="64"/>
      <c r="CX1000" s="64"/>
      <c r="CY1000" s="64"/>
      <c r="CZ1000" s="64"/>
      <c r="DA1000" s="64"/>
      <c r="DB1000" s="64"/>
      <c r="DC1000" s="64"/>
      <c r="DD1000" s="64"/>
      <c r="DE1000" s="64"/>
      <c r="DF1000" s="64"/>
      <c r="DG1000" s="64"/>
      <c r="DH1000" s="64"/>
      <c r="DI1000" s="64"/>
      <c r="DJ1000" s="64"/>
      <c r="DK1000" s="64"/>
      <c r="DL1000" s="64"/>
      <c r="DM1000" s="64"/>
      <c r="DN1000" s="64"/>
      <c r="DO1000" s="64"/>
      <c r="DP1000" s="64"/>
      <c r="DQ1000" s="64"/>
      <c r="DR1000" s="64"/>
      <c r="DS1000" s="64"/>
      <c r="DT1000" s="64"/>
      <c r="DU1000" s="64"/>
      <c r="DV1000" s="64"/>
      <c r="DW1000" s="64"/>
      <c r="DX1000" s="64"/>
      <c r="DY1000" s="64"/>
      <c r="DZ1000" s="64"/>
      <c r="EA1000" s="64"/>
      <c r="EB1000" s="64"/>
      <c r="EC1000" s="64"/>
      <c r="ED1000" s="64"/>
    </row>
  </sheetData>
  <autoFilter ref="A1:D486" xr:uid="{00000000-0009-0000-0000-000004000000}"/>
  <conditionalFormatting sqref="A2:A500">
    <cfRule type="expression" dxfId="17112" priority="1">
      <formula>COUNTIF($G$2:$Z$16, A2)&gt;0</formula>
    </cfRule>
  </conditionalFormatting>
  <pageMargins left="0.7" right="0.7" top="0.78740157499999996" bottom="0.78740157499999996"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6"/>
  <sheetViews>
    <sheetView workbookViewId="0">
      <selection activeCell="F32" sqref="F32"/>
    </sheetView>
  </sheetViews>
  <sheetFormatPr baseColWidth="10" defaultColWidth="14.44140625" defaultRowHeight="15" customHeight="1"/>
  <cols>
    <col min="2" max="2" width="21.5546875" customWidth="1"/>
    <col min="4" max="4" width="19.109375" customWidth="1"/>
    <col min="6" max="6" width="17" customWidth="1"/>
    <col min="8" max="8" width="19" customWidth="1"/>
    <col min="10" max="10" width="17.88671875" customWidth="1"/>
    <col min="12" max="12" width="18.88671875" customWidth="1"/>
  </cols>
  <sheetData>
    <row r="1" spans="1:15">
      <c r="A1" s="69"/>
      <c r="B1" s="138" t="s">
        <v>1094</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77">
        <v>1</v>
      </c>
      <c r="B4" s="78" t="s">
        <v>23</v>
      </c>
      <c r="C4" s="79" t="s">
        <v>386</v>
      </c>
      <c r="D4" s="78" t="s">
        <v>22</v>
      </c>
      <c r="E4" s="79" t="s">
        <v>391</v>
      </c>
      <c r="F4" s="80" t="s">
        <v>74</v>
      </c>
      <c r="G4" s="79" t="s">
        <v>413</v>
      </c>
      <c r="H4" s="80" t="s">
        <v>48</v>
      </c>
      <c r="I4" s="79" t="s">
        <v>388</v>
      </c>
      <c r="J4" s="78" t="s">
        <v>222</v>
      </c>
      <c r="K4" s="79" t="s">
        <v>393</v>
      </c>
      <c r="L4" s="81" t="s">
        <v>189</v>
      </c>
      <c r="M4" s="70"/>
      <c r="N4" s="80" t="s">
        <v>21</v>
      </c>
      <c r="O4" s="79" t="s">
        <v>339</v>
      </c>
    </row>
    <row r="5" spans="1:15">
      <c r="A5" s="77">
        <v>2</v>
      </c>
      <c r="B5" s="78" t="s">
        <v>24</v>
      </c>
      <c r="C5" s="79" t="s">
        <v>395</v>
      </c>
      <c r="D5" s="78" t="s">
        <v>25</v>
      </c>
      <c r="E5" s="79" t="s">
        <v>393</v>
      </c>
      <c r="F5" s="80" t="s">
        <v>71</v>
      </c>
      <c r="G5" s="79" t="s">
        <v>385</v>
      </c>
      <c r="H5" s="82" t="s">
        <v>112</v>
      </c>
      <c r="I5" s="70" t="s">
        <v>400</v>
      </c>
      <c r="J5" s="78" t="s">
        <v>233</v>
      </c>
      <c r="K5" s="79" t="s">
        <v>401</v>
      </c>
      <c r="L5" s="81" t="s">
        <v>152</v>
      </c>
      <c r="M5" s="70"/>
      <c r="N5" s="80" t="s">
        <v>43</v>
      </c>
      <c r="O5" s="79" t="s">
        <v>338</v>
      </c>
    </row>
    <row r="6" spans="1:15">
      <c r="A6" s="77">
        <v>3</v>
      </c>
      <c r="B6" s="78" t="s">
        <v>26</v>
      </c>
      <c r="C6" s="79" t="s">
        <v>410</v>
      </c>
      <c r="D6" s="82" t="s">
        <v>36</v>
      </c>
      <c r="E6" s="70" t="s">
        <v>404</v>
      </c>
      <c r="F6" s="78" t="s">
        <v>62</v>
      </c>
      <c r="G6" s="79" t="s">
        <v>403</v>
      </c>
      <c r="H6" s="80" t="s">
        <v>50</v>
      </c>
      <c r="I6" s="79" t="s">
        <v>387</v>
      </c>
      <c r="J6" s="78" t="s">
        <v>245</v>
      </c>
      <c r="K6" s="79" t="s">
        <v>395</v>
      </c>
      <c r="L6" s="81" t="s">
        <v>221</v>
      </c>
      <c r="M6" s="70"/>
      <c r="N6" s="80" t="s">
        <v>64</v>
      </c>
      <c r="O6" s="79" t="s">
        <v>339</v>
      </c>
    </row>
    <row r="7" spans="1:15">
      <c r="A7" s="77">
        <v>4</v>
      </c>
      <c r="B7" s="78" t="s">
        <v>32</v>
      </c>
      <c r="C7" s="79" t="s">
        <v>413</v>
      </c>
      <c r="D7" s="78" t="s">
        <v>27</v>
      </c>
      <c r="E7" s="79" t="s">
        <v>405</v>
      </c>
      <c r="F7" s="78" t="s">
        <v>103</v>
      </c>
      <c r="G7" s="79" t="s">
        <v>395</v>
      </c>
      <c r="H7" s="80" t="s">
        <v>68</v>
      </c>
      <c r="I7" s="79" t="s">
        <v>416</v>
      </c>
      <c r="J7" s="80" t="s">
        <v>1104</v>
      </c>
      <c r="K7" s="79" t="s">
        <v>394</v>
      </c>
      <c r="L7" s="81" t="s">
        <v>192</v>
      </c>
      <c r="M7" s="70"/>
      <c r="N7" s="80" t="s">
        <v>85</v>
      </c>
      <c r="O7" s="79" t="s">
        <v>340</v>
      </c>
    </row>
    <row r="8" spans="1:15">
      <c r="A8" s="77">
        <v>5</v>
      </c>
      <c r="B8" s="78" t="s">
        <v>37</v>
      </c>
      <c r="C8" s="79" t="s">
        <v>387</v>
      </c>
      <c r="D8" s="78" t="s">
        <v>33</v>
      </c>
      <c r="E8" s="79" t="s">
        <v>395</v>
      </c>
      <c r="F8" s="78" t="s">
        <v>101</v>
      </c>
      <c r="G8" s="79" t="s">
        <v>400</v>
      </c>
      <c r="H8" s="80" t="s">
        <v>72</v>
      </c>
      <c r="I8" s="79" t="s">
        <v>410</v>
      </c>
      <c r="J8" s="78" t="s">
        <v>271</v>
      </c>
      <c r="K8" s="79" t="s">
        <v>414</v>
      </c>
      <c r="L8" s="81" t="s">
        <v>201</v>
      </c>
      <c r="M8" s="70"/>
      <c r="N8" s="80" t="s">
        <v>106</v>
      </c>
      <c r="O8" s="79" t="s">
        <v>338</v>
      </c>
    </row>
    <row r="9" spans="1:15">
      <c r="A9" s="77">
        <v>6</v>
      </c>
      <c r="B9" s="78" t="s">
        <v>51</v>
      </c>
      <c r="C9" s="79" t="s">
        <v>388</v>
      </c>
      <c r="D9" s="78" t="s">
        <v>30</v>
      </c>
      <c r="E9" s="79" t="s">
        <v>408</v>
      </c>
      <c r="F9" s="78" t="s">
        <v>99</v>
      </c>
      <c r="G9" s="79" t="s">
        <v>387</v>
      </c>
      <c r="H9" s="80" t="s">
        <v>84</v>
      </c>
      <c r="I9" s="79" t="s">
        <v>391</v>
      </c>
      <c r="J9" s="78" t="s">
        <v>261</v>
      </c>
      <c r="K9" s="79" t="s">
        <v>397</v>
      </c>
      <c r="L9" s="81" t="s">
        <v>216</v>
      </c>
      <c r="M9" s="70"/>
      <c r="N9" s="80" t="s">
        <v>127</v>
      </c>
      <c r="O9" s="79" t="s">
        <v>337</v>
      </c>
    </row>
    <row r="10" spans="1:15">
      <c r="A10" s="77">
        <v>7</v>
      </c>
      <c r="B10" s="78" t="s">
        <v>34</v>
      </c>
      <c r="C10" s="79" t="s">
        <v>403</v>
      </c>
      <c r="D10" s="78" t="s">
        <v>31</v>
      </c>
      <c r="E10" s="79" t="s">
        <v>397</v>
      </c>
      <c r="F10" s="78" t="s">
        <v>96</v>
      </c>
      <c r="G10" s="79" t="s">
        <v>405</v>
      </c>
      <c r="H10" s="78" t="s">
        <v>1105</v>
      </c>
      <c r="I10" s="79" t="s">
        <v>414</v>
      </c>
      <c r="J10" s="80" t="s">
        <v>314</v>
      </c>
      <c r="K10" s="79" t="s">
        <v>400</v>
      </c>
      <c r="L10" s="81" t="s">
        <v>250</v>
      </c>
      <c r="M10" s="70"/>
      <c r="N10" s="80" t="s">
        <v>148</v>
      </c>
      <c r="O10" s="79" t="s">
        <v>338</v>
      </c>
    </row>
    <row r="11" spans="1:15">
      <c r="A11" s="77">
        <v>8</v>
      </c>
      <c r="B11" s="78" t="s">
        <v>28</v>
      </c>
      <c r="C11" s="79" t="s">
        <v>404</v>
      </c>
      <c r="D11" s="78" t="s">
        <v>29</v>
      </c>
      <c r="E11" s="79" t="s">
        <v>402</v>
      </c>
      <c r="F11" s="78" t="s">
        <v>86</v>
      </c>
      <c r="G11" s="79" t="s">
        <v>392</v>
      </c>
      <c r="H11" s="78" t="s">
        <v>1106</v>
      </c>
      <c r="I11" s="79" t="s">
        <v>394</v>
      </c>
      <c r="J11" s="80" t="s">
        <v>286</v>
      </c>
      <c r="K11" s="79" t="s">
        <v>411</v>
      </c>
      <c r="L11" s="81" t="s">
        <v>276</v>
      </c>
      <c r="M11" s="70"/>
      <c r="N11" s="80" t="s">
        <v>169</v>
      </c>
      <c r="O11" s="79" t="s">
        <v>339</v>
      </c>
    </row>
    <row r="12" spans="1:15">
      <c r="A12" s="77">
        <v>9</v>
      </c>
      <c r="B12" s="78" t="s">
        <v>39</v>
      </c>
      <c r="C12" s="79" t="s">
        <v>396</v>
      </c>
      <c r="D12" s="78" t="s">
        <v>63</v>
      </c>
      <c r="E12" s="79" t="s">
        <v>399</v>
      </c>
      <c r="F12" s="78" t="s">
        <v>147</v>
      </c>
      <c r="G12" s="79" t="s">
        <v>394</v>
      </c>
      <c r="H12" s="78" t="s">
        <v>146</v>
      </c>
      <c r="I12" s="79" t="s">
        <v>385</v>
      </c>
      <c r="J12" s="80" t="s">
        <v>300</v>
      </c>
      <c r="K12" s="79" t="s">
        <v>388</v>
      </c>
      <c r="L12" s="79"/>
      <c r="M12" s="70"/>
      <c r="N12" s="80" t="s">
        <v>190</v>
      </c>
      <c r="O12" s="79" t="s">
        <v>338</v>
      </c>
    </row>
    <row r="13" spans="1:15">
      <c r="A13" s="77">
        <v>10</v>
      </c>
      <c r="B13" s="78" t="s">
        <v>1107</v>
      </c>
      <c r="C13" s="79" t="s">
        <v>398</v>
      </c>
      <c r="D13" s="78" t="s">
        <v>40</v>
      </c>
      <c r="E13" s="81" t="s">
        <v>386</v>
      </c>
      <c r="F13" s="78" t="s">
        <v>89</v>
      </c>
      <c r="G13" s="79" t="s">
        <v>396</v>
      </c>
      <c r="H13" s="78" t="s">
        <v>108</v>
      </c>
      <c r="I13" s="79" t="s">
        <v>393</v>
      </c>
      <c r="J13" s="80" t="s">
        <v>310</v>
      </c>
      <c r="K13" s="79" t="s">
        <v>391</v>
      </c>
      <c r="L13" s="79"/>
      <c r="M13" s="70"/>
      <c r="N13" s="80" t="s">
        <v>211</v>
      </c>
      <c r="O13" s="79" t="s">
        <v>339</v>
      </c>
    </row>
    <row r="14" spans="1:15">
      <c r="A14" s="77">
        <v>11</v>
      </c>
      <c r="B14" s="78" t="s">
        <v>56</v>
      </c>
      <c r="C14" s="79" t="s">
        <v>407</v>
      </c>
      <c r="D14" s="78" t="s">
        <v>59</v>
      </c>
      <c r="E14" s="79" t="s">
        <v>410</v>
      </c>
      <c r="F14" s="78" t="s">
        <v>115</v>
      </c>
      <c r="G14" s="79" t="s">
        <v>398</v>
      </c>
      <c r="H14" s="78" t="s">
        <v>128</v>
      </c>
      <c r="I14" s="79" t="s">
        <v>413</v>
      </c>
      <c r="J14" s="80" t="s">
        <v>309</v>
      </c>
      <c r="K14" s="79" t="s">
        <v>416</v>
      </c>
      <c r="L14" s="79"/>
      <c r="M14" s="70"/>
      <c r="N14" s="80" t="s">
        <v>232</v>
      </c>
      <c r="O14" s="79" t="s">
        <v>342</v>
      </c>
    </row>
    <row r="15" spans="1:15">
      <c r="A15" s="77">
        <v>12</v>
      </c>
      <c r="B15" s="83" t="s">
        <v>41</v>
      </c>
      <c r="C15" s="84" t="s">
        <v>391</v>
      </c>
      <c r="D15" s="78" t="s">
        <v>38</v>
      </c>
      <c r="E15" s="79" t="s">
        <v>401</v>
      </c>
      <c r="F15" s="78" t="s">
        <v>140</v>
      </c>
      <c r="G15" s="79" t="s">
        <v>393</v>
      </c>
      <c r="H15" s="78" t="s">
        <v>164</v>
      </c>
      <c r="I15" s="79" t="s">
        <v>409</v>
      </c>
      <c r="J15" s="80" t="s">
        <v>297</v>
      </c>
      <c r="K15" s="79" t="s">
        <v>410</v>
      </c>
      <c r="L15" s="79"/>
      <c r="M15" s="82"/>
      <c r="N15" s="80" t="s">
        <v>253</v>
      </c>
      <c r="O15" s="79" t="s">
        <v>341</v>
      </c>
    </row>
    <row r="16" spans="1:15">
      <c r="A16" s="77">
        <v>13</v>
      </c>
      <c r="B16" s="78" t="s">
        <v>58</v>
      </c>
      <c r="C16" s="79" t="s">
        <v>414</v>
      </c>
      <c r="D16" s="78" t="s">
        <v>54</v>
      </c>
      <c r="E16" s="79" t="s">
        <v>412</v>
      </c>
      <c r="F16" s="78" t="s">
        <v>136</v>
      </c>
      <c r="G16" s="79" t="s">
        <v>388</v>
      </c>
      <c r="H16" s="78" t="s">
        <v>130</v>
      </c>
      <c r="I16" s="79" t="s">
        <v>401</v>
      </c>
      <c r="J16" s="80"/>
      <c r="K16" s="79"/>
      <c r="L16" s="79"/>
      <c r="M16" s="70"/>
      <c r="N16" s="80" t="s">
        <v>274</v>
      </c>
      <c r="O16" s="79" t="s">
        <v>337</v>
      </c>
    </row>
    <row r="17" spans="1:21">
      <c r="A17" s="77">
        <v>14</v>
      </c>
      <c r="B17" s="78" t="s">
        <v>61</v>
      </c>
      <c r="C17" s="79" t="s">
        <v>402</v>
      </c>
      <c r="D17" s="78" t="s">
        <v>53</v>
      </c>
      <c r="E17" s="79" t="s">
        <v>391</v>
      </c>
      <c r="F17" s="78" t="s">
        <v>135</v>
      </c>
      <c r="G17" s="79" t="s">
        <v>410</v>
      </c>
      <c r="H17" s="78" t="s">
        <v>179</v>
      </c>
      <c r="I17" s="79" t="s">
        <v>406</v>
      </c>
      <c r="J17" s="80"/>
      <c r="K17" s="79"/>
      <c r="L17" s="79"/>
      <c r="M17" s="70"/>
      <c r="N17" s="80" t="s">
        <v>295</v>
      </c>
      <c r="O17" s="79" t="s">
        <v>340</v>
      </c>
    </row>
    <row r="18" spans="1:21">
      <c r="A18" s="77">
        <v>15</v>
      </c>
      <c r="B18" s="78" t="s">
        <v>55</v>
      </c>
      <c r="C18" s="79" t="s">
        <v>412</v>
      </c>
      <c r="D18" s="78" t="s">
        <v>45</v>
      </c>
      <c r="E18" s="79" t="s">
        <v>414</v>
      </c>
      <c r="F18" s="78" t="s">
        <v>129</v>
      </c>
      <c r="G18" s="79" t="s">
        <v>390</v>
      </c>
      <c r="H18" s="78" t="s">
        <v>142</v>
      </c>
      <c r="I18" s="79" t="s">
        <v>395</v>
      </c>
      <c r="J18" s="80"/>
      <c r="K18" s="79"/>
      <c r="L18" s="79"/>
      <c r="M18" s="70"/>
      <c r="N18" s="85" t="s">
        <v>316</v>
      </c>
      <c r="O18" s="86" t="s">
        <v>339</v>
      </c>
    </row>
    <row r="19" spans="1:21">
      <c r="A19" s="77">
        <v>16</v>
      </c>
      <c r="B19" s="78" t="s">
        <v>52</v>
      </c>
      <c r="C19" s="79" t="s">
        <v>401</v>
      </c>
      <c r="D19" s="78" t="s">
        <v>1108</v>
      </c>
      <c r="E19" s="79" t="s">
        <v>409</v>
      </c>
      <c r="F19" s="78" t="s">
        <v>1109</v>
      </c>
      <c r="G19" s="79" t="s">
        <v>386</v>
      </c>
      <c r="H19" s="80"/>
      <c r="I19" s="79"/>
      <c r="J19" s="80"/>
      <c r="K19" s="79"/>
      <c r="L19" s="79"/>
      <c r="M19" s="70"/>
      <c r="N19" s="70"/>
      <c r="O19" s="70"/>
    </row>
    <row r="20" spans="1:21">
      <c r="A20" s="77">
        <v>17</v>
      </c>
      <c r="B20" s="78" t="s">
        <v>46</v>
      </c>
      <c r="C20" s="79" t="s">
        <v>385</v>
      </c>
      <c r="D20" s="78" t="s">
        <v>65</v>
      </c>
      <c r="E20" s="79" t="s">
        <v>402</v>
      </c>
      <c r="F20" s="78" t="s">
        <v>133</v>
      </c>
      <c r="G20" s="79" t="s">
        <v>406</v>
      </c>
      <c r="H20" s="80"/>
      <c r="I20" s="79"/>
      <c r="J20" s="80"/>
      <c r="K20" s="79"/>
      <c r="L20" s="79"/>
      <c r="M20" s="70"/>
      <c r="N20" s="70"/>
      <c r="O20" s="70"/>
    </row>
    <row r="21" spans="1:21">
      <c r="A21" s="77">
        <v>18</v>
      </c>
      <c r="B21" s="78" t="s">
        <v>44</v>
      </c>
      <c r="C21" s="79" t="s">
        <v>395</v>
      </c>
      <c r="D21" s="78" t="s">
        <v>1110</v>
      </c>
      <c r="E21" s="79" t="s">
        <v>385</v>
      </c>
      <c r="F21" s="78" t="s">
        <v>1111</v>
      </c>
      <c r="G21" s="79" t="s">
        <v>416</v>
      </c>
      <c r="H21" s="80"/>
      <c r="I21" s="79"/>
      <c r="J21" s="80"/>
      <c r="K21" s="79"/>
      <c r="L21" s="79"/>
      <c r="M21" s="70"/>
      <c r="N21" s="70"/>
      <c r="O21" s="70"/>
    </row>
    <row r="22" spans="1:21">
      <c r="A22" s="77">
        <v>19</v>
      </c>
      <c r="B22" s="80" t="s">
        <v>76</v>
      </c>
      <c r="C22" s="79" t="s">
        <v>415</v>
      </c>
      <c r="D22" s="80" t="s">
        <v>77</v>
      </c>
      <c r="E22" s="79" t="s">
        <v>411</v>
      </c>
      <c r="F22" s="80"/>
      <c r="G22" s="79"/>
      <c r="H22" s="80"/>
      <c r="I22" s="79"/>
      <c r="J22" s="80"/>
      <c r="K22" s="79"/>
      <c r="L22" s="79"/>
      <c r="M22" s="70"/>
      <c r="N22" s="70"/>
      <c r="O22" s="70"/>
    </row>
    <row r="23" spans="1:21">
      <c r="A23" s="87">
        <v>20</v>
      </c>
      <c r="B23" s="85" t="s">
        <v>80</v>
      </c>
      <c r="C23" s="86" t="s">
        <v>405</v>
      </c>
      <c r="D23" s="85" t="s">
        <v>70</v>
      </c>
      <c r="E23" s="86" t="s">
        <v>416</v>
      </c>
      <c r="F23" s="85"/>
      <c r="G23" s="86"/>
      <c r="H23" s="85"/>
      <c r="I23" s="86"/>
      <c r="J23" s="85"/>
      <c r="K23" s="86"/>
      <c r="L23" s="86"/>
      <c r="M23" s="70"/>
      <c r="N23" s="70"/>
      <c r="O23" s="70"/>
    </row>
    <row r="31" spans="1:21">
      <c r="A31" s="88" t="s">
        <v>1112</v>
      </c>
      <c r="B31" s="89"/>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66"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66"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66"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66"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66"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66"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66"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66"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66"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66"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66"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66"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66"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66"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66"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3 D4:D23 F4:F22 H4:H23 J4:J19 L4:L18">
    <cfRule type="expression" dxfId="17111" priority="1">
      <formula>COUNTIF($B$32:$U$46,"*"&amp;B4&amp;"*")&gt;0</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U46"/>
  <sheetViews>
    <sheetView workbookViewId="0"/>
  </sheetViews>
  <sheetFormatPr baseColWidth="10" defaultColWidth="14.44140625" defaultRowHeight="15" customHeight="1"/>
  <sheetData>
    <row r="1" spans="1:17">
      <c r="A1" s="69"/>
      <c r="B1" s="138" t="s">
        <v>1113</v>
      </c>
      <c r="C1" s="139"/>
      <c r="D1" s="69"/>
      <c r="E1" s="69"/>
      <c r="F1" s="69"/>
      <c r="G1" s="69"/>
      <c r="H1" s="69"/>
      <c r="I1" s="69"/>
      <c r="J1" s="69"/>
      <c r="K1" s="69"/>
      <c r="L1" s="69"/>
      <c r="M1" s="69"/>
      <c r="N1" s="69"/>
      <c r="O1" s="69"/>
      <c r="P1" s="69"/>
      <c r="Q1" s="69"/>
    </row>
    <row r="2" spans="1:17">
      <c r="A2" s="69"/>
      <c r="B2" s="69"/>
      <c r="C2" s="69"/>
      <c r="D2" s="69"/>
      <c r="E2" s="69"/>
      <c r="F2" s="69"/>
      <c r="G2" s="69"/>
      <c r="H2" s="69"/>
      <c r="I2" s="69"/>
      <c r="J2" s="69"/>
      <c r="K2" s="69"/>
      <c r="L2" s="69"/>
      <c r="M2" s="69"/>
      <c r="N2" s="69"/>
      <c r="O2" s="69"/>
      <c r="P2" s="69"/>
      <c r="Q2" s="69"/>
    </row>
    <row r="3" spans="1:17">
      <c r="A3" s="73"/>
      <c r="B3" s="74" t="s">
        <v>1096</v>
      </c>
      <c r="C3" s="75" t="s">
        <v>1097</v>
      </c>
      <c r="D3" s="74" t="s">
        <v>1098</v>
      </c>
      <c r="E3" s="75" t="s">
        <v>1097</v>
      </c>
      <c r="F3" s="74" t="s">
        <v>1099</v>
      </c>
      <c r="G3" s="75" t="s">
        <v>1097</v>
      </c>
      <c r="H3" s="74" t="s">
        <v>1100</v>
      </c>
      <c r="I3" s="75" t="s">
        <v>1097</v>
      </c>
      <c r="J3" s="74" t="s">
        <v>1101</v>
      </c>
      <c r="K3" s="75" t="s">
        <v>1097</v>
      </c>
      <c r="L3" s="76" t="s">
        <v>1102</v>
      </c>
      <c r="M3" s="69"/>
      <c r="N3" s="140" t="s">
        <v>1103</v>
      </c>
      <c r="O3" s="141"/>
      <c r="P3" s="69"/>
      <c r="Q3" s="69"/>
    </row>
    <row r="4" spans="1:17">
      <c r="A4" s="91">
        <v>1</v>
      </c>
      <c r="B4" s="92" t="s">
        <v>1114</v>
      </c>
      <c r="C4" s="93" t="s">
        <v>1115</v>
      </c>
      <c r="D4" s="92" t="s">
        <v>1116</v>
      </c>
      <c r="E4" s="93" t="s">
        <v>1117</v>
      </c>
      <c r="F4" s="92" t="s">
        <v>1118</v>
      </c>
      <c r="G4" s="93" t="s">
        <v>1119</v>
      </c>
      <c r="H4" s="92" t="s">
        <v>1120</v>
      </c>
      <c r="I4" s="93" t="s">
        <v>1121</v>
      </c>
      <c r="J4" s="92" t="s">
        <v>1122</v>
      </c>
      <c r="K4" s="93" t="s">
        <v>1121</v>
      </c>
      <c r="L4" s="93" t="s">
        <v>1121</v>
      </c>
      <c r="M4" s="69"/>
      <c r="N4" s="92" t="s">
        <v>21</v>
      </c>
      <c r="O4" s="93" t="s">
        <v>1123</v>
      </c>
      <c r="P4" s="94">
        <v>2</v>
      </c>
      <c r="Q4" s="95">
        <v>4.3055555555555555E-2</v>
      </c>
    </row>
    <row r="5" spans="1:17">
      <c r="A5" s="91">
        <v>2</v>
      </c>
      <c r="B5" s="92" t="s">
        <v>1124</v>
      </c>
      <c r="C5" s="93" t="s">
        <v>1125</v>
      </c>
      <c r="D5" s="96" t="s">
        <v>1126</v>
      </c>
      <c r="E5" s="93" t="s">
        <v>1127</v>
      </c>
      <c r="F5" s="92" t="s">
        <v>1128</v>
      </c>
      <c r="G5" s="93" t="s">
        <v>1129</v>
      </c>
      <c r="H5" s="92" t="s">
        <v>1130</v>
      </c>
      <c r="I5" s="93" t="s">
        <v>1131</v>
      </c>
      <c r="J5" s="92" t="s">
        <v>1132</v>
      </c>
      <c r="K5" s="93" t="s">
        <v>1133</v>
      </c>
      <c r="L5" s="93" t="s">
        <v>1115</v>
      </c>
      <c r="M5" s="69"/>
      <c r="N5" s="92" t="s">
        <v>43</v>
      </c>
      <c r="O5" s="93" t="s">
        <v>1134</v>
      </c>
      <c r="P5" s="94">
        <v>39</v>
      </c>
      <c r="Q5" s="95">
        <v>9.6527777777777782E-2</v>
      </c>
    </row>
    <row r="6" spans="1:17">
      <c r="A6" s="91">
        <v>3</v>
      </c>
      <c r="B6" s="92" t="s">
        <v>1135</v>
      </c>
      <c r="C6" s="93" t="s">
        <v>1136</v>
      </c>
      <c r="D6" s="92" t="s">
        <v>1137</v>
      </c>
      <c r="E6" s="93" t="s">
        <v>1138</v>
      </c>
      <c r="F6" s="92" t="s">
        <v>1139</v>
      </c>
      <c r="G6" s="93" t="s">
        <v>1133</v>
      </c>
      <c r="H6" s="92" t="s">
        <v>1140</v>
      </c>
      <c r="I6" s="93" t="s">
        <v>1141</v>
      </c>
      <c r="J6" s="92" t="s">
        <v>1142</v>
      </c>
      <c r="K6" s="93" t="s">
        <v>1143</v>
      </c>
      <c r="L6" s="93" t="s">
        <v>1144</v>
      </c>
      <c r="M6" s="69"/>
      <c r="N6" s="92" t="s">
        <v>64</v>
      </c>
      <c r="O6" s="93" t="s">
        <v>1145</v>
      </c>
      <c r="P6" s="94">
        <v>42</v>
      </c>
      <c r="Q6" s="95">
        <v>0.12638888888888888</v>
      </c>
    </row>
    <row r="7" spans="1:17">
      <c r="A7" s="91">
        <v>4</v>
      </c>
      <c r="B7" s="92" t="s">
        <v>1146</v>
      </c>
      <c r="C7" s="93" t="s">
        <v>1147</v>
      </c>
      <c r="D7" s="92" t="s">
        <v>1148</v>
      </c>
      <c r="E7" s="93" t="s">
        <v>1147</v>
      </c>
      <c r="F7" s="92" t="s">
        <v>1149</v>
      </c>
      <c r="G7" s="93" t="s">
        <v>1150</v>
      </c>
      <c r="H7" s="92" t="s">
        <v>1151</v>
      </c>
      <c r="I7" s="93" t="s">
        <v>1133</v>
      </c>
      <c r="J7" s="92" t="s">
        <v>1152</v>
      </c>
      <c r="K7" s="93" t="s">
        <v>1131</v>
      </c>
      <c r="L7" s="93" t="s">
        <v>1153</v>
      </c>
      <c r="M7" s="69"/>
      <c r="N7" s="92" t="s">
        <v>85</v>
      </c>
      <c r="O7" s="93" t="s">
        <v>1154</v>
      </c>
      <c r="P7" s="94">
        <v>79</v>
      </c>
      <c r="Q7" s="95">
        <v>0.17986111111111111</v>
      </c>
    </row>
    <row r="8" spans="1:17">
      <c r="A8" s="91">
        <v>5</v>
      </c>
      <c r="B8" s="92" t="s">
        <v>1155</v>
      </c>
      <c r="C8" s="93" t="s">
        <v>1129</v>
      </c>
      <c r="D8" s="92" t="s">
        <v>1156</v>
      </c>
      <c r="E8" s="93" t="s">
        <v>1153</v>
      </c>
      <c r="F8" s="92" t="s">
        <v>1157</v>
      </c>
      <c r="G8" s="93" t="s">
        <v>1158</v>
      </c>
      <c r="H8" s="92" t="s">
        <v>1159</v>
      </c>
      <c r="I8" s="93" t="s">
        <v>1160</v>
      </c>
      <c r="J8" s="92" t="s">
        <v>1161</v>
      </c>
      <c r="K8" s="93" t="s">
        <v>1162</v>
      </c>
      <c r="L8" s="93" t="s">
        <v>1143</v>
      </c>
      <c r="M8" s="69"/>
      <c r="N8" s="92" t="s">
        <v>106</v>
      </c>
      <c r="O8" s="93" t="s">
        <v>1163</v>
      </c>
      <c r="P8" s="94">
        <v>82</v>
      </c>
      <c r="Q8" s="95">
        <v>0.20972222222222223</v>
      </c>
    </row>
    <row r="9" spans="1:17">
      <c r="A9" s="91">
        <v>6</v>
      </c>
      <c r="B9" s="92" t="s">
        <v>1164</v>
      </c>
      <c r="C9" s="93" t="s">
        <v>1153</v>
      </c>
      <c r="D9" s="92" t="s">
        <v>1165</v>
      </c>
      <c r="E9" s="93" t="s">
        <v>1166</v>
      </c>
      <c r="F9" s="92" t="s">
        <v>1167</v>
      </c>
      <c r="G9" s="93" t="s">
        <v>1168</v>
      </c>
      <c r="H9" s="92" t="s">
        <v>1169</v>
      </c>
      <c r="I9" s="93" t="s">
        <v>1143</v>
      </c>
      <c r="J9" s="92" t="s">
        <v>1170</v>
      </c>
      <c r="K9" s="93" t="s">
        <v>1153</v>
      </c>
      <c r="L9" s="93" t="s">
        <v>1125</v>
      </c>
      <c r="M9" s="69"/>
      <c r="N9" s="92" t="s">
        <v>127</v>
      </c>
      <c r="O9" s="93" t="s">
        <v>1171</v>
      </c>
      <c r="P9" s="94">
        <v>119</v>
      </c>
      <c r="Q9" s="95">
        <v>0.26319444444444445</v>
      </c>
    </row>
    <row r="10" spans="1:17">
      <c r="A10" s="91">
        <v>7</v>
      </c>
      <c r="B10" s="96" t="s">
        <v>1172</v>
      </c>
      <c r="C10" s="93" t="s">
        <v>1173</v>
      </c>
      <c r="D10" s="92" t="s">
        <v>1174</v>
      </c>
      <c r="E10" s="93" t="s">
        <v>1175</v>
      </c>
      <c r="F10" s="92" t="s">
        <v>1176</v>
      </c>
      <c r="G10" s="93" t="s">
        <v>1144</v>
      </c>
      <c r="H10" s="92" t="s">
        <v>1177</v>
      </c>
      <c r="I10" s="93" t="s">
        <v>1173</v>
      </c>
      <c r="J10" s="92" t="s">
        <v>1178</v>
      </c>
      <c r="K10" s="93" t="s">
        <v>1125</v>
      </c>
      <c r="L10" s="93" t="s">
        <v>1138</v>
      </c>
      <c r="M10" s="69"/>
      <c r="N10" s="92" t="s">
        <v>148</v>
      </c>
      <c r="O10" s="93" t="s">
        <v>338</v>
      </c>
      <c r="P10" s="94">
        <v>122</v>
      </c>
      <c r="Q10" s="95">
        <v>0.29305555555555557</v>
      </c>
    </row>
    <row r="11" spans="1:17">
      <c r="A11" s="91">
        <v>8</v>
      </c>
      <c r="B11" s="92" t="s">
        <v>1179</v>
      </c>
      <c r="C11" s="93" t="s">
        <v>1168</v>
      </c>
      <c r="D11" s="92" t="s">
        <v>1180</v>
      </c>
      <c r="E11" s="93" t="s">
        <v>1181</v>
      </c>
      <c r="F11" s="92" t="s">
        <v>1182</v>
      </c>
      <c r="G11" s="93" t="s">
        <v>1143</v>
      </c>
      <c r="H11" s="92" t="s">
        <v>1183</v>
      </c>
      <c r="I11" s="93" t="s">
        <v>1184</v>
      </c>
      <c r="J11" s="92" t="s">
        <v>1185</v>
      </c>
      <c r="K11" s="93" t="s">
        <v>1115</v>
      </c>
      <c r="L11" s="93" t="s">
        <v>1158</v>
      </c>
      <c r="M11" s="69"/>
      <c r="N11" s="92" t="s">
        <v>169</v>
      </c>
      <c r="O11" s="93" t="s">
        <v>339</v>
      </c>
      <c r="P11" s="94">
        <v>159</v>
      </c>
      <c r="Q11" s="95">
        <v>0.34652777777777777</v>
      </c>
    </row>
    <row r="12" spans="1:17">
      <c r="A12" s="91">
        <v>9</v>
      </c>
      <c r="B12" s="92" t="s">
        <v>1186</v>
      </c>
      <c r="C12" s="93" t="s">
        <v>1187</v>
      </c>
      <c r="D12" s="92" t="s">
        <v>1188</v>
      </c>
      <c r="E12" s="93" t="s">
        <v>1189</v>
      </c>
      <c r="F12" s="92" t="s">
        <v>1190</v>
      </c>
      <c r="G12" s="93" t="s">
        <v>1191</v>
      </c>
      <c r="H12" s="92" t="s">
        <v>1192</v>
      </c>
      <c r="I12" s="93" t="s">
        <v>1181</v>
      </c>
      <c r="J12" s="92" t="s">
        <v>1193</v>
      </c>
      <c r="K12" s="93" t="s">
        <v>1191</v>
      </c>
      <c r="L12" s="93" t="s">
        <v>1194</v>
      </c>
      <c r="M12" s="69"/>
      <c r="N12" s="92" t="s">
        <v>190</v>
      </c>
      <c r="O12" s="93" t="s">
        <v>1195</v>
      </c>
      <c r="P12" s="94">
        <v>162</v>
      </c>
      <c r="Q12" s="95">
        <v>0.37638888888888888</v>
      </c>
    </row>
    <row r="13" spans="1:17">
      <c r="A13" s="91">
        <v>10</v>
      </c>
      <c r="B13" s="92" t="s">
        <v>1196</v>
      </c>
      <c r="C13" s="93" t="s">
        <v>1162</v>
      </c>
      <c r="D13" s="92" t="s">
        <v>1197</v>
      </c>
      <c r="E13" s="93" t="s">
        <v>1168</v>
      </c>
      <c r="F13" s="92" t="s">
        <v>1198</v>
      </c>
      <c r="G13" s="93" t="s">
        <v>1121</v>
      </c>
      <c r="H13" s="92" t="s">
        <v>1199</v>
      </c>
      <c r="I13" s="93" t="s">
        <v>1150</v>
      </c>
      <c r="J13" s="92" t="s">
        <v>1200</v>
      </c>
      <c r="K13" s="93" t="s">
        <v>1201</v>
      </c>
      <c r="L13" s="93" t="s">
        <v>1133</v>
      </c>
      <c r="M13" s="69"/>
      <c r="N13" s="92" t="s">
        <v>211</v>
      </c>
      <c r="O13" s="93" t="s">
        <v>847</v>
      </c>
      <c r="P13" s="94">
        <v>199</v>
      </c>
      <c r="Q13" s="95">
        <v>0.42986111111111114</v>
      </c>
    </row>
    <row r="14" spans="1:17">
      <c r="A14" s="91">
        <v>11</v>
      </c>
      <c r="B14" s="92" t="s">
        <v>1192</v>
      </c>
      <c r="C14" s="93" t="s">
        <v>1121</v>
      </c>
      <c r="D14" s="92" t="s">
        <v>1202</v>
      </c>
      <c r="E14" s="93" t="s">
        <v>1184</v>
      </c>
      <c r="F14" s="92" t="s">
        <v>1203</v>
      </c>
      <c r="G14" s="93" t="s">
        <v>1189</v>
      </c>
      <c r="H14" s="92" t="s">
        <v>1204</v>
      </c>
      <c r="I14" s="93" t="s">
        <v>1194</v>
      </c>
      <c r="J14" s="92" t="s">
        <v>1205</v>
      </c>
      <c r="K14" s="93" t="s">
        <v>1117</v>
      </c>
      <c r="L14" s="93" t="s">
        <v>1147</v>
      </c>
      <c r="M14" s="69"/>
      <c r="N14" s="92" t="s">
        <v>232</v>
      </c>
      <c r="O14" s="93" t="s">
        <v>338</v>
      </c>
      <c r="P14" s="94">
        <v>202</v>
      </c>
      <c r="Q14" s="95">
        <v>0.4597222222222222</v>
      </c>
    </row>
    <row r="15" spans="1:17">
      <c r="A15" s="91">
        <v>12</v>
      </c>
      <c r="B15" s="92" t="s">
        <v>1206</v>
      </c>
      <c r="C15" s="97" t="s">
        <v>1191</v>
      </c>
      <c r="D15" s="92" t="s">
        <v>1207</v>
      </c>
      <c r="E15" s="93" t="s">
        <v>1162</v>
      </c>
      <c r="F15" s="92" t="s">
        <v>1208</v>
      </c>
      <c r="G15" s="93" t="s">
        <v>1141</v>
      </c>
      <c r="H15" s="92" t="s">
        <v>1209</v>
      </c>
      <c r="I15" s="93" t="s">
        <v>1119</v>
      </c>
      <c r="J15" s="92" t="s">
        <v>1210</v>
      </c>
      <c r="K15" s="93" t="s">
        <v>1119</v>
      </c>
      <c r="L15" s="93" t="s">
        <v>1184</v>
      </c>
      <c r="M15" s="69"/>
      <c r="N15" s="92" t="s">
        <v>253</v>
      </c>
      <c r="O15" s="93" t="s">
        <v>1031</v>
      </c>
      <c r="P15" s="94">
        <v>239</v>
      </c>
      <c r="Q15" s="95">
        <v>0.5131944444444444</v>
      </c>
    </row>
    <row r="16" spans="1:17">
      <c r="A16" s="91">
        <v>13</v>
      </c>
      <c r="B16" s="92" t="s">
        <v>1211</v>
      </c>
      <c r="C16" s="93" t="s">
        <v>1136</v>
      </c>
      <c r="D16" s="92" t="s">
        <v>1212</v>
      </c>
      <c r="E16" s="93" t="s">
        <v>1131</v>
      </c>
      <c r="F16" s="92" t="s">
        <v>1213</v>
      </c>
      <c r="G16" s="93" t="s">
        <v>1125</v>
      </c>
      <c r="H16" s="92" t="s">
        <v>1214</v>
      </c>
      <c r="I16" s="93" t="s">
        <v>1215</v>
      </c>
      <c r="J16" s="92" t="s">
        <v>1216</v>
      </c>
      <c r="K16" s="93" t="s">
        <v>1150</v>
      </c>
      <c r="L16" s="93" t="s">
        <v>1181</v>
      </c>
      <c r="M16" s="69"/>
      <c r="N16" s="92" t="s">
        <v>274</v>
      </c>
      <c r="O16" s="93" t="s">
        <v>1217</v>
      </c>
      <c r="P16" s="94">
        <v>242</v>
      </c>
      <c r="Q16" s="95">
        <v>0.54305555555555551</v>
      </c>
    </row>
    <row r="17" spans="1:21">
      <c r="A17" s="91">
        <v>14</v>
      </c>
      <c r="B17" s="92" t="s">
        <v>1218</v>
      </c>
      <c r="C17" s="93" t="s">
        <v>1184</v>
      </c>
      <c r="D17" s="92" t="s">
        <v>1219</v>
      </c>
      <c r="E17" s="93" t="s">
        <v>1141</v>
      </c>
      <c r="F17" s="92" t="s">
        <v>1164</v>
      </c>
      <c r="G17" s="93" t="s">
        <v>1220</v>
      </c>
      <c r="H17" s="92" t="s">
        <v>1221</v>
      </c>
      <c r="I17" s="93" t="s">
        <v>1166</v>
      </c>
      <c r="J17" s="92" t="s">
        <v>1222</v>
      </c>
      <c r="K17" s="93" t="s">
        <v>1181</v>
      </c>
      <c r="L17" s="93" t="s">
        <v>1162</v>
      </c>
      <c r="M17" s="69"/>
      <c r="N17" s="92" t="s">
        <v>295</v>
      </c>
      <c r="O17" s="93" t="s">
        <v>1101</v>
      </c>
      <c r="P17" s="94">
        <v>279</v>
      </c>
      <c r="Q17" s="95">
        <v>0.59652777777777777</v>
      </c>
    </row>
    <row r="18" spans="1:21">
      <c r="A18" s="91">
        <v>15</v>
      </c>
      <c r="B18" s="92" t="s">
        <v>1223</v>
      </c>
      <c r="C18" s="93" t="s">
        <v>1220</v>
      </c>
      <c r="D18" s="92" t="s">
        <v>1192</v>
      </c>
      <c r="E18" s="93" t="s">
        <v>1160</v>
      </c>
      <c r="F18" s="92" t="s">
        <v>1224</v>
      </c>
      <c r="G18" s="93" t="s">
        <v>1160</v>
      </c>
      <c r="H18" s="92" t="s">
        <v>1225</v>
      </c>
      <c r="I18" s="93" t="s">
        <v>1136</v>
      </c>
      <c r="J18" s="92" t="s">
        <v>1226</v>
      </c>
      <c r="K18" s="93" t="s">
        <v>1141</v>
      </c>
      <c r="L18" s="93" t="s">
        <v>1150</v>
      </c>
      <c r="M18" s="69"/>
      <c r="N18" s="98" t="s">
        <v>316</v>
      </c>
      <c r="O18" s="99" t="s">
        <v>339</v>
      </c>
      <c r="P18" s="94">
        <v>282</v>
      </c>
      <c r="Q18" s="95">
        <v>0.62638888888888888</v>
      </c>
    </row>
    <row r="19" spans="1:21">
      <c r="A19" s="91">
        <v>16</v>
      </c>
      <c r="B19" s="92" t="s">
        <v>1227</v>
      </c>
      <c r="C19" s="93" t="s">
        <v>1215</v>
      </c>
      <c r="D19" s="92" t="s">
        <v>1228</v>
      </c>
      <c r="E19" s="93" t="s">
        <v>1125</v>
      </c>
      <c r="F19" s="92" t="s">
        <v>1229</v>
      </c>
      <c r="G19" s="93" t="s">
        <v>1162</v>
      </c>
      <c r="H19" s="92" t="s">
        <v>1230</v>
      </c>
      <c r="I19" s="93" t="s">
        <v>1168</v>
      </c>
      <c r="J19" s="92" t="s">
        <v>1231</v>
      </c>
      <c r="K19" s="93" t="s">
        <v>1168</v>
      </c>
      <c r="L19" s="93" t="s">
        <v>1191</v>
      </c>
      <c r="M19" s="69"/>
      <c r="N19" s="69"/>
      <c r="O19" s="69"/>
      <c r="P19" s="69"/>
      <c r="Q19" s="69"/>
    </row>
    <row r="20" spans="1:21">
      <c r="A20" s="91">
        <v>17</v>
      </c>
      <c r="B20" s="92" t="s">
        <v>1232</v>
      </c>
      <c r="C20" s="93" t="s">
        <v>1143</v>
      </c>
      <c r="D20" s="92" t="s">
        <v>1233</v>
      </c>
      <c r="E20" s="93" t="s">
        <v>1119</v>
      </c>
      <c r="F20" s="92" t="s">
        <v>1234</v>
      </c>
      <c r="G20" s="93" t="s">
        <v>1115</v>
      </c>
      <c r="H20" s="92" t="s">
        <v>1235</v>
      </c>
      <c r="I20" s="93" t="s">
        <v>1191</v>
      </c>
      <c r="J20" s="92" t="s">
        <v>1236</v>
      </c>
      <c r="K20" s="93" t="s">
        <v>1127</v>
      </c>
      <c r="L20" s="93" t="s">
        <v>1127</v>
      </c>
      <c r="M20" s="69"/>
      <c r="N20" s="69"/>
      <c r="O20" s="69"/>
      <c r="P20" s="69"/>
      <c r="Q20" s="69"/>
    </row>
    <row r="21" spans="1:21">
      <c r="A21" s="91">
        <v>18</v>
      </c>
      <c r="B21" s="92" t="s">
        <v>1237</v>
      </c>
      <c r="C21" s="93" t="s">
        <v>1115</v>
      </c>
      <c r="D21" s="92" t="s">
        <v>1238</v>
      </c>
      <c r="E21" s="93" t="s">
        <v>1136</v>
      </c>
      <c r="F21" s="92" t="s">
        <v>1209</v>
      </c>
      <c r="G21" s="93" t="s">
        <v>1153</v>
      </c>
      <c r="H21" s="92" t="s">
        <v>1239</v>
      </c>
      <c r="I21" s="93" t="s">
        <v>1220</v>
      </c>
      <c r="J21" s="92" t="s">
        <v>1240</v>
      </c>
      <c r="K21" s="93" t="s">
        <v>1194</v>
      </c>
      <c r="L21" s="93" t="s">
        <v>1187</v>
      </c>
      <c r="M21" s="69"/>
      <c r="N21" s="69"/>
      <c r="O21" s="69"/>
      <c r="P21" s="69"/>
      <c r="Q21" s="69"/>
    </row>
    <row r="22" spans="1:21">
      <c r="A22" s="91">
        <v>19</v>
      </c>
      <c r="B22" s="92" t="s">
        <v>1241</v>
      </c>
      <c r="C22" s="93" t="s">
        <v>1121</v>
      </c>
      <c r="D22" s="92" t="s">
        <v>1242</v>
      </c>
      <c r="E22" s="93" t="s">
        <v>1189</v>
      </c>
      <c r="F22" s="92" t="s">
        <v>1243</v>
      </c>
      <c r="G22" s="93" t="s">
        <v>1184</v>
      </c>
      <c r="H22" s="92" t="s">
        <v>1244</v>
      </c>
      <c r="I22" s="93" t="s">
        <v>1138</v>
      </c>
      <c r="J22" s="92" t="s">
        <v>1245</v>
      </c>
      <c r="K22" s="93" t="s">
        <v>1158</v>
      </c>
      <c r="L22" s="93" t="s">
        <v>1189</v>
      </c>
      <c r="M22" s="69"/>
      <c r="N22" s="69"/>
      <c r="O22" s="69"/>
      <c r="P22" s="69"/>
      <c r="Q22" s="69"/>
    </row>
    <row r="23" spans="1:21">
      <c r="A23" s="100">
        <v>20</v>
      </c>
      <c r="B23" s="98" t="s">
        <v>1246</v>
      </c>
      <c r="C23" s="99" t="s">
        <v>1160</v>
      </c>
      <c r="D23" s="98" t="s">
        <v>1247</v>
      </c>
      <c r="E23" s="99" t="s">
        <v>1168</v>
      </c>
      <c r="F23" s="98" t="s">
        <v>1248</v>
      </c>
      <c r="G23" s="99" t="s">
        <v>1127</v>
      </c>
      <c r="H23" s="98" t="s">
        <v>1249</v>
      </c>
      <c r="I23" s="99" t="s">
        <v>1153</v>
      </c>
      <c r="J23" s="98" t="s">
        <v>1250</v>
      </c>
      <c r="K23" s="99" t="s">
        <v>1187</v>
      </c>
      <c r="L23" s="99" t="s">
        <v>1160</v>
      </c>
      <c r="M23" s="69"/>
      <c r="N23" s="69"/>
      <c r="O23" s="69"/>
      <c r="P23" s="69"/>
      <c r="Q23" s="69"/>
    </row>
    <row r="24" spans="1:21">
      <c r="A24" s="101">
        <v>21</v>
      </c>
      <c r="B24" s="69"/>
      <c r="C24" s="69"/>
      <c r="D24" s="69" t="s">
        <v>1251</v>
      </c>
      <c r="E24" s="69" t="s">
        <v>1121</v>
      </c>
      <c r="F24" s="69"/>
      <c r="G24" s="69"/>
      <c r="H24" s="69"/>
      <c r="I24" s="69"/>
      <c r="J24" s="69"/>
      <c r="K24" s="69"/>
      <c r="L24" s="69"/>
      <c r="M24" s="69"/>
      <c r="N24" s="69"/>
      <c r="O24" s="69"/>
      <c r="P24" s="69"/>
      <c r="Q24" s="69"/>
    </row>
    <row r="25" spans="1:21">
      <c r="A25" s="101">
        <v>22</v>
      </c>
      <c r="B25" s="69"/>
      <c r="C25" s="69"/>
      <c r="D25" s="69" t="s">
        <v>1252</v>
      </c>
      <c r="E25" s="69" t="s">
        <v>1121</v>
      </c>
      <c r="F25" s="69"/>
      <c r="G25" s="69"/>
      <c r="H25" s="69"/>
      <c r="I25" s="69"/>
      <c r="J25" s="69"/>
      <c r="K25" s="69"/>
      <c r="L25" s="69"/>
      <c r="M25" s="69"/>
      <c r="N25" s="69"/>
      <c r="O25" s="69"/>
      <c r="P25" s="69"/>
      <c r="Q25" s="69"/>
    </row>
    <row r="26" spans="1:21">
      <c r="A26" s="69"/>
      <c r="B26" s="69"/>
      <c r="C26" s="69"/>
      <c r="D26" s="69"/>
      <c r="E26" s="69"/>
      <c r="F26" s="69"/>
      <c r="G26" s="69"/>
      <c r="H26" s="69"/>
      <c r="I26" s="69"/>
      <c r="J26" s="69"/>
      <c r="K26" s="69"/>
      <c r="L26" s="69"/>
      <c r="M26" s="69"/>
      <c r="N26" s="69"/>
      <c r="O26" s="69"/>
      <c r="P26" s="69"/>
      <c r="Q26" s="69"/>
    </row>
    <row r="27" spans="1:21">
      <c r="A27" s="69"/>
      <c r="B27" s="69"/>
      <c r="C27" s="69"/>
      <c r="D27" s="69"/>
      <c r="E27" s="69"/>
      <c r="F27" s="69"/>
      <c r="G27" s="69"/>
      <c r="H27" s="69"/>
      <c r="I27" s="69"/>
      <c r="J27" s="69"/>
      <c r="K27" s="69"/>
      <c r="L27" s="69"/>
      <c r="M27" s="69"/>
      <c r="N27" s="69"/>
      <c r="O27" s="69"/>
      <c r="P27" s="69"/>
      <c r="Q27" s="69"/>
    </row>
    <row r="31" spans="1:21">
      <c r="A31" s="88" t="s">
        <v>1112</v>
      </c>
      <c r="B31" s="89"/>
      <c r="C31" s="70"/>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2"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2"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2"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2"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2"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2"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2"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2"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2"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2"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2"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2"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2"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2"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2"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5 D4:D25 F4:F25 H4:H25 J4:J25 L4:L25">
    <cfRule type="expression" dxfId="17110" priority="1">
      <formula>COUNTIF($B$32:$U$46,"*"&amp;B4&amp;"*")&gt;0</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6"/>
  <sheetViews>
    <sheetView workbookViewId="0"/>
  </sheetViews>
  <sheetFormatPr baseColWidth="10" defaultColWidth="14.44140625" defaultRowHeight="15" customHeight="1"/>
  <cols>
    <col min="2" max="2" width="27.5546875" customWidth="1"/>
    <col min="4" max="4" width="24.6640625" customWidth="1"/>
    <col min="6" max="6" width="22.109375" customWidth="1"/>
    <col min="8" max="8" width="23.109375" customWidth="1"/>
    <col min="10" max="10" width="23.44140625" customWidth="1"/>
    <col min="12" max="12" width="31.33203125" customWidth="1"/>
  </cols>
  <sheetData>
    <row r="1" spans="1:15">
      <c r="A1" s="70"/>
      <c r="B1" s="138" t="s">
        <v>1253</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77">
        <v>1</v>
      </c>
      <c r="B4" s="78" t="s">
        <v>23</v>
      </c>
      <c r="C4" s="79" t="s">
        <v>386</v>
      </c>
      <c r="D4" s="78" t="s">
        <v>22</v>
      </c>
      <c r="E4" s="79" t="s">
        <v>391</v>
      </c>
      <c r="F4" s="78" t="s">
        <v>62</v>
      </c>
      <c r="G4" s="79" t="s">
        <v>403</v>
      </c>
      <c r="H4" s="80" t="s">
        <v>48</v>
      </c>
      <c r="I4" s="79" t="s">
        <v>388</v>
      </c>
      <c r="J4" s="78" t="s">
        <v>222</v>
      </c>
      <c r="K4" s="79" t="s">
        <v>393</v>
      </c>
      <c r="L4" s="81" t="s">
        <v>152</v>
      </c>
      <c r="M4" s="70"/>
      <c r="N4" s="80" t="s">
        <v>21</v>
      </c>
      <c r="O4" s="79" t="s">
        <v>339</v>
      </c>
    </row>
    <row r="5" spans="1:15">
      <c r="A5" s="77">
        <v>2</v>
      </c>
      <c r="B5" s="78" t="s">
        <v>26</v>
      </c>
      <c r="C5" s="79" t="s">
        <v>410</v>
      </c>
      <c r="D5" s="78" t="s">
        <v>25</v>
      </c>
      <c r="E5" s="79" t="s">
        <v>393</v>
      </c>
      <c r="F5" s="78" t="s">
        <v>74</v>
      </c>
      <c r="G5" s="79" t="s">
        <v>413</v>
      </c>
      <c r="H5" s="80" t="s">
        <v>50</v>
      </c>
      <c r="I5" s="79" t="s">
        <v>387</v>
      </c>
      <c r="J5" s="78" t="s">
        <v>233</v>
      </c>
      <c r="K5" s="79" t="s">
        <v>401</v>
      </c>
      <c r="L5" s="81" t="s">
        <v>189</v>
      </c>
      <c r="M5" s="70"/>
      <c r="N5" s="80" t="s">
        <v>43</v>
      </c>
      <c r="O5" s="79" t="s">
        <v>338</v>
      </c>
    </row>
    <row r="6" spans="1:15">
      <c r="A6" s="77">
        <v>3</v>
      </c>
      <c r="B6" s="78" t="s">
        <v>24</v>
      </c>
      <c r="C6" s="79" t="s">
        <v>395</v>
      </c>
      <c r="D6" s="78" t="s">
        <v>27</v>
      </c>
      <c r="E6" s="79" t="s">
        <v>405</v>
      </c>
      <c r="F6" s="78" t="s">
        <v>71</v>
      </c>
      <c r="G6" s="79" t="s">
        <v>385</v>
      </c>
      <c r="H6" s="78" t="s">
        <v>68</v>
      </c>
      <c r="I6" s="79" t="s">
        <v>416</v>
      </c>
      <c r="J6" s="80" t="s">
        <v>245</v>
      </c>
      <c r="K6" s="79" t="s">
        <v>395</v>
      </c>
      <c r="L6" s="81" t="s">
        <v>221</v>
      </c>
      <c r="M6" s="70"/>
      <c r="N6" s="80" t="s">
        <v>64</v>
      </c>
      <c r="O6" s="79" t="s">
        <v>337</v>
      </c>
    </row>
    <row r="7" spans="1:15">
      <c r="A7" s="77">
        <v>4</v>
      </c>
      <c r="B7" s="78" t="s">
        <v>37</v>
      </c>
      <c r="C7" s="79" t="s">
        <v>387</v>
      </c>
      <c r="D7" s="78" t="s">
        <v>31</v>
      </c>
      <c r="E7" s="79" t="s">
        <v>397</v>
      </c>
      <c r="F7" s="78" t="s">
        <v>103</v>
      </c>
      <c r="G7" s="79" t="s">
        <v>395</v>
      </c>
      <c r="H7" s="78" t="s">
        <v>72</v>
      </c>
      <c r="I7" s="79" t="s">
        <v>410</v>
      </c>
      <c r="J7" s="80" t="s">
        <v>273</v>
      </c>
      <c r="K7" s="79" t="s">
        <v>394</v>
      </c>
      <c r="L7" s="81" t="s">
        <v>192</v>
      </c>
      <c r="M7" s="70"/>
      <c r="N7" s="80" t="s">
        <v>85</v>
      </c>
      <c r="O7" s="79" t="s">
        <v>340</v>
      </c>
    </row>
    <row r="8" spans="1:15">
      <c r="A8" s="77">
        <v>5</v>
      </c>
      <c r="B8" s="78" t="s">
        <v>34</v>
      </c>
      <c r="C8" s="79" t="s">
        <v>403</v>
      </c>
      <c r="D8" s="78" t="s">
        <v>30</v>
      </c>
      <c r="E8" s="79" t="s">
        <v>408</v>
      </c>
      <c r="F8" s="78" t="s">
        <v>99</v>
      </c>
      <c r="G8" s="79" t="s">
        <v>387</v>
      </c>
      <c r="H8" s="78" t="s">
        <v>84</v>
      </c>
      <c r="I8" s="79" t="s">
        <v>391</v>
      </c>
      <c r="J8" s="80" t="s">
        <v>271</v>
      </c>
      <c r="K8" s="79" t="s">
        <v>414</v>
      </c>
      <c r="L8" s="81" t="s">
        <v>201</v>
      </c>
      <c r="M8" s="70"/>
      <c r="N8" s="80" t="s">
        <v>106</v>
      </c>
      <c r="O8" s="79" t="s">
        <v>338</v>
      </c>
    </row>
    <row r="9" spans="1:15">
      <c r="A9" s="77">
        <v>6</v>
      </c>
      <c r="B9" s="78" t="s">
        <v>32</v>
      </c>
      <c r="C9" s="79" t="s">
        <v>413</v>
      </c>
      <c r="D9" s="78" t="s">
        <v>63</v>
      </c>
      <c r="E9" s="79" t="s">
        <v>399</v>
      </c>
      <c r="F9" s="78" t="s">
        <v>96</v>
      </c>
      <c r="G9" s="79" t="s">
        <v>405</v>
      </c>
      <c r="H9" s="78" t="s">
        <v>164</v>
      </c>
      <c r="I9" s="79" t="s">
        <v>409</v>
      </c>
      <c r="J9" s="80" t="s">
        <v>261</v>
      </c>
      <c r="K9" s="79" t="s">
        <v>397</v>
      </c>
      <c r="L9" s="81" t="s">
        <v>177</v>
      </c>
      <c r="M9" s="70"/>
      <c r="N9" s="80" t="s">
        <v>127</v>
      </c>
      <c r="O9" s="79" t="s">
        <v>339</v>
      </c>
    </row>
    <row r="10" spans="1:15">
      <c r="A10" s="77">
        <v>7</v>
      </c>
      <c r="B10" s="78" t="s">
        <v>60</v>
      </c>
      <c r="C10" s="79" t="s">
        <v>398</v>
      </c>
      <c r="D10" s="78" t="s">
        <v>29</v>
      </c>
      <c r="E10" s="79" t="s">
        <v>402</v>
      </c>
      <c r="F10" s="78" t="s">
        <v>101</v>
      </c>
      <c r="G10" s="79" t="s">
        <v>400</v>
      </c>
      <c r="H10" s="78" t="s">
        <v>112</v>
      </c>
      <c r="I10" s="79" t="s">
        <v>400</v>
      </c>
      <c r="J10" s="80" t="s">
        <v>314</v>
      </c>
      <c r="K10" s="79" t="s">
        <v>400</v>
      </c>
      <c r="L10" s="81" t="s">
        <v>250</v>
      </c>
      <c r="M10" s="70"/>
      <c r="N10" s="80" t="s">
        <v>148</v>
      </c>
      <c r="O10" s="79" t="s">
        <v>341</v>
      </c>
    </row>
    <row r="11" spans="1:15">
      <c r="A11" s="77">
        <v>8</v>
      </c>
      <c r="B11" s="78" t="s">
        <v>28</v>
      </c>
      <c r="C11" s="79" t="s">
        <v>404</v>
      </c>
      <c r="D11" s="78" t="s">
        <v>33</v>
      </c>
      <c r="E11" s="79" t="s">
        <v>395</v>
      </c>
      <c r="F11" s="78" t="s">
        <v>89</v>
      </c>
      <c r="G11" s="79" t="s">
        <v>396</v>
      </c>
      <c r="H11" s="78" t="s">
        <v>119</v>
      </c>
      <c r="I11" s="79" t="s">
        <v>394</v>
      </c>
      <c r="J11" s="80" t="s">
        <v>286</v>
      </c>
      <c r="K11" s="79" t="s">
        <v>411</v>
      </c>
      <c r="L11" s="81" t="s">
        <v>216</v>
      </c>
      <c r="M11" s="70"/>
      <c r="N11" s="80" t="s">
        <v>169</v>
      </c>
      <c r="O11" s="79" t="s">
        <v>338</v>
      </c>
    </row>
    <row r="12" spans="1:15">
      <c r="A12" s="77">
        <v>9</v>
      </c>
      <c r="B12" s="78" t="s">
        <v>39</v>
      </c>
      <c r="C12" s="79" t="s">
        <v>396</v>
      </c>
      <c r="D12" s="78" t="s">
        <v>59</v>
      </c>
      <c r="E12" s="79" t="s">
        <v>410</v>
      </c>
      <c r="F12" s="78" t="s">
        <v>86</v>
      </c>
      <c r="G12" s="79" t="s">
        <v>392</v>
      </c>
      <c r="H12" s="78" t="s">
        <v>146</v>
      </c>
      <c r="I12" s="79" t="s">
        <v>385</v>
      </c>
      <c r="J12" s="80" t="s">
        <v>310</v>
      </c>
      <c r="K12" s="79" t="s">
        <v>391</v>
      </c>
      <c r="L12" s="81" t="s">
        <v>248</v>
      </c>
      <c r="M12" s="70"/>
      <c r="N12" s="80" t="s">
        <v>190</v>
      </c>
      <c r="O12" s="79" t="s">
        <v>339</v>
      </c>
    </row>
    <row r="13" spans="1:15">
      <c r="A13" s="77">
        <v>10</v>
      </c>
      <c r="B13" s="78" t="s">
        <v>58</v>
      </c>
      <c r="C13" s="79" t="s">
        <v>414</v>
      </c>
      <c r="D13" s="78" t="s">
        <v>40</v>
      </c>
      <c r="E13" s="79" t="s">
        <v>386</v>
      </c>
      <c r="F13" s="80" t="s">
        <v>115</v>
      </c>
      <c r="G13" s="79" t="s">
        <v>398</v>
      </c>
      <c r="H13" s="78" t="s">
        <v>128</v>
      </c>
      <c r="I13" s="79" t="s">
        <v>413</v>
      </c>
      <c r="J13" s="80" t="s">
        <v>300</v>
      </c>
      <c r="K13" s="79" t="s">
        <v>388</v>
      </c>
      <c r="L13" s="79" t="s">
        <v>254</v>
      </c>
      <c r="M13" s="70"/>
      <c r="N13" s="80" t="s">
        <v>211</v>
      </c>
      <c r="O13" s="79" t="s">
        <v>337</v>
      </c>
    </row>
    <row r="14" spans="1:15">
      <c r="A14" s="77">
        <v>11</v>
      </c>
      <c r="B14" s="78" t="s">
        <v>61</v>
      </c>
      <c r="C14" s="79" t="s">
        <v>402</v>
      </c>
      <c r="D14" s="78" t="s">
        <v>38</v>
      </c>
      <c r="E14" s="79" t="s">
        <v>401</v>
      </c>
      <c r="F14" s="80" t="s">
        <v>147</v>
      </c>
      <c r="G14" s="79" t="s">
        <v>394</v>
      </c>
      <c r="H14" s="78" t="s">
        <v>130</v>
      </c>
      <c r="I14" s="79" t="s">
        <v>401</v>
      </c>
      <c r="J14" s="80" t="s">
        <v>297</v>
      </c>
      <c r="K14" s="79" t="s">
        <v>410</v>
      </c>
      <c r="L14" s="81" t="s">
        <v>272</v>
      </c>
      <c r="M14" s="70"/>
      <c r="N14" s="80" t="s">
        <v>232</v>
      </c>
      <c r="O14" s="79" t="s">
        <v>340</v>
      </c>
    </row>
    <row r="15" spans="1:15">
      <c r="A15" s="77">
        <v>12</v>
      </c>
      <c r="B15" s="78" t="s">
        <v>41</v>
      </c>
      <c r="C15" s="84" t="s">
        <v>391</v>
      </c>
      <c r="D15" s="78" t="s">
        <v>45</v>
      </c>
      <c r="E15" s="79" t="s">
        <v>414</v>
      </c>
      <c r="F15" s="80" t="s">
        <v>136</v>
      </c>
      <c r="G15" s="79" t="s">
        <v>388</v>
      </c>
      <c r="H15" s="78" t="s">
        <v>142</v>
      </c>
      <c r="I15" s="79" t="s">
        <v>395</v>
      </c>
      <c r="J15" s="80" t="s">
        <v>309</v>
      </c>
      <c r="K15" s="79" t="s">
        <v>416</v>
      </c>
      <c r="L15" s="79" t="s">
        <v>256</v>
      </c>
      <c r="M15" s="70"/>
      <c r="N15" s="80" t="s">
        <v>253</v>
      </c>
      <c r="O15" s="79" t="s">
        <v>338</v>
      </c>
    </row>
    <row r="16" spans="1:15">
      <c r="A16" s="77">
        <v>13</v>
      </c>
      <c r="B16" s="78" t="s">
        <v>51</v>
      </c>
      <c r="C16" s="79" t="s">
        <v>388</v>
      </c>
      <c r="D16" s="78" t="s">
        <v>53</v>
      </c>
      <c r="E16" s="79" t="s">
        <v>391</v>
      </c>
      <c r="F16" s="80" t="s">
        <v>135</v>
      </c>
      <c r="G16" s="79" t="s">
        <v>410</v>
      </c>
      <c r="H16" s="78" t="s">
        <v>179</v>
      </c>
      <c r="I16" s="79" t="s">
        <v>406</v>
      </c>
      <c r="J16" s="80" t="s">
        <v>290</v>
      </c>
      <c r="K16" s="79" t="s">
        <v>386</v>
      </c>
      <c r="L16" s="81" t="s">
        <v>268</v>
      </c>
      <c r="M16" s="70"/>
      <c r="N16" s="80" t="s">
        <v>274</v>
      </c>
      <c r="O16" s="79" t="s">
        <v>339</v>
      </c>
    </row>
    <row r="17" spans="1:21">
      <c r="A17" s="77">
        <v>14</v>
      </c>
      <c r="B17" s="78" t="s">
        <v>1254</v>
      </c>
      <c r="C17" s="79" t="s">
        <v>401</v>
      </c>
      <c r="D17" s="78" t="s">
        <v>36</v>
      </c>
      <c r="E17" s="79" t="s">
        <v>404</v>
      </c>
      <c r="F17" s="78" t="s">
        <v>165</v>
      </c>
      <c r="G17" s="79" t="s">
        <v>386</v>
      </c>
      <c r="H17" s="78" t="s">
        <v>186</v>
      </c>
      <c r="I17" s="79" t="s">
        <v>390</v>
      </c>
      <c r="J17" s="80" t="s">
        <v>267</v>
      </c>
      <c r="K17" s="79" t="s">
        <v>404</v>
      </c>
      <c r="L17" s="79" t="s">
        <v>287</v>
      </c>
      <c r="M17" s="70"/>
      <c r="N17" s="80" t="s">
        <v>295</v>
      </c>
      <c r="O17" s="79" t="s">
        <v>339</v>
      </c>
    </row>
    <row r="18" spans="1:21">
      <c r="A18" s="77">
        <v>15</v>
      </c>
      <c r="B18" s="78" t="s">
        <v>55</v>
      </c>
      <c r="C18" s="79" t="s">
        <v>1255</v>
      </c>
      <c r="D18" s="78" t="s">
        <v>54</v>
      </c>
      <c r="E18" s="79" t="s">
        <v>412</v>
      </c>
      <c r="F18" s="80" t="s">
        <v>129</v>
      </c>
      <c r="G18" s="79" t="s">
        <v>390</v>
      </c>
      <c r="H18" s="78" t="s">
        <v>145</v>
      </c>
      <c r="I18" s="79" t="s">
        <v>396</v>
      </c>
      <c r="J18" s="80" t="s">
        <v>319</v>
      </c>
      <c r="K18" s="79" t="s">
        <v>405</v>
      </c>
      <c r="L18" s="79" t="s">
        <v>301</v>
      </c>
      <c r="M18" s="70"/>
      <c r="N18" s="85" t="s">
        <v>316</v>
      </c>
      <c r="O18" s="86" t="s">
        <v>342</v>
      </c>
    </row>
    <row r="19" spans="1:21">
      <c r="A19" s="77">
        <v>16</v>
      </c>
      <c r="B19" s="78" t="s">
        <v>57</v>
      </c>
      <c r="C19" s="79" t="s">
        <v>409</v>
      </c>
      <c r="D19" s="78" t="s">
        <v>65</v>
      </c>
      <c r="E19" s="79" t="s">
        <v>402</v>
      </c>
      <c r="F19" s="80" t="s">
        <v>140</v>
      </c>
      <c r="G19" s="79" t="s">
        <v>393</v>
      </c>
      <c r="H19" s="78" t="s">
        <v>184</v>
      </c>
      <c r="I19" s="79" t="s">
        <v>399</v>
      </c>
      <c r="J19" s="80" t="s">
        <v>304</v>
      </c>
      <c r="K19" s="79" t="s">
        <v>387</v>
      </c>
      <c r="L19" s="79" t="s">
        <v>276</v>
      </c>
      <c r="M19" s="70"/>
      <c r="N19" s="70"/>
      <c r="O19" s="70"/>
    </row>
    <row r="20" spans="1:21">
      <c r="A20" s="77">
        <v>17</v>
      </c>
      <c r="B20" s="78" t="s">
        <v>47</v>
      </c>
      <c r="C20" s="79" t="s">
        <v>389</v>
      </c>
      <c r="D20" s="78" t="s">
        <v>35</v>
      </c>
      <c r="E20" s="79" t="s">
        <v>409</v>
      </c>
      <c r="F20" s="78" t="s">
        <v>133</v>
      </c>
      <c r="G20" s="79" t="s">
        <v>406</v>
      </c>
      <c r="H20" s="78" t="s">
        <v>160</v>
      </c>
      <c r="I20" s="79" t="s">
        <v>397</v>
      </c>
      <c r="J20" s="80" t="s">
        <v>320</v>
      </c>
      <c r="K20" s="79" t="s">
        <v>402</v>
      </c>
      <c r="L20" s="79" t="s">
        <v>321</v>
      </c>
      <c r="M20" s="70"/>
      <c r="N20" s="70"/>
      <c r="O20" s="70"/>
    </row>
    <row r="21" spans="1:21">
      <c r="A21" s="77">
        <v>18</v>
      </c>
      <c r="B21" s="78" t="s">
        <v>46</v>
      </c>
      <c r="C21" s="79" t="s">
        <v>385</v>
      </c>
      <c r="D21" s="78" t="s">
        <v>69</v>
      </c>
      <c r="E21" s="79" t="s">
        <v>385</v>
      </c>
      <c r="F21" s="78" t="s">
        <v>206</v>
      </c>
      <c r="G21" s="79" t="s">
        <v>411</v>
      </c>
      <c r="H21" s="78" t="s">
        <v>196</v>
      </c>
      <c r="I21" s="79" t="s">
        <v>405</v>
      </c>
      <c r="J21" s="80" t="s">
        <v>322</v>
      </c>
      <c r="K21" s="79" t="s">
        <v>403</v>
      </c>
      <c r="L21" s="79" t="s">
        <v>291</v>
      </c>
      <c r="M21" s="70"/>
      <c r="N21" s="70"/>
      <c r="O21" s="70"/>
    </row>
    <row r="22" spans="1:21">
      <c r="A22" s="77">
        <v>19</v>
      </c>
      <c r="B22" s="78" t="s">
        <v>56</v>
      </c>
      <c r="C22" s="79" t="s">
        <v>407</v>
      </c>
      <c r="D22" s="78" t="s">
        <v>67</v>
      </c>
      <c r="E22" s="79" t="s">
        <v>416</v>
      </c>
      <c r="F22" s="78" t="s">
        <v>242</v>
      </c>
      <c r="G22" s="79" t="s">
        <v>387</v>
      </c>
      <c r="H22" s="78" t="s">
        <v>209</v>
      </c>
      <c r="I22" s="79" t="s">
        <v>404</v>
      </c>
      <c r="J22" s="80" t="s">
        <v>326</v>
      </c>
      <c r="K22" s="79" t="s">
        <v>396</v>
      </c>
      <c r="L22" s="79" t="s">
        <v>288</v>
      </c>
      <c r="M22" s="70"/>
      <c r="N22" s="70"/>
      <c r="O22" s="70"/>
    </row>
    <row r="23" spans="1:21">
      <c r="A23" s="77">
        <v>20</v>
      </c>
      <c r="B23" s="78" t="s">
        <v>49</v>
      </c>
      <c r="C23" s="79" t="s">
        <v>406</v>
      </c>
      <c r="D23" s="78" t="s">
        <v>77</v>
      </c>
      <c r="E23" s="79" t="s">
        <v>1256</v>
      </c>
      <c r="F23" s="78" t="s">
        <v>171</v>
      </c>
      <c r="G23" s="79" t="s">
        <v>416</v>
      </c>
      <c r="H23" s="78" t="s">
        <v>204</v>
      </c>
      <c r="I23" s="79" t="s">
        <v>389</v>
      </c>
      <c r="J23" s="80" t="s">
        <v>333</v>
      </c>
      <c r="K23" s="79" t="s">
        <v>399</v>
      </c>
      <c r="L23" s="79" t="s">
        <v>298</v>
      </c>
      <c r="M23" s="70"/>
      <c r="N23" s="70"/>
      <c r="O23" s="70"/>
    </row>
    <row r="24" spans="1:21">
      <c r="A24" s="77">
        <v>21</v>
      </c>
      <c r="B24" s="78" t="s">
        <v>75</v>
      </c>
      <c r="C24" s="79" t="s">
        <v>390</v>
      </c>
      <c r="D24" s="78" t="s">
        <v>114</v>
      </c>
      <c r="E24" s="79" t="s">
        <v>395</v>
      </c>
      <c r="F24" s="78" t="s">
        <v>174</v>
      </c>
      <c r="G24" s="79" t="s">
        <v>399</v>
      </c>
      <c r="H24" s="78" t="s">
        <v>199</v>
      </c>
      <c r="I24" s="79" t="s">
        <v>386</v>
      </c>
      <c r="J24" s="80" t="s">
        <v>700</v>
      </c>
      <c r="K24" s="79" t="s">
        <v>413</v>
      </c>
      <c r="L24" s="79" t="s">
        <v>331</v>
      </c>
      <c r="M24" s="70"/>
      <c r="N24" s="70"/>
      <c r="O24" s="70"/>
    </row>
    <row r="25" spans="1:21">
      <c r="A25" s="77">
        <v>22</v>
      </c>
      <c r="B25" s="78" t="s">
        <v>83</v>
      </c>
      <c r="C25" s="79" t="s">
        <v>400</v>
      </c>
      <c r="D25" s="78" t="s">
        <v>70</v>
      </c>
      <c r="E25" s="79" t="s">
        <v>1257</v>
      </c>
      <c r="F25" s="78" t="s">
        <v>202</v>
      </c>
      <c r="G25" s="79" t="s">
        <v>391</v>
      </c>
      <c r="H25" s="78" t="s">
        <v>181</v>
      </c>
      <c r="I25" s="79" t="s">
        <v>403</v>
      </c>
      <c r="J25" s="80" t="s">
        <v>721</v>
      </c>
      <c r="K25" s="79" t="s">
        <v>412</v>
      </c>
      <c r="L25" s="79" t="s">
        <v>328</v>
      </c>
      <c r="M25" s="70"/>
      <c r="N25" s="70"/>
      <c r="O25" s="70"/>
    </row>
    <row r="26" spans="1:21">
      <c r="A26" s="77">
        <v>23</v>
      </c>
      <c r="B26" s="78" t="s">
        <v>66</v>
      </c>
      <c r="C26" s="79" t="s">
        <v>394</v>
      </c>
      <c r="D26" s="78" t="s">
        <v>81</v>
      </c>
      <c r="E26" s="79" t="s">
        <v>394</v>
      </c>
      <c r="F26" s="78" t="s">
        <v>236</v>
      </c>
      <c r="G26" s="79" t="s">
        <v>411</v>
      </c>
      <c r="H26" s="78" t="s">
        <v>200</v>
      </c>
      <c r="I26" s="79" t="s">
        <v>415</v>
      </c>
      <c r="J26" s="80" t="s">
        <v>323</v>
      </c>
      <c r="K26" s="79" t="s">
        <v>390</v>
      </c>
      <c r="L26" s="79" t="s">
        <v>239</v>
      </c>
      <c r="M26" s="70"/>
      <c r="N26" s="70"/>
      <c r="O26" s="70"/>
    </row>
    <row r="27" spans="1:21">
      <c r="A27" s="77">
        <v>24</v>
      </c>
      <c r="B27" s="78" t="s">
        <v>76</v>
      </c>
      <c r="C27" s="79" t="s">
        <v>415</v>
      </c>
      <c r="D27" s="78" t="s">
        <v>92</v>
      </c>
      <c r="E27" s="79" t="s">
        <v>400</v>
      </c>
      <c r="F27" s="80" t="s">
        <v>246</v>
      </c>
      <c r="G27" s="79" t="s">
        <v>414</v>
      </c>
      <c r="H27" s="78" t="s">
        <v>208</v>
      </c>
      <c r="I27" s="79" t="s">
        <v>412</v>
      </c>
      <c r="J27" s="80" t="s">
        <v>469</v>
      </c>
      <c r="K27" s="79" t="s">
        <v>407</v>
      </c>
      <c r="L27" s="79" t="s">
        <v>896</v>
      </c>
      <c r="M27" s="70"/>
      <c r="N27" s="70"/>
      <c r="O27" s="70"/>
    </row>
    <row r="28" spans="1:21">
      <c r="A28" s="77">
        <v>25</v>
      </c>
      <c r="B28" s="103" t="s">
        <v>1258</v>
      </c>
      <c r="C28" s="86" t="s">
        <v>405</v>
      </c>
      <c r="D28" s="103" t="s">
        <v>102</v>
      </c>
      <c r="E28" s="86" t="s">
        <v>387</v>
      </c>
      <c r="F28" s="103" t="s">
        <v>224</v>
      </c>
      <c r="G28" s="86" t="s">
        <v>415</v>
      </c>
      <c r="H28" s="103" t="s">
        <v>228</v>
      </c>
      <c r="I28" s="86" t="s">
        <v>411</v>
      </c>
      <c r="J28" s="85" t="s">
        <v>637</v>
      </c>
      <c r="K28" s="86" t="s">
        <v>408</v>
      </c>
      <c r="L28" s="86" t="s">
        <v>325</v>
      </c>
      <c r="M28" s="70"/>
      <c r="N28" s="70"/>
      <c r="O28" s="70"/>
    </row>
    <row r="31" spans="1:21">
      <c r="A31" s="88" t="s">
        <v>1112</v>
      </c>
      <c r="B31" s="89"/>
      <c r="C31" s="70"/>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2"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2"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2"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2"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2"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2"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2"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2"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2"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2"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2"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2"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2"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2"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2"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8 D4:D28 F4:F28 H4:H28 J4:J28 L4:L28">
    <cfRule type="expression" dxfId="17109" priority="1">
      <formula>COUNTIF($B$32:$U$46,"*"&amp;B4&amp;"*")&gt;0</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U46"/>
  <sheetViews>
    <sheetView workbookViewId="0"/>
  </sheetViews>
  <sheetFormatPr baseColWidth="10" defaultColWidth="14.44140625" defaultRowHeight="15" customHeight="1"/>
  <sheetData>
    <row r="1" spans="1:15">
      <c r="A1" s="70"/>
      <c r="B1" s="138" t="s">
        <v>1259</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77">
        <v>1</v>
      </c>
      <c r="B4" s="78" t="s">
        <v>1260</v>
      </c>
      <c r="C4" s="79" t="s">
        <v>395</v>
      </c>
      <c r="D4" s="78" t="s">
        <v>1116</v>
      </c>
      <c r="E4" s="79" t="s">
        <v>402</v>
      </c>
      <c r="F4" s="78" t="s">
        <v>1139</v>
      </c>
      <c r="G4" s="79" t="s">
        <v>387</v>
      </c>
      <c r="H4" s="80" t="s">
        <v>1261</v>
      </c>
      <c r="I4" s="79" t="s">
        <v>387</v>
      </c>
      <c r="J4" s="80" t="s">
        <v>1262</v>
      </c>
      <c r="K4" s="79" t="s">
        <v>393</v>
      </c>
      <c r="L4" s="79" t="s">
        <v>1143</v>
      </c>
      <c r="M4" s="70"/>
      <c r="N4" s="80" t="s">
        <v>21</v>
      </c>
      <c r="O4" s="79" t="s">
        <v>338</v>
      </c>
    </row>
    <row r="5" spans="1:15">
      <c r="A5" s="77">
        <v>2</v>
      </c>
      <c r="B5" s="78" t="s">
        <v>1224</v>
      </c>
      <c r="C5" s="79" t="s">
        <v>387</v>
      </c>
      <c r="D5" s="78" t="s">
        <v>1263</v>
      </c>
      <c r="E5" s="79" t="s">
        <v>393</v>
      </c>
      <c r="F5" s="78" t="s">
        <v>1167</v>
      </c>
      <c r="G5" s="79" t="s">
        <v>405</v>
      </c>
      <c r="H5" s="80" t="s">
        <v>1264</v>
      </c>
      <c r="I5" s="79" t="s">
        <v>410</v>
      </c>
      <c r="J5" s="80" t="s">
        <v>1132</v>
      </c>
      <c r="K5" s="79" t="s">
        <v>395</v>
      </c>
      <c r="L5" s="79" t="s">
        <v>1115</v>
      </c>
      <c r="M5" s="70"/>
      <c r="N5" s="80" t="s">
        <v>43</v>
      </c>
      <c r="O5" s="79" t="s">
        <v>337</v>
      </c>
    </row>
    <row r="6" spans="1:15">
      <c r="A6" s="77">
        <v>3</v>
      </c>
      <c r="B6" s="78" t="s">
        <v>1265</v>
      </c>
      <c r="C6" s="79" t="s">
        <v>403</v>
      </c>
      <c r="D6" s="78" t="s">
        <v>1266</v>
      </c>
      <c r="E6" s="79" t="s">
        <v>405</v>
      </c>
      <c r="F6" s="78" t="s">
        <v>1176</v>
      </c>
      <c r="G6" s="79" t="s">
        <v>387</v>
      </c>
      <c r="H6" s="80" t="s">
        <v>1267</v>
      </c>
      <c r="I6" s="79" t="s">
        <v>416</v>
      </c>
      <c r="J6" s="80" t="s">
        <v>1142</v>
      </c>
      <c r="K6" s="79" t="s">
        <v>394</v>
      </c>
      <c r="L6" s="79" t="s">
        <v>1153</v>
      </c>
      <c r="M6" s="70"/>
      <c r="N6" s="80" t="s">
        <v>64</v>
      </c>
      <c r="O6" s="79" t="s">
        <v>339</v>
      </c>
    </row>
    <row r="7" spans="1:15">
      <c r="A7" s="77">
        <v>4</v>
      </c>
      <c r="B7" s="78" t="s">
        <v>1268</v>
      </c>
      <c r="C7" s="79" t="s">
        <v>396</v>
      </c>
      <c r="D7" s="78" t="s">
        <v>1269</v>
      </c>
      <c r="E7" s="79" t="s">
        <v>397</v>
      </c>
      <c r="F7" s="78" t="s">
        <v>1157</v>
      </c>
      <c r="G7" s="79" t="s">
        <v>400</v>
      </c>
      <c r="H7" s="80" t="s">
        <v>1270</v>
      </c>
      <c r="I7" s="79" t="s">
        <v>391</v>
      </c>
      <c r="J7" s="80" t="s">
        <v>1178</v>
      </c>
      <c r="K7" s="79" t="s">
        <v>388</v>
      </c>
      <c r="L7" s="79" t="s">
        <v>1144</v>
      </c>
      <c r="M7" s="70"/>
      <c r="N7" s="80" t="s">
        <v>85</v>
      </c>
      <c r="O7" s="79" t="s">
        <v>338</v>
      </c>
    </row>
    <row r="8" spans="1:15">
      <c r="A8" s="77">
        <v>5</v>
      </c>
      <c r="B8" s="78" t="s">
        <v>1271</v>
      </c>
      <c r="C8" s="79" t="s">
        <v>404</v>
      </c>
      <c r="D8" s="78" t="s">
        <v>1272</v>
      </c>
      <c r="E8" s="79" t="s">
        <v>408</v>
      </c>
      <c r="F8" s="78" t="s">
        <v>1208</v>
      </c>
      <c r="G8" s="79" t="s">
        <v>396</v>
      </c>
      <c r="H8" s="80" t="s">
        <v>1120</v>
      </c>
      <c r="I8" s="79" t="s">
        <v>393</v>
      </c>
      <c r="J8" s="80" t="s">
        <v>1205</v>
      </c>
      <c r="K8" s="79" t="s">
        <v>391</v>
      </c>
      <c r="L8" s="79" t="s">
        <v>1168</v>
      </c>
      <c r="M8" s="70"/>
      <c r="N8" s="80" t="s">
        <v>106</v>
      </c>
      <c r="O8" s="79" t="s">
        <v>339</v>
      </c>
    </row>
    <row r="9" spans="1:15">
      <c r="A9" s="77">
        <v>6</v>
      </c>
      <c r="B9" s="78" t="s">
        <v>1273</v>
      </c>
      <c r="C9" s="79" t="s">
        <v>398</v>
      </c>
      <c r="D9" s="78" t="s">
        <v>1274</v>
      </c>
      <c r="E9" s="79" t="s">
        <v>402</v>
      </c>
      <c r="F9" s="78" t="s">
        <v>1164</v>
      </c>
      <c r="G9" s="79" t="s">
        <v>398</v>
      </c>
      <c r="H9" s="80" t="s">
        <v>1199</v>
      </c>
      <c r="I9" s="79" t="s">
        <v>413</v>
      </c>
      <c r="J9" s="80"/>
      <c r="K9" s="79"/>
      <c r="L9" s="79"/>
      <c r="M9" s="70"/>
      <c r="N9" s="80" t="s">
        <v>127</v>
      </c>
      <c r="O9" s="79" t="s">
        <v>340</v>
      </c>
    </row>
    <row r="10" spans="1:15">
      <c r="A10" s="77">
        <v>7</v>
      </c>
      <c r="B10" s="80"/>
      <c r="C10" s="79"/>
      <c r="D10" s="80"/>
      <c r="E10" s="79"/>
      <c r="F10" s="80"/>
      <c r="G10" s="79"/>
      <c r="H10" s="80"/>
      <c r="I10" s="79"/>
      <c r="J10" s="80"/>
      <c r="K10" s="79"/>
      <c r="L10" s="79"/>
      <c r="M10" s="70"/>
      <c r="N10" s="80" t="s">
        <v>148</v>
      </c>
      <c r="O10" s="79" t="s">
        <v>337</v>
      </c>
    </row>
    <row r="11" spans="1:15">
      <c r="A11" s="77">
        <v>8</v>
      </c>
      <c r="B11" s="80"/>
      <c r="C11" s="79"/>
      <c r="D11" s="80"/>
      <c r="E11" s="79"/>
      <c r="F11" s="80"/>
      <c r="G11" s="79"/>
      <c r="H11" s="80"/>
      <c r="I11" s="79"/>
      <c r="J11" s="80"/>
      <c r="K11" s="79"/>
      <c r="L11" s="79"/>
      <c r="M11" s="70"/>
      <c r="N11" s="80" t="s">
        <v>169</v>
      </c>
      <c r="O11" s="79" t="s">
        <v>339</v>
      </c>
    </row>
    <row r="12" spans="1:15">
      <c r="A12" s="77">
        <v>9</v>
      </c>
      <c r="B12" s="80"/>
      <c r="C12" s="79"/>
      <c r="D12" s="80"/>
      <c r="E12" s="79"/>
      <c r="F12" s="80"/>
      <c r="G12" s="79"/>
      <c r="H12" s="80"/>
      <c r="I12" s="79"/>
      <c r="J12" s="80"/>
      <c r="K12" s="79"/>
      <c r="L12" s="79"/>
      <c r="M12" s="70"/>
      <c r="N12" s="80" t="s">
        <v>190</v>
      </c>
      <c r="O12" s="79" t="s">
        <v>340</v>
      </c>
    </row>
    <row r="13" spans="1:15">
      <c r="A13" s="77">
        <v>10</v>
      </c>
      <c r="B13" s="80"/>
      <c r="C13" s="79"/>
      <c r="D13" s="80"/>
      <c r="E13" s="79"/>
      <c r="F13" s="80"/>
      <c r="G13" s="79"/>
      <c r="H13" s="80"/>
      <c r="I13" s="79"/>
      <c r="J13" s="80"/>
      <c r="K13" s="79"/>
      <c r="L13" s="79"/>
      <c r="M13" s="70"/>
      <c r="N13" s="80" t="s">
        <v>211</v>
      </c>
      <c r="O13" s="79" t="s">
        <v>338</v>
      </c>
    </row>
    <row r="14" spans="1:15">
      <c r="A14" s="77">
        <v>11</v>
      </c>
      <c r="B14" s="80"/>
      <c r="C14" s="79"/>
      <c r="D14" s="80"/>
      <c r="E14" s="79"/>
      <c r="F14" s="80"/>
      <c r="G14" s="79"/>
      <c r="H14" s="80"/>
      <c r="I14" s="79"/>
      <c r="J14" s="80"/>
      <c r="K14" s="79"/>
      <c r="L14" s="79"/>
      <c r="M14" s="70"/>
      <c r="N14" s="80" t="s">
        <v>232</v>
      </c>
      <c r="O14" s="79" t="s">
        <v>341</v>
      </c>
    </row>
    <row r="15" spans="1:15">
      <c r="A15" s="77">
        <v>12</v>
      </c>
      <c r="B15" s="104"/>
      <c r="C15" s="84"/>
      <c r="D15" s="80"/>
      <c r="E15" s="79"/>
      <c r="F15" s="80"/>
      <c r="G15" s="79"/>
      <c r="H15" s="80"/>
      <c r="I15" s="79"/>
      <c r="J15" s="80"/>
      <c r="K15" s="79"/>
      <c r="L15" s="79"/>
      <c r="M15" s="70"/>
      <c r="N15" s="80" t="s">
        <v>253</v>
      </c>
      <c r="O15" s="79" t="s">
        <v>339</v>
      </c>
    </row>
    <row r="16" spans="1:15">
      <c r="A16" s="77">
        <v>13</v>
      </c>
      <c r="B16" s="80"/>
      <c r="C16" s="79"/>
      <c r="D16" s="80"/>
      <c r="E16" s="79"/>
      <c r="F16" s="80"/>
      <c r="G16" s="79"/>
      <c r="H16" s="80"/>
      <c r="I16" s="79"/>
      <c r="J16" s="80"/>
      <c r="K16" s="79"/>
      <c r="L16" s="79"/>
      <c r="M16" s="70"/>
      <c r="N16" s="80" t="s">
        <v>274</v>
      </c>
      <c r="O16" s="79" t="s">
        <v>338</v>
      </c>
    </row>
    <row r="17" spans="1:21">
      <c r="A17" s="77">
        <v>14</v>
      </c>
      <c r="B17" s="80"/>
      <c r="C17" s="79"/>
      <c r="D17" s="80"/>
      <c r="E17" s="79"/>
      <c r="F17" s="80"/>
      <c r="G17" s="79"/>
      <c r="H17" s="80"/>
      <c r="I17" s="79"/>
      <c r="J17" s="80"/>
      <c r="K17" s="79"/>
      <c r="L17" s="79"/>
      <c r="M17" s="70"/>
      <c r="N17" s="80" t="s">
        <v>295</v>
      </c>
      <c r="O17" s="79" t="s">
        <v>342</v>
      </c>
    </row>
    <row r="18" spans="1:21">
      <c r="A18" s="77">
        <v>15</v>
      </c>
      <c r="B18" s="80"/>
      <c r="C18" s="79"/>
      <c r="D18" s="80"/>
      <c r="E18" s="79"/>
      <c r="F18" s="80"/>
      <c r="G18" s="79"/>
      <c r="H18" s="80"/>
      <c r="I18" s="79"/>
      <c r="J18" s="80"/>
      <c r="K18" s="79"/>
      <c r="L18" s="79"/>
      <c r="M18" s="70"/>
      <c r="N18" s="85" t="s">
        <v>316</v>
      </c>
      <c r="O18" s="86" t="s">
        <v>341</v>
      </c>
    </row>
    <row r="19" spans="1:21">
      <c r="A19" s="77">
        <v>16</v>
      </c>
      <c r="B19" s="80"/>
      <c r="C19" s="79"/>
      <c r="D19" s="80"/>
      <c r="E19" s="79"/>
      <c r="F19" s="80"/>
      <c r="G19" s="79"/>
      <c r="H19" s="80"/>
      <c r="I19" s="79"/>
      <c r="J19" s="80"/>
      <c r="K19" s="79"/>
      <c r="L19" s="79"/>
      <c r="M19" s="70"/>
      <c r="N19" s="70"/>
      <c r="O19" s="70"/>
    </row>
    <row r="20" spans="1:21">
      <c r="A20" s="77">
        <v>17</v>
      </c>
      <c r="B20" s="80"/>
      <c r="C20" s="79"/>
      <c r="D20" s="80"/>
      <c r="E20" s="79"/>
      <c r="F20" s="80"/>
      <c r="G20" s="79"/>
      <c r="H20" s="80"/>
      <c r="I20" s="79"/>
      <c r="J20" s="80"/>
      <c r="K20" s="79"/>
      <c r="L20" s="79"/>
      <c r="M20" s="70"/>
      <c r="N20" s="70"/>
      <c r="O20" s="70"/>
    </row>
    <row r="21" spans="1:21">
      <c r="A21" s="77">
        <v>18</v>
      </c>
      <c r="B21" s="80"/>
      <c r="C21" s="79"/>
      <c r="D21" s="80"/>
      <c r="E21" s="79"/>
      <c r="F21" s="80"/>
      <c r="G21" s="79"/>
      <c r="H21" s="80"/>
      <c r="I21" s="79"/>
      <c r="J21" s="80"/>
      <c r="K21" s="79"/>
      <c r="L21" s="79"/>
      <c r="M21" s="70"/>
      <c r="N21" s="70"/>
      <c r="O21" s="70"/>
    </row>
    <row r="22" spans="1:21">
      <c r="A22" s="77">
        <v>19</v>
      </c>
      <c r="B22" s="80"/>
      <c r="C22" s="79"/>
      <c r="D22" s="80"/>
      <c r="E22" s="79"/>
      <c r="F22" s="80"/>
      <c r="G22" s="79"/>
      <c r="H22" s="80"/>
      <c r="I22" s="79"/>
      <c r="J22" s="80"/>
      <c r="K22" s="79"/>
      <c r="L22" s="79"/>
      <c r="M22" s="70"/>
      <c r="N22" s="70"/>
      <c r="O22" s="70"/>
    </row>
    <row r="23" spans="1:21">
      <c r="A23" s="87">
        <v>20</v>
      </c>
      <c r="B23" s="85"/>
      <c r="C23" s="86"/>
      <c r="D23" s="85"/>
      <c r="E23" s="86"/>
      <c r="F23" s="85"/>
      <c r="G23" s="86"/>
      <c r="H23" s="85"/>
      <c r="I23" s="86"/>
      <c r="J23" s="85"/>
      <c r="K23" s="86"/>
      <c r="L23" s="86"/>
      <c r="M23" s="70"/>
      <c r="N23" s="70"/>
      <c r="O23" s="70"/>
    </row>
    <row r="31" spans="1:21">
      <c r="A31" s="88" t="s">
        <v>1112</v>
      </c>
      <c r="B31" s="89"/>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66"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66"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66"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66"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66"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66"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66"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66"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66"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66"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66"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66"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66"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66"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66"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3 D4:D23 F4:F23 H4:H23 J4:J23 L4:L23">
    <cfRule type="expression" dxfId="17108" priority="1">
      <formula>COUNTIF($B$32:$U$46,"*"&amp;B4&amp;"*")&gt;0</formula>
    </cfRule>
  </conditionalFormatting>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U60"/>
  <sheetViews>
    <sheetView workbookViewId="0"/>
  </sheetViews>
  <sheetFormatPr baseColWidth="10" defaultColWidth="14.44140625" defaultRowHeight="15" customHeight="1"/>
  <cols>
    <col min="2" max="2" width="22.5546875" customWidth="1"/>
    <col min="4" max="4" width="19.109375" customWidth="1"/>
    <col min="6" max="6" width="17" customWidth="1"/>
    <col min="8" max="8" width="19" customWidth="1"/>
    <col min="10" max="10" width="17.88671875" customWidth="1"/>
    <col min="12" max="12" width="18.88671875" customWidth="1"/>
  </cols>
  <sheetData>
    <row r="1" spans="1:16">
      <c r="A1" s="70"/>
      <c r="B1" s="138" t="s">
        <v>1275</v>
      </c>
      <c r="C1" s="139"/>
      <c r="D1" s="70"/>
      <c r="E1" s="70"/>
      <c r="F1" s="70"/>
      <c r="G1" s="70"/>
      <c r="H1" s="70"/>
      <c r="I1" s="70"/>
      <c r="J1" s="70"/>
      <c r="K1" s="70"/>
      <c r="L1" s="70"/>
      <c r="M1" s="70"/>
      <c r="N1" s="70"/>
      <c r="O1" s="70"/>
      <c r="P1" s="70"/>
    </row>
    <row r="2" spans="1:16">
      <c r="A2" s="70"/>
      <c r="B2" s="70"/>
      <c r="C2" s="70"/>
      <c r="D2" s="70"/>
      <c r="E2" s="70"/>
      <c r="F2" s="70"/>
      <c r="G2" s="70"/>
      <c r="H2" s="70"/>
      <c r="I2" s="70"/>
      <c r="J2" s="70"/>
      <c r="K2" s="70"/>
      <c r="L2" s="70"/>
      <c r="M2" s="70"/>
      <c r="N2" s="72"/>
      <c r="O2" s="72"/>
      <c r="P2" s="70"/>
    </row>
    <row r="3" spans="1:16">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row>
    <row r="4" spans="1:16">
      <c r="A4" s="77">
        <v>1</v>
      </c>
      <c r="B4" s="78" t="s">
        <v>26</v>
      </c>
      <c r="C4" s="79" t="s">
        <v>410</v>
      </c>
      <c r="D4" s="78" t="s">
        <v>22</v>
      </c>
      <c r="E4" s="79" t="s">
        <v>391</v>
      </c>
      <c r="F4" s="78" t="s">
        <v>103</v>
      </c>
      <c r="G4" s="79" t="s">
        <v>395</v>
      </c>
      <c r="H4" s="80" t="s">
        <v>50</v>
      </c>
      <c r="I4" s="79" t="s">
        <v>387</v>
      </c>
      <c r="J4" s="78" t="s">
        <v>222</v>
      </c>
      <c r="K4" s="79" t="s">
        <v>393</v>
      </c>
      <c r="L4" s="81" t="s">
        <v>152</v>
      </c>
      <c r="M4" s="70"/>
      <c r="N4" s="80" t="s">
        <v>21</v>
      </c>
      <c r="O4" s="79" t="s">
        <v>339</v>
      </c>
      <c r="P4" s="70"/>
    </row>
    <row r="5" spans="1:16">
      <c r="A5" s="77">
        <v>2</v>
      </c>
      <c r="B5" s="78" t="s">
        <v>23</v>
      </c>
      <c r="C5" s="79" t="s">
        <v>386</v>
      </c>
      <c r="D5" s="78" t="s">
        <v>27</v>
      </c>
      <c r="E5" s="79" t="s">
        <v>405</v>
      </c>
      <c r="F5" s="78" t="s">
        <v>96</v>
      </c>
      <c r="G5" s="79" t="s">
        <v>405</v>
      </c>
      <c r="H5" s="80" t="s">
        <v>48</v>
      </c>
      <c r="I5" s="79" t="s">
        <v>388</v>
      </c>
      <c r="J5" s="80" t="s">
        <v>245</v>
      </c>
      <c r="K5" s="79" t="s">
        <v>395</v>
      </c>
      <c r="L5" s="81" t="s">
        <v>189</v>
      </c>
      <c r="M5" s="70"/>
      <c r="N5" s="80" t="s">
        <v>43</v>
      </c>
      <c r="O5" s="79" t="s">
        <v>338</v>
      </c>
      <c r="P5" s="70"/>
    </row>
    <row r="6" spans="1:16">
      <c r="A6" s="77">
        <v>3</v>
      </c>
      <c r="B6" s="78" t="s">
        <v>24</v>
      </c>
      <c r="C6" s="79" t="s">
        <v>395</v>
      </c>
      <c r="D6" s="78" t="s">
        <v>33</v>
      </c>
      <c r="E6" s="79" t="s">
        <v>395</v>
      </c>
      <c r="F6" s="78" t="s">
        <v>74</v>
      </c>
      <c r="G6" s="79" t="s">
        <v>413</v>
      </c>
      <c r="H6" s="80" t="s">
        <v>72</v>
      </c>
      <c r="I6" s="79" t="s">
        <v>410</v>
      </c>
      <c r="J6" s="78" t="s">
        <v>233</v>
      </c>
      <c r="K6" s="79" t="s">
        <v>401</v>
      </c>
      <c r="L6" s="81" t="s">
        <v>221</v>
      </c>
      <c r="M6" s="70"/>
      <c r="N6" s="80" t="s">
        <v>64</v>
      </c>
      <c r="O6" s="79" t="s">
        <v>339</v>
      </c>
      <c r="P6" s="70"/>
    </row>
    <row r="7" spans="1:16">
      <c r="A7" s="77">
        <v>4</v>
      </c>
      <c r="B7" s="78" t="s">
        <v>32</v>
      </c>
      <c r="C7" s="79" t="s">
        <v>413</v>
      </c>
      <c r="D7" s="78" t="s">
        <v>25</v>
      </c>
      <c r="E7" s="79" t="s">
        <v>393</v>
      </c>
      <c r="F7" s="78" t="s">
        <v>99</v>
      </c>
      <c r="G7" s="79" t="s">
        <v>387</v>
      </c>
      <c r="H7" s="80" t="s">
        <v>68</v>
      </c>
      <c r="I7" s="79" t="s">
        <v>416</v>
      </c>
      <c r="J7" s="80" t="s">
        <v>271</v>
      </c>
      <c r="K7" s="79" t="s">
        <v>414</v>
      </c>
      <c r="L7" s="81" t="s">
        <v>192</v>
      </c>
      <c r="M7" s="70"/>
      <c r="N7" s="80" t="s">
        <v>85</v>
      </c>
      <c r="O7" s="79" t="s">
        <v>338</v>
      </c>
      <c r="P7" s="70"/>
    </row>
    <row r="8" spans="1:16">
      <c r="A8" s="77">
        <v>5</v>
      </c>
      <c r="B8" s="78" t="s">
        <v>37</v>
      </c>
      <c r="C8" s="79" t="s">
        <v>387</v>
      </c>
      <c r="D8" s="78" t="s">
        <v>29</v>
      </c>
      <c r="E8" s="79" t="s">
        <v>402</v>
      </c>
      <c r="F8" s="78" t="s">
        <v>62</v>
      </c>
      <c r="G8" s="79" t="s">
        <v>403</v>
      </c>
      <c r="H8" s="78" t="s">
        <v>112</v>
      </c>
      <c r="I8" s="79" t="s">
        <v>400</v>
      </c>
      <c r="J8" s="78" t="s">
        <v>1104</v>
      </c>
      <c r="K8" s="79" t="s">
        <v>394</v>
      </c>
      <c r="L8" s="81" t="s">
        <v>201</v>
      </c>
      <c r="M8" s="70"/>
      <c r="N8" s="80" t="s">
        <v>106</v>
      </c>
      <c r="O8" s="79" t="s">
        <v>337</v>
      </c>
      <c r="P8" s="70"/>
    </row>
    <row r="9" spans="1:16">
      <c r="A9" s="77">
        <v>6</v>
      </c>
      <c r="B9" s="78" t="s">
        <v>34</v>
      </c>
      <c r="C9" s="79" t="s">
        <v>403</v>
      </c>
      <c r="D9" s="78" t="s">
        <v>59</v>
      </c>
      <c r="E9" s="79" t="s">
        <v>410</v>
      </c>
      <c r="F9" s="80" t="s">
        <v>71</v>
      </c>
      <c r="G9" s="79" t="s">
        <v>385</v>
      </c>
      <c r="H9" s="80" t="s">
        <v>84</v>
      </c>
      <c r="I9" s="79" t="s">
        <v>391</v>
      </c>
      <c r="J9" s="80" t="s">
        <v>261</v>
      </c>
      <c r="K9" s="79" t="s">
        <v>397</v>
      </c>
      <c r="L9" s="81" t="s">
        <v>250</v>
      </c>
      <c r="M9" s="70"/>
      <c r="N9" s="80" t="s">
        <v>127</v>
      </c>
      <c r="O9" s="79" t="s">
        <v>340</v>
      </c>
      <c r="P9" s="70"/>
    </row>
    <row r="10" spans="1:16">
      <c r="A10" s="77">
        <v>7</v>
      </c>
      <c r="B10" s="78" t="s">
        <v>41</v>
      </c>
      <c r="C10" s="79" t="s">
        <v>391</v>
      </c>
      <c r="D10" s="78" t="s">
        <v>36</v>
      </c>
      <c r="E10" s="79" t="s">
        <v>404</v>
      </c>
      <c r="F10" s="78" t="s">
        <v>147</v>
      </c>
      <c r="G10" s="79" t="s">
        <v>394</v>
      </c>
      <c r="H10" s="78" t="s">
        <v>108</v>
      </c>
      <c r="I10" s="79" t="s">
        <v>393</v>
      </c>
      <c r="J10" s="78" t="s">
        <v>309</v>
      </c>
      <c r="K10" s="79" t="s">
        <v>416</v>
      </c>
      <c r="L10" s="81" t="s">
        <v>177</v>
      </c>
      <c r="M10" s="70"/>
      <c r="N10" s="80" t="s">
        <v>148</v>
      </c>
      <c r="O10" s="79" t="s">
        <v>338</v>
      </c>
      <c r="P10" s="70"/>
    </row>
    <row r="11" spans="1:16">
      <c r="A11" s="77">
        <v>8</v>
      </c>
      <c r="B11" s="78" t="s">
        <v>28</v>
      </c>
      <c r="C11" s="79" t="s">
        <v>404</v>
      </c>
      <c r="D11" s="78" t="s">
        <v>31</v>
      </c>
      <c r="E11" s="79" t="s">
        <v>397</v>
      </c>
      <c r="F11" s="78" t="s">
        <v>86</v>
      </c>
      <c r="G11" s="79" t="s">
        <v>392</v>
      </c>
      <c r="H11" s="78" t="s">
        <v>117</v>
      </c>
      <c r="I11" s="79" t="s">
        <v>414</v>
      </c>
      <c r="J11" s="78" t="s">
        <v>314</v>
      </c>
      <c r="K11" s="79" t="s">
        <v>400</v>
      </c>
      <c r="L11" s="81" t="s">
        <v>216</v>
      </c>
      <c r="M11" s="70"/>
      <c r="N11" s="80" t="s">
        <v>169</v>
      </c>
      <c r="O11" s="79" t="s">
        <v>339</v>
      </c>
      <c r="P11" s="70"/>
    </row>
    <row r="12" spans="1:16">
      <c r="A12" s="77">
        <v>9</v>
      </c>
      <c r="B12" s="78" t="s">
        <v>39</v>
      </c>
      <c r="C12" s="79" t="s">
        <v>396</v>
      </c>
      <c r="D12" s="78" t="s">
        <v>30</v>
      </c>
      <c r="E12" s="79" t="s">
        <v>408</v>
      </c>
      <c r="F12" s="78" t="s">
        <v>135</v>
      </c>
      <c r="G12" s="79" t="s">
        <v>410</v>
      </c>
      <c r="H12" s="78" t="s">
        <v>119</v>
      </c>
      <c r="I12" s="79" t="s">
        <v>394</v>
      </c>
      <c r="J12" s="80"/>
      <c r="K12" s="79"/>
      <c r="L12" s="81" t="s">
        <v>248</v>
      </c>
      <c r="M12" s="70"/>
      <c r="N12" s="80" t="s">
        <v>190</v>
      </c>
      <c r="O12" s="79" t="s">
        <v>338</v>
      </c>
      <c r="P12" s="70"/>
    </row>
    <row r="13" spans="1:16">
      <c r="A13" s="77">
        <v>10</v>
      </c>
      <c r="B13" s="78" t="s">
        <v>60</v>
      </c>
      <c r="C13" s="79" t="s">
        <v>398</v>
      </c>
      <c r="D13" s="78" t="s">
        <v>63</v>
      </c>
      <c r="E13" s="79" t="s">
        <v>1276</v>
      </c>
      <c r="F13" s="78" t="s">
        <v>136</v>
      </c>
      <c r="G13" s="79" t="s">
        <v>388</v>
      </c>
      <c r="H13" s="78" t="s">
        <v>146</v>
      </c>
      <c r="I13" s="79" t="s">
        <v>385</v>
      </c>
      <c r="J13" s="80"/>
      <c r="K13" s="79"/>
      <c r="L13" s="79" t="s">
        <v>254</v>
      </c>
      <c r="M13" s="70"/>
      <c r="N13" s="80" t="s">
        <v>211</v>
      </c>
      <c r="O13" s="79" t="s">
        <v>337</v>
      </c>
      <c r="P13" s="70"/>
    </row>
    <row r="14" spans="1:16">
      <c r="A14" s="77">
        <v>11</v>
      </c>
      <c r="B14" s="78" t="s">
        <v>58</v>
      </c>
      <c r="C14" s="79" t="s">
        <v>414</v>
      </c>
      <c r="D14" s="80" t="s">
        <v>45</v>
      </c>
      <c r="E14" s="79" t="s">
        <v>414</v>
      </c>
      <c r="F14" s="78" t="s">
        <v>89</v>
      </c>
      <c r="G14" s="79" t="s">
        <v>396</v>
      </c>
      <c r="H14" s="80" t="s">
        <v>128</v>
      </c>
      <c r="I14" s="79" t="s">
        <v>413</v>
      </c>
      <c r="J14" s="80"/>
      <c r="K14" s="79"/>
      <c r="L14" s="79"/>
      <c r="M14" s="70"/>
      <c r="N14" s="80" t="s">
        <v>232</v>
      </c>
      <c r="O14" s="79" t="s">
        <v>339</v>
      </c>
      <c r="P14" s="70"/>
    </row>
    <row r="15" spans="1:16">
      <c r="A15" s="77">
        <v>12</v>
      </c>
      <c r="B15" s="83" t="s">
        <v>56</v>
      </c>
      <c r="C15" s="84" t="s">
        <v>407</v>
      </c>
      <c r="D15" s="78" t="s">
        <v>54</v>
      </c>
      <c r="E15" s="79" t="s">
        <v>412</v>
      </c>
      <c r="F15" s="78" t="s">
        <v>133</v>
      </c>
      <c r="G15" s="79" t="s">
        <v>406</v>
      </c>
      <c r="H15" s="80" t="s">
        <v>130</v>
      </c>
      <c r="I15" s="79" t="s">
        <v>401</v>
      </c>
      <c r="J15" s="80"/>
      <c r="K15" s="79"/>
      <c r="L15" s="79"/>
      <c r="M15" s="70"/>
      <c r="N15" s="80" t="s">
        <v>253</v>
      </c>
      <c r="O15" s="79" t="s">
        <v>340</v>
      </c>
      <c r="P15" s="105" t="s">
        <v>338</v>
      </c>
    </row>
    <row r="16" spans="1:16">
      <c r="A16" s="77">
        <v>13</v>
      </c>
      <c r="B16" s="78" t="s">
        <v>1277</v>
      </c>
      <c r="C16" s="79" t="s">
        <v>402</v>
      </c>
      <c r="D16" s="78" t="s">
        <v>40</v>
      </c>
      <c r="E16" s="79" t="s">
        <v>386</v>
      </c>
      <c r="F16" s="78" t="s">
        <v>140</v>
      </c>
      <c r="G16" s="79" t="s">
        <v>393</v>
      </c>
      <c r="H16" s="78" t="s">
        <v>179</v>
      </c>
      <c r="I16" s="79" t="s">
        <v>406</v>
      </c>
      <c r="J16" s="80"/>
      <c r="K16" s="79"/>
      <c r="L16" s="79"/>
      <c r="M16" s="70"/>
      <c r="N16" s="80" t="s">
        <v>274</v>
      </c>
      <c r="O16" s="79" t="s">
        <v>341</v>
      </c>
      <c r="P16" s="105" t="s">
        <v>340</v>
      </c>
    </row>
    <row r="17" spans="1:16">
      <c r="A17" s="77">
        <v>14</v>
      </c>
      <c r="B17" s="78" t="s">
        <v>51</v>
      </c>
      <c r="C17" s="79" t="s">
        <v>388</v>
      </c>
      <c r="D17" s="78" t="s">
        <v>38</v>
      </c>
      <c r="E17" s="79" t="s">
        <v>401</v>
      </c>
      <c r="F17" s="78" t="s">
        <v>115</v>
      </c>
      <c r="G17" s="79" t="s">
        <v>398</v>
      </c>
      <c r="H17" s="78" t="s">
        <v>142</v>
      </c>
      <c r="I17" s="79" t="s">
        <v>395</v>
      </c>
      <c r="J17" s="80"/>
      <c r="K17" s="79"/>
      <c r="L17" s="79"/>
      <c r="M17" s="70"/>
      <c r="N17" s="80" t="s">
        <v>295</v>
      </c>
      <c r="O17" s="79" t="s">
        <v>339</v>
      </c>
      <c r="P17" s="105" t="s">
        <v>341</v>
      </c>
    </row>
    <row r="18" spans="1:16">
      <c r="A18" s="77">
        <v>15</v>
      </c>
      <c r="B18" s="78" t="s">
        <v>55</v>
      </c>
      <c r="C18" s="79" t="s">
        <v>412</v>
      </c>
      <c r="D18" s="78" t="s">
        <v>53</v>
      </c>
      <c r="E18" s="79" t="s">
        <v>391</v>
      </c>
      <c r="F18" s="80" t="s">
        <v>129</v>
      </c>
      <c r="G18" s="79" t="s">
        <v>390</v>
      </c>
      <c r="H18" s="78" t="s">
        <v>164</v>
      </c>
      <c r="I18" s="79" t="s">
        <v>409</v>
      </c>
      <c r="J18" s="80"/>
      <c r="K18" s="79"/>
      <c r="L18" s="79"/>
      <c r="M18" s="70"/>
      <c r="N18" s="85" t="s">
        <v>316</v>
      </c>
      <c r="O18" s="86" t="s">
        <v>342</v>
      </c>
      <c r="P18" s="105" t="s">
        <v>342</v>
      </c>
    </row>
    <row r="19" spans="1:16">
      <c r="A19" s="77">
        <v>16</v>
      </c>
      <c r="B19" s="78" t="s">
        <v>52</v>
      </c>
      <c r="C19" s="79" t="s">
        <v>401</v>
      </c>
      <c r="D19" s="78" t="s">
        <v>35</v>
      </c>
      <c r="E19" s="79" t="s">
        <v>409</v>
      </c>
      <c r="F19" s="78" t="s">
        <v>165</v>
      </c>
      <c r="G19" s="79" t="s">
        <v>386</v>
      </c>
      <c r="H19" s="78" t="s">
        <v>186</v>
      </c>
      <c r="I19" s="79" t="s">
        <v>390</v>
      </c>
      <c r="J19" s="80"/>
      <c r="K19" s="79"/>
      <c r="L19" s="79"/>
      <c r="M19" s="70"/>
      <c r="N19" s="70"/>
      <c r="O19" s="70"/>
      <c r="P19" s="70"/>
    </row>
    <row r="20" spans="1:16">
      <c r="A20" s="77">
        <v>17</v>
      </c>
      <c r="B20" s="78" t="s">
        <v>49</v>
      </c>
      <c r="C20" s="79" t="s">
        <v>406</v>
      </c>
      <c r="D20" s="78" t="s">
        <v>70</v>
      </c>
      <c r="E20" s="79" t="s">
        <v>390</v>
      </c>
      <c r="F20" s="80" t="s">
        <v>246</v>
      </c>
      <c r="G20" s="79" t="s">
        <v>414</v>
      </c>
      <c r="H20" s="80" t="s">
        <v>145</v>
      </c>
      <c r="I20" s="79" t="s">
        <v>396</v>
      </c>
      <c r="J20" s="80"/>
      <c r="K20" s="79"/>
      <c r="L20" s="79"/>
      <c r="M20" s="70"/>
      <c r="N20" s="70"/>
      <c r="O20" s="70"/>
      <c r="P20" s="70"/>
    </row>
    <row r="21" spans="1:16">
      <c r="A21" s="77">
        <v>18</v>
      </c>
      <c r="B21" s="78" t="s">
        <v>57</v>
      </c>
      <c r="C21" s="79" t="s">
        <v>409</v>
      </c>
      <c r="D21" s="78" t="s">
        <v>65</v>
      </c>
      <c r="E21" s="79" t="s">
        <v>402</v>
      </c>
      <c r="F21" s="78" t="s">
        <v>252</v>
      </c>
      <c r="G21" s="79" t="s">
        <v>397</v>
      </c>
      <c r="H21" s="78" t="s">
        <v>160</v>
      </c>
      <c r="I21" s="79" t="s">
        <v>397</v>
      </c>
      <c r="J21" s="80"/>
      <c r="K21" s="79"/>
      <c r="L21" s="79"/>
      <c r="M21" s="70"/>
      <c r="N21" s="70"/>
      <c r="O21" s="70"/>
      <c r="P21" s="70"/>
    </row>
    <row r="22" spans="1:16">
      <c r="A22" s="77">
        <v>19</v>
      </c>
      <c r="B22" s="78" t="s">
        <v>75</v>
      </c>
      <c r="C22" s="79" t="s">
        <v>390</v>
      </c>
      <c r="D22" s="78" t="s">
        <v>69</v>
      </c>
      <c r="E22" s="79" t="s">
        <v>385</v>
      </c>
      <c r="F22" s="78" t="s">
        <v>206</v>
      </c>
      <c r="G22" s="79" t="s">
        <v>411</v>
      </c>
      <c r="H22" s="78" t="s">
        <v>196</v>
      </c>
      <c r="I22" s="79" t="s">
        <v>405</v>
      </c>
      <c r="J22" s="80"/>
      <c r="K22" s="79"/>
      <c r="L22" s="79"/>
      <c r="M22" s="70"/>
      <c r="N22" s="70"/>
      <c r="O22" s="70"/>
      <c r="P22" s="70"/>
    </row>
    <row r="23" spans="1:16">
      <c r="A23" s="77">
        <v>20</v>
      </c>
      <c r="B23" s="78" t="s">
        <v>1278</v>
      </c>
      <c r="C23" s="79" t="s">
        <v>385</v>
      </c>
      <c r="D23" s="78" t="s">
        <v>77</v>
      </c>
      <c r="E23" s="79" t="s">
        <v>411</v>
      </c>
      <c r="F23" s="78" t="s">
        <v>202</v>
      </c>
      <c r="G23" s="79" t="s">
        <v>391</v>
      </c>
      <c r="H23" s="78" t="s">
        <v>199</v>
      </c>
      <c r="I23" s="79" t="s">
        <v>386</v>
      </c>
      <c r="J23" s="80"/>
      <c r="K23" s="79"/>
      <c r="L23" s="79"/>
      <c r="M23" s="70"/>
      <c r="N23" s="70"/>
      <c r="O23" s="70"/>
      <c r="P23" s="70"/>
    </row>
    <row r="24" spans="1:16">
      <c r="A24" s="77">
        <v>21</v>
      </c>
      <c r="B24" s="78" t="s">
        <v>76</v>
      </c>
      <c r="C24" s="79" t="s">
        <v>415</v>
      </c>
      <c r="D24" s="78" t="s">
        <v>81</v>
      </c>
      <c r="E24" s="79" t="s">
        <v>394</v>
      </c>
      <c r="F24" s="78" t="s">
        <v>224</v>
      </c>
      <c r="G24" s="79" t="s">
        <v>415</v>
      </c>
      <c r="H24" s="78" t="s">
        <v>181</v>
      </c>
      <c r="I24" s="79" t="s">
        <v>403</v>
      </c>
      <c r="J24" s="80"/>
      <c r="K24" s="79"/>
      <c r="L24" s="79"/>
      <c r="M24" s="70"/>
      <c r="N24" s="70"/>
      <c r="O24" s="70"/>
      <c r="P24" s="70"/>
    </row>
    <row r="25" spans="1:16">
      <c r="A25" s="77">
        <v>22</v>
      </c>
      <c r="B25" s="78" t="s">
        <v>1279</v>
      </c>
      <c r="C25" s="79" t="s">
        <v>389</v>
      </c>
      <c r="D25" s="78" t="s">
        <v>102</v>
      </c>
      <c r="E25" s="79" t="s">
        <v>387</v>
      </c>
      <c r="F25" s="78" t="s">
        <v>174</v>
      </c>
      <c r="G25" s="79" t="s">
        <v>1276</v>
      </c>
      <c r="H25" s="78" t="s">
        <v>231</v>
      </c>
      <c r="I25" s="79" t="s">
        <v>402</v>
      </c>
      <c r="J25" s="80"/>
      <c r="K25" s="79"/>
      <c r="L25" s="79"/>
      <c r="M25" s="70"/>
      <c r="N25" s="70"/>
      <c r="O25" s="70"/>
      <c r="P25" s="70"/>
    </row>
    <row r="26" spans="1:16">
      <c r="A26" s="77">
        <v>23</v>
      </c>
      <c r="B26" s="78" t="s">
        <v>80</v>
      </c>
      <c r="C26" s="79" t="s">
        <v>405</v>
      </c>
      <c r="D26" s="78" t="s">
        <v>73</v>
      </c>
      <c r="E26" s="79" t="s">
        <v>415</v>
      </c>
      <c r="F26" s="80" t="s">
        <v>280</v>
      </c>
      <c r="G26" s="79" t="s">
        <v>407</v>
      </c>
      <c r="H26" s="78" t="s">
        <v>184</v>
      </c>
      <c r="I26" s="79" t="s">
        <v>1276</v>
      </c>
      <c r="J26" s="80"/>
      <c r="K26" s="79"/>
      <c r="L26" s="79"/>
      <c r="M26" s="70"/>
      <c r="N26" s="70"/>
      <c r="O26" s="70"/>
      <c r="P26" s="70"/>
    </row>
    <row r="27" spans="1:16">
      <c r="A27" s="77">
        <v>24</v>
      </c>
      <c r="B27" s="78" t="s">
        <v>83</v>
      </c>
      <c r="C27" s="79" t="s">
        <v>400</v>
      </c>
      <c r="D27" s="78" t="s">
        <v>92</v>
      </c>
      <c r="E27" s="79" t="s">
        <v>400</v>
      </c>
      <c r="F27" s="78" t="s">
        <v>193</v>
      </c>
      <c r="G27" s="79" t="s">
        <v>412</v>
      </c>
      <c r="H27" s="78" t="s">
        <v>208</v>
      </c>
      <c r="I27" s="79" t="s">
        <v>412</v>
      </c>
      <c r="J27" s="80"/>
      <c r="K27" s="79"/>
      <c r="L27" s="79"/>
      <c r="M27" s="70"/>
      <c r="N27" s="70"/>
      <c r="O27" s="70"/>
      <c r="P27" s="70"/>
    </row>
    <row r="28" spans="1:16">
      <c r="A28" s="77">
        <v>25</v>
      </c>
      <c r="B28" s="78" t="s">
        <v>1280</v>
      </c>
      <c r="C28" s="79" t="s">
        <v>395</v>
      </c>
      <c r="D28" s="78" t="s">
        <v>98</v>
      </c>
      <c r="E28" s="79" t="s">
        <v>404</v>
      </c>
      <c r="F28" s="78" t="s">
        <v>235</v>
      </c>
      <c r="G28" s="79" t="s">
        <v>409</v>
      </c>
      <c r="H28" s="78" t="s">
        <v>209</v>
      </c>
      <c r="I28" s="79" t="s">
        <v>404</v>
      </c>
      <c r="J28" s="80"/>
      <c r="K28" s="79"/>
      <c r="L28" s="79"/>
      <c r="M28" s="70"/>
      <c r="N28" s="70"/>
      <c r="O28" s="70"/>
      <c r="P28" s="70"/>
    </row>
    <row r="29" spans="1:16">
      <c r="A29" s="77">
        <v>26</v>
      </c>
      <c r="B29" s="78" t="s">
        <v>66</v>
      </c>
      <c r="C29" s="79" t="s">
        <v>394</v>
      </c>
      <c r="D29" s="78" t="s">
        <v>114</v>
      </c>
      <c r="E29" s="79" t="s">
        <v>395</v>
      </c>
      <c r="F29" s="80"/>
      <c r="G29" s="79"/>
      <c r="H29" s="80"/>
      <c r="I29" s="79"/>
      <c r="J29" s="80"/>
      <c r="K29" s="79"/>
      <c r="L29" s="79"/>
      <c r="M29" s="70"/>
      <c r="N29" s="70"/>
      <c r="O29" s="70"/>
      <c r="P29" s="70"/>
    </row>
    <row r="30" spans="1:16">
      <c r="A30" s="77">
        <v>27</v>
      </c>
      <c r="B30" s="78" t="s">
        <v>100</v>
      </c>
      <c r="C30" s="79" t="s">
        <v>408</v>
      </c>
      <c r="D30" s="78" t="s">
        <v>126</v>
      </c>
      <c r="E30" s="79" t="s">
        <v>406</v>
      </c>
      <c r="F30" s="80"/>
      <c r="G30" s="79"/>
      <c r="H30" s="80"/>
      <c r="I30" s="79"/>
      <c r="J30" s="80"/>
      <c r="K30" s="79"/>
      <c r="L30" s="79"/>
      <c r="M30" s="70"/>
      <c r="N30" s="70"/>
      <c r="O30" s="70"/>
      <c r="P30" s="70"/>
    </row>
    <row r="31" spans="1:16">
      <c r="A31" s="77">
        <v>28</v>
      </c>
      <c r="B31" s="78" t="s">
        <v>91</v>
      </c>
      <c r="C31" s="79" t="s">
        <v>1276</v>
      </c>
      <c r="D31" s="78" t="s">
        <v>97</v>
      </c>
      <c r="E31" s="79" t="s">
        <v>407</v>
      </c>
      <c r="F31" s="80"/>
      <c r="G31" s="79"/>
      <c r="H31" s="80"/>
      <c r="I31" s="79"/>
      <c r="J31" s="80"/>
      <c r="K31" s="79"/>
      <c r="L31" s="79"/>
      <c r="M31" s="70"/>
      <c r="N31" s="70"/>
      <c r="O31" s="70"/>
      <c r="P31" s="70"/>
    </row>
    <row r="32" spans="1:16">
      <c r="A32" s="77">
        <v>29</v>
      </c>
      <c r="B32" s="78" t="s">
        <v>110</v>
      </c>
      <c r="C32" s="79" t="s">
        <v>397</v>
      </c>
      <c r="D32" s="78" t="s">
        <v>122</v>
      </c>
      <c r="E32" s="79" t="s">
        <v>400</v>
      </c>
      <c r="F32" s="80"/>
      <c r="G32" s="79"/>
      <c r="H32" s="80"/>
      <c r="I32" s="79"/>
      <c r="J32" s="80"/>
      <c r="K32" s="79"/>
      <c r="L32" s="79"/>
      <c r="M32" s="70"/>
      <c r="N32" s="70"/>
      <c r="O32" s="70"/>
      <c r="P32" s="70"/>
    </row>
    <row r="33" spans="1:21">
      <c r="A33" s="77">
        <v>30</v>
      </c>
      <c r="B33" s="78" t="s">
        <v>94</v>
      </c>
      <c r="C33" s="79" t="s">
        <v>393</v>
      </c>
      <c r="D33" s="78" t="s">
        <v>120</v>
      </c>
      <c r="E33" s="79" t="s">
        <v>414</v>
      </c>
      <c r="F33" s="80"/>
      <c r="G33" s="79"/>
      <c r="H33" s="80"/>
      <c r="I33" s="79"/>
      <c r="J33" s="80"/>
      <c r="K33" s="79"/>
      <c r="L33" s="79"/>
      <c r="M33" s="70"/>
      <c r="N33" s="70"/>
      <c r="O33" s="70"/>
      <c r="P33" s="70"/>
    </row>
    <row r="34" spans="1:21">
      <c r="A34" s="77">
        <v>31</v>
      </c>
      <c r="B34" s="78" t="s">
        <v>107</v>
      </c>
      <c r="C34" s="79" t="s">
        <v>416</v>
      </c>
      <c r="D34" s="78" t="s">
        <v>90</v>
      </c>
      <c r="E34" s="79" t="s">
        <v>393</v>
      </c>
      <c r="F34" s="80"/>
      <c r="G34" s="79"/>
      <c r="H34" s="80"/>
      <c r="I34" s="79"/>
      <c r="J34" s="80"/>
      <c r="K34" s="79"/>
      <c r="L34" s="79"/>
      <c r="M34" s="70"/>
      <c r="N34" s="70"/>
      <c r="O34" s="70"/>
      <c r="P34" s="70"/>
    </row>
    <row r="35" spans="1:21">
      <c r="A35" s="77">
        <v>32</v>
      </c>
      <c r="B35" s="78" t="s">
        <v>78</v>
      </c>
      <c r="C35" s="79" t="s">
        <v>406</v>
      </c>
      <c r="D35" s="80" t="s">
        <v>82</v>
      </c>
      <c r="E35" s="79" t="s">
        <v>392</v>
      </c>
      <c r="F35" s="80"/>
      <c r="G35" s="79"/>
      <c r="H35" s="80"/>
      <c r="I35" s="79"/>
      <c r="J35" s="80"/>
      <c r="K35" s="79"/>
      <c r="L35" s="79"/>
      <c r="M35" s="70"/>
      <c r="N35" s="70"/>
      <c r="O35" s="70"/>
      <c r="P35" s="70"/>
    </row>
    <row r="36" spans="1:21">
      <c r="A36" s="77">
        <v>33</v>
      </c>
      <c r="B36" s="78" t="s">
        <v>111</v>
      </c>
      <c r="C36" s="79" t="s">
        <v>394</v>
      </c>
      <c r="D36" s="78" t="s">
        <v>87</v>
      </c>
      <c r="E36" s="79" t="s">
        <v>390</v>
      </c>
      <c r="F36" s="80"/>
      <c r="G36" s="79"/>
      <c r="H36" s="80"/>
      <c r="I36" s="79"/>
      <c r="J36" s="80"/>
      <c r="K36" s="79"/>
      <c r="L36" s="79"/>
      <c r="M36" s="70"/>
      <c r="N36" s="70"/>
      <c r="O36" s="70"/>
      <c r="P36" s="70"/>
    </row>
    <row r="37" spans="1:21">
      <c r="A37" s="77">
        <v>34</v>
      </c>
      <c r="B37" s="78" t="s">
        <v>116</v>
      </c>
      <c r="C37" s="79" t="s">
        <v>405</v>
      </c>
      <c r="D37" s="78" t="s">
        <v>118</v>
      </c>
      <c r="E37" s="79" t="s">
        <v>416</v>
      </c>
      <c r="F37" s="80"/>
      <c r="G37" s="79"/>
      <c r="H37" s="80"/>
      <c r="I37" s="79"/>
      <c r="J37" s="80"/>
      <c r="K37" s="79"/>
      <c r="L37" s="79"/>
      <c r="M37" s="70"/>
      <c r="N37" s="70"/>
      <c r="O37" s="70"/>
      <c r="P37" s="70"/>
    </row>
    <row r="38" spans="1:21">
      <c r="A38" s="77">
        <v>35</v>
      </c>
      <c r="B38" s="78" t="s">
        <v>125</v>
      </c>
      <c r="C38" s="79" t="s">
        <v>416</v>
      </c>
      <c r="D38" s="78" t="s">
        <v>155</v>
      </c>
      <c r="E38" s="79" t="s">
        <v>412</v>
      </c>
      <c r="F38" s="80"/>
      <c r="G38" s="79"/>
      <c r="H38" s="80"/>
      <c r="I38" s="79"/>
      <c r="J38" s="80"/>
      <c r="K38" s="79"/>
      <c r="L38" s="79"/>
      <c r="M38" s="70"/>
      <c r="N38" s="70"/>
      <c r="O38" s="70"/>
      <c r="P38" s="70"/>
    </row>
    <row r="39" spans="1:21">
      <c r="A39" s="87">
        <v>36</v>
      </c>
      <c r="B39" s="85"/>
      <c r="C39" s="86"/>
      <c r="D39" s="85"/>
      <c r="E39" s="86"/>
      <c r="F39" s="85"/>
      <c r="G39" s="86"/>
      <c r="H39" s="85"/>
      <c r="I39" s="86"/>
      <c r="J39" s="85"/>
      <c r="K39" s="86"/>
      <c r="L39" s="86"/>
      <c r="M39" s="70"/>
      <c r="N39" s="70"/>
      <c r="O39" s="70"/>
      <c r="P39" s="70"/>
    </row>
    <row r="40" spans="1:21">
      <c r="A40" s="70"/>
      <c r="B40" s="70"/>
      <c r="C40" s="70"/>
      <c r="D40" s="70"/>
      <c r="E40" s="70"/>
      <c r="F40" s="70"/>
      <c r="G40" s="70"/>
      <c r="H40" s="70"/>
      <c r="I40" s="70"/>
      <c r="J40" s="70"/>
      <c r="K40" s="70"/>
      <c r="L40" s="70"/>
      <c r="M40" s="70"/>
      <c r="N40" s="70"/>
      <c r="O40" s="70"/>
      <c r="P40" s="70"/>
    </row>
    <row r="45" spans="1:21">
      <c r="A45" s="88" t="s">
        <v>1112</v>
      </c>
      <c r="B45" s="89"/>
    </row>
    <row r="46" spans="1:21">
      <c r="A46" s="90">
        <v>1</v>
      </c>
      <c r="B46"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46" s="66" t="str">
        <f ca="1">IFERROR(__xludf.DUMMYFUNCTION("""COMPUTED_VALUE"""),"Bijan Robinson")</f>
        <v>Bijan Robinson</v>
      </c>
      <c r="D46" s="66" t="str">
        <f ca="1">IFERROR(__xludf.DUMMYFUNCTION("""COMPUTED_VALUE"""),"Jahmyr Gibbs")</f>
        <v>Jahmyr Gibbs</v>
      </c>
      <c r="E46" s="66" t="str">
        <f ca="1">IFERROR(__xludf.DUMMYFUNCTION("""COMPUTED_VALUE"""),"CeeDee Lamb")</f>
        <v>CeeDee Lamb</v>
      </c>
      <c r="F46" s="66" t="str">
        <f ca="1">IFERROR(__xludf.DUMMYFUNCTION("""COMPUTED_VALUE"""),"Saquon Barkley")</f>
        <v>Saquon Barkley</v>
      </c>
      <c r="G46" s="66" t="str">
        <f ca="1">IFERROR(__xludf.DUMMYFUNCTION("""COMPUTED_VALUE"""),"Justin Jefferson")</f>
        <v>Justin Jefferson</v>
      </c>
      <c r="H46" s="66" t="str">
        <f ca="1">IFERROR(__xludf.DUMMYFUNCTION("""COMPUTED_VALUE"""),"De'Von Achane")</f>
        <v>De'Von Achane</v>
      </c>
      <c r="I46" s="66" t="str">
        <f ca="1">IFERROR(__xludf.DUMMYFUNCTION("""COMPUTED_VALUE"""),"Puka Nacua")</f>
        <v>Puka Nacua</v>
      </c>
      <c r="J46" s="66" t="str">
        <f ca="1">IFERROR(__xludf.DUMMYFUNCTION("""COMPUTED_VALUE"""),"Malik Nabers")</f>
        <v>Malik Nabers</v>
      </c>
      <c r="K46" s="66" t="str">
        <f ca="1">IFERROR(__xludf.DUMMYFUNCTION("""COMPUTED_VALUE"""),"Nico Collins")</f>
        <v>Nico Collins</v>
      </c>
      <c r="L46" s="66" t="str">
        <f ca="1">IFERROR(__xludf.DUMMYFUNCTION("""COMPUTED_VALUE"""),"Christian McCaffrey")</f>
        <v>Christian McCaffrey</v>
      </c>
      <c r="M46" s="66" t="str">
        <f ca="1">IFERROR(__xludf.DUMMYFUNCTION("""COMPUTED_VALUE"""),"Amon-Ra St. Brown")</f>
        <v>Amon-Ra St. Brown</v>
      </c>
      <c r="N46" s="66" t="str">
        <f ca="1">IFERROR(__xludf.DUMMYFUNCTION("""COMPUTED_VALUE"""),"Ashton Jeanty")</f>
        <v>Ashton Jeanty</v>
      </c>
      <c r="O46" s="66" t="str">
        <f ca="1">IFERROR(__xludf.DUMMYFUNCTION("""COMPUTED_VALUE"""),"Garrett Wilson")</f>
        <v>Garrett Wilson</v>
      </c>
      <c r="P46" s="66" t="str">
        <f ca="1">IFERROR(__xludf.DUMMYFUNCTION("""COMPUTED_VALUE"""),"Tyreek Hill")</f>
        <v>Tyreek Hill</v>
      </c>
      <c r="Q46" s="66" t="str">
        <f ca="1">IFERROR(__xludf.DUMMYFUNCTION("""COMPUTED_VALUE"""),"Derrick Henry")</f>
        <v>Derrick Henry</v>
      </c>
      <c r="R46" s="66" t="str">
        <f ca="1">IFERROR(__xludf.DUMMYFUNCTION("""COMPUTED_VALUE"""),"Ladd McConkey")</f>
        <v>Ladd McConkey</v>
      </c>
      <c r="S46" s="66" t="str">
        <f ca="1">IFERROR(__xludf.DUMMYFUNCTION("""COMPUTED_VALUE"""),"Josh Jacobs")</f>
        <v>Josh Jacobs</v>
      </c>
      <c r="T46" s="66" t="str">
        <f ca="1">IFERROR(__xludf.DUMMYFUNCTION("""COMPUTED_VALUE"""),"Drake London")</f>
        <v>Drake London</v>
      </c>
      <c r="U46" s="66" t="str">
        <f ca="1">IFERROR(__xludf.DUMMYFUNCTION("""COMPUTED_VALUE"""),"Chase Brown")</f>
        <v>Chase Brown</v>
      </c>
    </row>
    <row r="47" spans="1:21">
      <c r="A47" s="90">
        <v>2</v>
      </c>
      <c r="B47"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47" s="66" t="str">
        <f ca="1">IFERROR(__xludf.DUMMYFUNCTION("""COMPUTED_VALUE"""),"Mike Evans")</f>
        <v>Mike Evans</v>
      </c>
      <c r="D47" s="66" t="str">
        <f ca="1">IFERROR(__xludf.DUMMYFUNCTION("""COMPUTED_VALUE"""),"James Conner")</f>
        <v>James Conner</v>
      </c>
      <c r="E47" s="66" t="str">
        <f ca="1">IFERROR(__xludf.DUMMYFUNCTION("""COMPUTED_VALUE"""),"Chuba Hubbard")</f>
        <v>Chuba Hubbard</v>
      </c>
      <c r="F47" s="66" t="str">
        <f ca="1">IFERROR(__xludf.DUMMYFUNCTION("""COMPUTED_VALUE"""),"Josh Allen")</f>
        <v>Josh Allen</v>
      </c>
      <c r="G47" s="66" t="str">
        <f ca="1">IFERROR(__xludf.DUMMYFUNCTION("""COMPUTED_VALUE"""),"TreVeyon Henderson")</f>
        <v>TreVeyon Henderson</v>
      </c>
      <c r="H47" s="66" t="str">
        <f ca="1">IFERROR(__xludf.DUMMYFUNCTION("""COMPUTED_VALUE"""),"Lamar Jackson")</f>
        <v>Lamar Jackson</v>
      </c>
      <c r="I47" s="66" t="str">
        <f ca="1">IFERROR(__xludf.DUMMYFUNCTION("""COMPUTED_VALUE"""),"James Cook")</f>
        <v>James Cook</v>
      </c>
      <c r="J47" s="66" t="str">
        <f ca="1">IFERROR(__xludf.DUMMYFUNCTION("""COMPUTED_VALUE"""),"Omarion Hampton")</f>
        <v>Omarion Hampton</v>
      </c>
      <c r="K47" s="66" t="str">
        <f ca="1">IFERROR(__xludf.DUMMYFUNCTION("""COMPUTED_VALUE"""),"Tee Higgins")</f>
        <v>Tee Higgins</v>
      </c>
      <c r="L47" s="66" t="str">
        <f ca="1">IFERROR(__xludf.DUMMYFUNCTION("""COMPUTED_VALUE"""),"Jaxon Smith-Njigba")</f>
        <v>Jaxon Smith-Njigba</v>
      </c>
      <c r="M47" s="66" t="str">
        <f ca="1">IFERROR(__xludf.DUMMYFUNCTION("""COMPUTED_VALUE"""),"Kenneth Walker III")</f>
        <v>Kenneth Walker III</v>
      </c>
      <c r="N47" s="66" t="str">
        <f ca="1">IFERROR(__xludf.DUMMYFUNCTION("""COMPUTED_VALUE"""),"Alvin Kamara")</f>
        <v>Alvin Kamara</v>
      </c>
      <c r="O47" s="66" t="str">
        <f ca="1">IFERROR(__xludf.DUMMYFUNCTION("""COMPUTED_VALUE"""),"Breece Hall")</f>
        <v>Breece Hall</v>
      </c>
      <c r="P47" s="66" t="str">
        <f ca="1">IFERROR(__xludf.DUMMYFUNCTION("""COMPUTED_VALUE"""),"Bucky Irving")</f>
        <v>Bucky Irving</v>
      </c>
      <c r="Q47" s="66" t="str">
        <f ca="1">IFERROR(__xludf.DUMMYFUNCTION("""COMPUTED_VALUE"""),"A.J. Brown")</f>
        <v>A.J. Brown</v>
      </c>
      <c r="R47" s="66" t="str">
        <f ca="1">IFERROR(__xludf.DUMMYFUNCTION("""COMPUTED_VALUE"""),"Jonathan Taylor")</f>
        <v>Jonathan Taylor</v>
      </c>
      <c r="S47" s="66" t="str">
        <f ca="1">IFERROR(__xludf.DUMMYFUNCTION("""COMPUTED_VALUE"""),"Kyren Williams")</f>
        <v>Kyren Williams</v>
      </c>
      <c r="T47" s="66" t="str">
        <f ca="1">IFERROR(__xludf.DUMMYFUNCTION("""COMPUTED_VALUE"""),"Brock Bowers")</f>
        <v>Brock Bowers</v>
      </c>
      <c r="U47" s="66" t="str">
        <f ca="1">IFERROR(__xludf.DUMMYFUNCTION("""COMPUTED_VALUE"""),"Brian Thomas Jr.")</f>
        <v>Brian Thomas Jr.</v>
      </c>
    </row>
    <row r="48" spans="1:21">
      <c r="A48" s="90">
        <v>3</v>
      </c>
      <c r="B48"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48" s="66" t="str">
        <f ca="1">IFERROR(__xludf.DUMMYFUNCTION("""COMPUTED_VALUE"""),"RJ Harvey")</f>
        <v>RJ Harvey</v>
      </c>
      <c r="D48" s="66" t="str">
        <f ca="1">IFERROR(__xludf.DUMMYFUNCTION("""COMPUTED_VALUE"""),"Terry McLaurin")</f>
        <v>Terry McLaurin</v>
      </c>
      <c r="E48" s="66" t="str">
        <f ca="1">IFERROR(__xludf.DUMMYFUNCTION("""COMPUTED_VALUE"""),"Jayden Daniels")</f>
        <v>Jayden Daniels</v>
      </c>
      <c r="F48" s="66" t="str">
        <f ca="1">IFERROR(__xludf.DUMMYFUNCTION("""COMPUTED_VALUE"""),"Marvin Harrison Jr.")</f>
        <v>Marvin Harrison Jr.</v>
      </c>
      <c r="G48" s="66" t="str">
        <f ca="1">IFERROR(__xludf.DUMMYFUNCTION("""COMPUTED_VALUE"""),"DJ Moore")</f>
        <v>DJ Moore</v>
      </c>
      <c r="H48" s="66" t="str">
        <f ca="1">IFERROR(__xludf.DUMMYFUNCTION("""COMPUTED_VALUE"""),"Trey McBride")</f>
        <v>Trey McBride</v>
      </c>
      <c r="I48" s="66" t="str">
        <f ca="1">IFERROR(__xludf.DUMMYFUNCTION("""COMPUTED_VALUE"""),"Jalen Hurts")</f>
        <v>Jalen Hurts</v>
      </c>
      <c r="J48" s="66" t="str">
        <f ca="1">IFERROR(__xludf.DUMMYFUNCTION("""COMPUTED_VALUE"""),"Calvin Ridley")</f>
        <v>Calvin Ridley</v>
      </c>
      <c r="K48" s="66" t="str">
        <f ca="1">IFERROR(__xludf.DUMMYFUNCTION("""COMPUTED_VALUE"""),"George Kittle")</f>
        <v>George Kittle</v>
      </c>
      <c r="L48" s="66" t="str">
        <f ca="1">IFERROR(__xludf.DUMMYFUNCTION("""COMPUTED_VALUE"""),"D'Andre Swift")</f>
        <v>D'Andre Swift</v>
      </c>
      <c r="M48" s="66" t="str">
        <f ca="1">IFERROR(__xludf.DUMMYFUNCTION("""COMPUTED_VALUE"""),"Tony Pollard")</f>
        <v>Tony Pollard</v>
      </c>
      <c r="N48" s="66" t="str">
        <f ca="1">IFERROR(__xludf.DUMMYFUNCTION("""COMPUTED_VALUE"""),"DK Metcalf")</f>
        <v>DK Metcalf</v>
      </c>
      <c r="O48" s="66" t="str">
        <f ca="1">IFERROR(__xludf.DUMMYFUNCTION("""COMPUTED_VALUE"""),"Rhamondre Stevenson")</f>
        <v>Rhamondre Stevenson</v>
      </c>
      <c r="P48" s="66" t="str">
        <f ca="1">IFERROR(__xludf.DUMMYFUNCTION("""COMPUTED_VALUE"""),"DeVonta Smith")</f>
        <v>DeVonta Smith</v>
      </c>
      <c r="Q48" s="66" t="str">
        <f ca="1">IFERROR(__xludf.DUMMYFUNCTION("""COMPUTED_VALUE"""),"Aaron Jones Sr.")</f>
        <v>Aaron Jones Sr.</v>
      </c>
      <c r="R48" s="66" t="str">
        <f ca="1">IFERROR(__xludf.DUMMYFUNCTION("""COMPUTED_VALUE"""),"Courtland Sutton")</f>
        <v>Courtland Sutton</v>
      </c>
      <c r="S48" s="66" t="str">
        <f ca="1">IFERROR(__xludf.DUMMYFUNCTION("""COMPUTED_VALUE"""),"Jerry Jeudy")</f>
        <v>Jerry Jeudy</v>
      </c>
      <c r="T48" s="66" t="str">
        <f ca="1">IFERROR(__xludf.DUMMYFUNCTION("""COMPUTED_VALUE"""),"Isiah Pacheco")</f>
        <v>Isiah Pacheco</v>
      </c>
      <c r="U48" s="66" t="str">
        <f ca="1">IFERROR(__xludf.DUMMYFUNCTION("""COMPUTED_VALUE"""),"Joe Burrow")</f>
        <v>Joe Burrow</v>
      </c>
    </row>
    <row r="49" spans="1:21">
      <c r="A49" s="90">
        <v>4</v>
      </c>
      <c r="B49"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49" s="66" t="str">
        <f ca="1">IFERROR(__xludf.DUMMYFUNCTION("""COMPUTED_VALUE"""),"Rome Odunze")</f>
        <v>Rome Odunze</v>
      </c>
      <c r="D49" s="66" t="str">
        <f ca="1">IFERROR(__xludf.DUMMYFUNCTION("""COMPUTED_VALUE"""),"Jakobi Meyers")</f>
        <v>Jakobi Meyers</v>
      </c>
      <c r="E49" s="66" t="str">
        <f ca="1">IFERROR(__xludf.DUMMYFUNCTION("""COMPUTED_VALUE"""),"Tucker Kraft")</f>
        <v>Tucker Kraft</v>
      </c>
      <c r="F49" s="66" t="str">
        <f ca="1">IFERROR(__xludf.DUMMYFUNCTION("""COMPUTED_VALUE"""),"George Pickens")</f>
        <v>George Pickens</v>
      </c>
      <c r="G49" s="66" t="str">
        <f ca="1">IFERROR(__xludf.DUMMYFUNCTION("""COMPUTED_VALUE"""),"Travis Etienne Jr.")</f>
        <v>Travis Etienne Jr.</v>
      </c>
      <c r="H49" s="66" t="str">
        <f ca="1">IFERROR(__xludf.DUMMYFUNCTION("""COMPUTED_VALUE"""),"Xavier Worthy")</f>
        <v>Xavier Worthy</v>
      </c>
      <c r="I49" s="66" t="str">
        <f ca="1">IFERROR(__xludf.DUMMYFUNCTION("""COMPUTED_VALUE"""),"Jaylen Warren")</f>
        <v>Jaylen Warren</v>
      </c>
      <c r="J49" s="66" t="str">
        <f ca="1">IFERROR(__xludf.DUMMYFUNCTION("""COMPUTED_VALUE"""),"Javonte Williams")</f>
        <v>Javonte Williams</v>
      </c>
      <c r="K49" s="66" t="str">
        <f ca="1">IFERROR(__xludf.DUMMYFUNCTION("""COMPUTED_VALUE"""),"Travis Hunter")</f>
        <v>Travis Hunter</v>
      </c>
      <c r="L49" s="66" t="str">
        <f ca="1">IFERROR(__xludf.DUMMYFUNCTION("""COMPUTED_VALUE"""),"T.J. Hockenson")</f>
        <v>T.J. Hockenson</v>
      </c>
      <c r="M49" s="66" t="str">
        <f ca="1">IFERROR(__xludf.DUMMYFUNCTION("""COMPUTED_VALUE"""),"Chris Olave")</f>
        <v>Chris Olave</v>
      </c>
      <c r="N49" s="66" t="str">
        <f ca="1">IFERROR(__xludf.DUMMYFUNCTION("""COMPUTED_VALUE"""),"Jaylen Waddle")</f>
        <v>Jaylen Waddle</v>
      </c>
      <c r="O49" s="66" t="str">
        <f ca="1">IFERROR(__xludf.DUMMYFUNCTION("""COMPUTED_VALUE"""),"Mark Andrews")</f>
        <v>Mark Andrews</v>
      </c>
      <c r="P49" s="66" t="str">
        <f ca="1">IFERROR(__xludf.DUMMYFUNCTION("""COMPUTED_VALUE"""),"Tyrone Tracy Jr.")</f>
        <v>Tyrone Tracy Jr.</v>
      </c>
      <c r="Q49" s="66" t="str">
        <f ca="1">IFERROR(__xludf.DUMMYFUNCTION("""COMPUTED_VALUE"""),"Travis Kelce")</f>
        <v>Travis Kelce</v>
      </c>
      <c r="R49" s="66" t="str">
        <f ca="1">IFERROR(__xludf.DUMMYFUNCTION("""COMPUTED_VALUE"""),"Zay Flowers")</f>
        <v>Zay Flowers</v>
      </c>
      <c r="S49" s="66" t="str">
        <f ca="1">IFERROR(__xludf.DUMMYFUNCTION("""COMPUTED_VALUE"""),"Sam LaPorta")</f>
        <v>Sam LaPorta</v>
      </c>
      <c r="T49" s="66" t="str">
        <f ca="1">IFERROR(__xludf.DUMMYFUNCTION("""COMPUTED_VALUE"""),"Tetairoa McMillan")</f>
        <v>Tetairoa McMillan</v>
      </c>
      <c r="U49" s="66" t="str">
        <f ca="1">IFERROR(__xludf.DUMMYFUNCTION("""COMPUTED_VALUE"""),"Kaleb Johnson")</f>
        <v>Kaleb Johnson</v>
      </c>
    </row>
    <row r="50" spans="1:21">
      <c r="A50" s="90">
        <v>5</v>
      </c>
      <c r="B50"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50" s="66" t="str">
        <f ca="1">IFERROR(__xludf.DUMMYFUNCTION("""COMPUTED_VALUE"""),"Dak Prescott")</f>
        <v>Dak Prescott</v>
      </c>
      <c r="D50" s="66" t="str">
        <f ca="1">IFERROR(__xludf.DUMMYFUNCTION("""COMPUTED_VALUE"""),"Zach Charbonnet")</f>
        <v>Zach Charbonnet</v>
      </c>
      <c r="E50" s="66" t="str">
        <f ca="1">IFERROR(__xludf.DUMMYFUNCTION("""COMPUTED_VALUE"""),"Joe Mixon")</f>
        <v>Joe Mixon</v>
      </c>
      <c r="F50" s="66" t="str">
        <f ca="1">IFERROR(__xludf.DUMMYFUNCTION("""COMPUTED_VALUE"""),"J.K. Dobbins")</f>
        <v>J.K. Dobbins</v>
      </c>
      <c r="G50" s="66" t="str">
        <f ca="1">IFERROR(__xludf.DUMMYFUNCTION("""COMPUTED_VALUE"""),"Patrick Mahomes II")</f>
        <v>Patrick Mahomes II</v>
      </c>
      <c r="H50" s="66" t="str">
        <f ca="1">IFERROR(__xludf.DUMMYFUNCTION("""COMPUTED_VALUE"""),"Ricky Pearsall")</f>
        <v>Ricky Pearsall</v>
      </c>
      <c r="I50" s="66" t="str">
        <f ca="1">IFERROR(__xludf.DUMMYFUNCTION("""COMPUTED_VALUE"""),"Jameson Williams")</f>
        <v>Jameson Williams</v>
      </c>
      <c r="J50" s="66" t="str">
        <f ca="1">IFERROR(__xludf.DUMMYFUNCTION("""COMPUTED_VALUE"""),"Tyler Warren")</f>
        <v>Tyler Warren</v>
      </c>
      <c r="K50" s="66" t="str">
        <f ca="1">IFERROR(__xludf.DUMMYFUNCTION("""COMPUTED_VALUE"""),"Jordan Mason")</f>
        <v>Jordan Mason</v>
      </c>
      <c r="L50" s="66" t="str">
        <f ca="1">IFERROR(__xludf.DUMMYFUNCTION("""COMPUTED_VALUE"""),"Baker Mayfield")</f>
        <v>Baker Mayfield</v>
      </c>
      <c r="M50" s="66" t="str">
        <f ca="1">IFERROR(__xludf.DUMMYFUNCTION("""COMPUTED_VALUE"""),"Deebo Samuel Sr.")</f>
        <v>Deebo Samuel Sr.</v>
      </c>
      <c r="N50" s="66" t="str">
        <f ca="1">IFERROR(__xludf.DUMMYFUNCTION("""COMPUTED_VALUE"""),"Bo Nix")</f>
        <v>Bo Nix</v>
      </c>
      <c r="O50" s="66" t="str">
        <f ca="1">IFERROR(__xludf.DUMMYFUNCTION("""COMPUTED_VALUE"""),"Chris Godwin")</f>
        <v>Chris Godwin</v>
      </c>
      <c r="P50" s="66" t="str">
        <f ca="1">IFERROR(__xludf.DUMMYFUNCTION("""COMPUTED_VALUE"""),"Emeka Egbuka")</f>
        <v>Emeka Egbuka</v>
      </c>
      <c r="Q50" s="66" t="str">
        <f ca="1">IFERROR(__xludf.DUMMYFUNCTION("""COMPUTED_VALUE"""),"Rashee Rice")</f>
        <v>Rashee Rice</v>
      </c>
      <c r="R50" s="66" t="str">
        <f ca="1">IFERROR(__xludf.DUMMYFUNCTION("""COMPUTED_VALUE"""),"Quinshon Judkins")</f>
        <v>Quinshon Judkins</v>
      </c>
      <c r="S50" s="66" t="str">
        <f ca="1">IFERROR(__xludf.DUMMYFUNCTION("""COMPUTED_VALUE"""),"Matthew Golden")</f>
        <v>Matthew Golden</v>
      </c>
      <c r="T50" s="66" t="str">
        <f ca="1">IFERROR(__xludf.DUMMYFUNCTION("""COMPUTED_VALUE"""),"Austin Ekeler")</f>
        <v>Austin Ekeler</v>
      </c>
      <c r="U50" s="66" t="str">
        <f ca="1">IFERROR(__xludf.DUMMYFUNCTION("""COMPUTED_VALUE"""),"Stefon Diggs")</f>
        <v>Stefon Diggs</v>
      </c>
    </row>
    <row r="51" spans="1:21">
      <c r="A51" s="90">
        <v>6</v>
      </c>
      <c r="B51"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51" s="66" t="str">
        <f ca="1">IFERROR(__xludf.DUMMYFUNCTION("""COMPUTED_VALUE"""),"Colston Loveland")</f>
        <v>Colston Loveland</v>
      </c>
      <c r="D51" s="66" t="str">
        <f ca="1">IFERROR(__xludf.DUMMYFUNCTION("""COMPUTED_VALUE"""),"Justin Herbert")</f>
        <v>Justin Herbert</v>
      </c>
      <c r="E51" s="66" t="str">
        <f ca="1">IFERROR(__xludf.DUMMYFUNCTION("""COMPUTED_VALUE"""),"Jauan Jennings")</f>
        <v>Jauan Jennings</v>
      </c>
      <c r="F51" s="66" t="str">
        <f ca="1">IFERROR(__xludf.DUMMYFUNCTION("""COMPUTED_VALUE"""),"Jayden Reed")</f>
        <v>Jayden Reed</v>
      </c>
      <c r="G51" s="66" t="str">
        <f ca="1">IFERROR(__xludf.DUMMYFUNCTION("""COMPUTED_VALUE"""),"Hunter Henry")</f>
        <v>Hunter Henry</v>
      </c>
      <c r="H51" s="66" t="str">
        <f ca="1">IFERROR(__xludf.DUMMYFUNCTION("""COMPUTED_VALUE"""),"Tyjae Spears")</f>
        <v>Tyjae Spears</v>
      </c>
      <c r="I51" s="66" t="str">
        <f ca="1">IFERROR(__xludf.DUMMYFUNCTION("""COMPUTED_VALUE"""),"Dallas Goedert")</f>
        <v>Dallas Goedert</v>
      </c>
      <c r="J51" s="66" t="str">
        <f ca="1">IFERROR(__xludf.DUMMYFUNCTION("""COMPUTED_VALUE"""),"Dalton Kincaid")</f>
        <v>Dalton Kincaid</v>
      </c>
      <c r="K51" s="66" t="str">
        <f ca="1">IFERROR(__xludf.DUMMYFUNCTION("""COMPUTED_VALUE"""),"Jacory Croskey-Merritt")</f>
        <v>Jacory Croskey-Merritt</v>
      </c>
      <c r="L51" s="66" t="str">
        <f ca="1">IFERROR(__xludf.DUMMYFUNCTION("""COMPUTED_VALUE"""),"Khalil Shakir")</f>
        <v>Khalil Shakir</v>
      </c>
      <c r="M51" s="66" t="str">
        <f ca="1">IFERROR(__xludf.DUMMYFUNCTION("""COMPUTED_VALUE"""),"Najee Harris")</f>
        <v>Najee Harris</v>
      </c>
      <c r="N51" s="66" t="str">
        <f ca="1">IFERROR(__xludf.DUMMYFUNCTION("""COMPUTED_VALUE"""),"Jake Ferguson")</f>
        <v>Jake Ferguson</v>
      </c>
      <c r="O51" s="66" t="str">
        <f ca="1">IFERROR(__xludf.DUMMYFUNCTION("""COMPUTED_VALUE"""),"Christian Kirk")</f>
        <v>Christian Kirk</v>
      </c>
      <c r="P51" s="66" t="str">
        <f ca="1">IFERROR(__xludf.DUMMYFUNCTION("""COMPUTED_VALUE"""),"Jared Goff")</f>
        <v>Jared Goff</v>
      </c>
      <c r="Q51" s="66" t="str">
        <f ca="1">IFERROR(__xludf.DUMMYFUNCTION("""COMPUTED_VALUE"""),"Cam Skattebo")</f>
        <v>Cam Skattebo</v>
      </c>
      <c r="R51" s="66" t="str">
        <f ca="1">IFERROR(__xludf.DUMMYFUNCTION("""COMPUTED_VALUE"""),"Nick Chubb")</f>
        <v>Nick Chubb</v>
      </c>
      <c r="S51" s="66" t="str">
        <f ca="1">IFERROR(__xludf.DUMMYFUNCTION("""COMPUTED_VALUE"""),"Jordan Love")</f>
        <v>Jordan Love</v>
      </c>
      <c r="T51" s="66" t="str">
        <f ca="1">IFERROR(__xludf.DUMMYFUNCTION("""COMPUTED_VALUE"""),"Kyler Murray")</f>
        <v>Kyler Murray</v>
      </c>
      <c r="U51" s="66" t="str">
        <f ca="1">IFERROR(__xludf.DUMMYFUNCTION("""COMPUTED_VALUE"""),"Evan Engram")</f>
        <v>Evan Engram</v>
      </c>
    </row>
    <row r="52" spans="1:21">
      <c r="A52" s="90">
        <v>7</v>
      </c>
      <c r="B52"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52" s="66" t="str">
        <f ca="1">IFERROR(__xludf.DUMMYFUNCTION("""COMPUTED_VALUE"""),"Josh Downs")</f>
        <v>Josh Downs</v>
      </c>
      <c r="D52" s="66" t="str">
        <f ca="1">IFERROR(__xludf.DUMMYFUNCTION("""COMPUTED_VALUE"""),"Jerome Ford")</f>
        <v>Jerome Ford</v>
      </c>
      <c r="E52" s="66" t="str">
        <f ca="1">IFERROR(__xludf.DUMMYFUNCTION("""COMPUTED_VALUE"""),"Denver Broncos")</f>
        <v>Denver Broncos</v>
      </c>
      <c r="F52" s="66" t="str">
        <f ca="1">IFERROR(__xludf.DUMMYFUNCTION("""COMPUTED_VALUE"""),"Bhayshul Tuten")</f>
        <v>Bhayshul Tuten</v>
      </c>
      <c r="G52" s="66" t="str">
        <f ca="1">IFERROR(__xludf.DUMMYFUNCTION("""COMPUTED_VALUE"""),"Tank Bigsby")</f>
        <v>Tank Bigsby</v>
      </c>
      <c r="H52" s="66" t="str">
        <f ca="1">IFERROR(__xludf.DUMMYFUNCTION("""COMPUTED_VALUE"""),"Cooper Kupp")</f>
        <v>Cooper Kupp</v>
      </c>
      <c r="I52" s="66" t="str">
        <f ca="1">IFERROR(__xludf.DUMMYFUNCTION("""COMPUTED_VALUE"""),"Jordan Addison")</f>
        <v>Jordan Addison</v>
      </c>
      <c r="J52" s="66" t="str">
        <f ca="1">IFERROR(__xludf.DUMMYFUNCTION("""COMPUTED_VALUE"""),"Rashod Bateman")</f>
        <v>Rashod Bateman</v>
      </c>
      <c r="K52" s="66" t="str">
        <f ca="1">IFERROR(__xludf.DUMMYFUNCTION("""COMPUTED_VALUE"""),"Ray Davis")</f>
        <v>Ray Davis</v>
      </c>
      <c r="L52" s="66" t="str">
        <f ca="1">IFERROR(__xludf.DUMMYFUNCTION("""COMPUTED_VALUE"""),"Braelon Allen")</f>
        <v>Braelon Allen</v>
      </c>
      <c r="M52" s="66" t="str">
        <f ca="1">IFERROR(__xludf.DUMMYFUNCTION("""COMPUTED_VALUE"""),"C.J. Stroud")</f>
        <v>C.J. Stroud</v>
      </c>
      <c r="N52" s="66" t="str">
        <f ca="1">IFERROR(__xludf.DUMMYFUNCTION("""COMPUTED_VALUE"""),"Michael Pittman Jr.")</f>
        <v>Michael Pittman Jr.</v>
      </c>
      <c r="O52" s="66" t="str">
        <f ca="1">IFERROR(__xludf.DUMMYFUNCTION("""COMPUTED_VALUE"""),"Anthony Richardson Sr.")</f>
        <v>Anthony Richardson Sr.</v>
      </c>
      <c r="P52" s="66" t="str">
        <f ca="1">IFERROR(__xludf.DUMMYFUNCTION("""COMPUTED_VALUE"""),"Luther Burden III")</f>
        <v>Luther Burden III</v>
      </c>
      <c r="Q52" s="66" t="str">
        <f ca="1">IFERROR(__xludf.DUMMYFUNCTION("""COMPUTED_VALUE"""),"Justin Fields")</f>
        <v>Justin Fields</v>
      </c>
      <c r="R52" s="66" t="str">
        <f ca="1">IFERROR(__xludf.DUMMYFUNCTION("""COMPUTED_VALUE"""),"Kyle Pitts Sr.")</f>
        <v>Kyle Pitts Sr.</v>
      </c>
      <c r="S52" s="66" t="str">
        <f ca="1">IFERROR(__xludf.DUMMYFUNCTION("""COMPUTED_VALUE"""),"Wan'Dale Robinson")</f>
        <v>Wan'Dale Robinson</v>
      </c>
      <c r="T52" s="66" t="str">
        <f ca="1">IFERROR(__xludf.DUMMYFUNCTION("""COMPUTED_VALUE"""),"Jaydon Blue")</f>
        <v>Jaydon Blue</v>
      </c>
      <c r="U52" s="66" t="str">
        <f ca="1">IFERROR(__xludf.DUMMYFUNCTION("""COMPUTED_VALUE"""),"Trey Benson")</f>
        <v>Trey Benson</v>
      </c>
    </row>
    <row r="53" spans="1:21">
      <c r="A53" s="90">
        <v>8</v>
      </c>
      <c r="B53"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53" s="66" t="str">
        <f ca="1">IFERROR(__xludf.DUMMYFUNCTION("""COMPUTED_VALUE"""),"Zach Ertz")</f>
        <v>Zach Ertz</v>
      </c>
      <c r="D53" s="66" t="str">
        <f ca="1">IFERROR(__xludf.DUMMYFUNCTION("""COMPUTED_VALUE"""),"Jayden Higgins")</f>
        <v>Jayden Higgins</v>
      </c>
      <c r="E53" s="66" t="str">
        <f ca="1">IFERROR(__xludf.DUMMYFUNCTION("""COMPUTED_VALUE"""),"Dylan Sampson")</f>
        <v>Dylan Sampson</v>
      </c>
      <c r="F53" s="66" t="str">
        <f ca="1">IFERROR(__xludf.DUMMYFUNCTION("""COMPUTED_VALUE"""),"Brenton Strange")</f>
        <v>Brenton Strange</v>
      </c>
      <c r="G53" s="66" t="str">
        <f ca="1">IFERROR(__xludf.DUMMYFUNCTION("""COMPUTED_VALUE"""),"Keon Coleman")</f>
        <v>Keon Coleman</v>
      </c>
      <c r="H53" s="66" t="str">
        <f ca="1">IFERROR(__xludf.DUMMYFUNCTION("""COMPUTED_VALUE"""),"Rico Dowdle")</f>
        <v>Rico Dowdle</v>
      </c>
      <c r="I53" s="66" t="str">
        <f ca="1">IFERROR(__xludf.DUMMYFUNCTION("""COMPUTED_VALUE"""),"Houston Texans")</f>
        <v>Houston Texans</v>
      </c>
      <c r="J53" s="66" t="str">
        <f ca="1">IFERROR(__xludf.DUMMYFUNCTION("""COMPUTED_VALUE"""),"Jaylen Wright")</f>
        <v>Jaylen Wright</v>
      </c>
      <c r="K53" s="66" t="str">
        <f ca="1">IFERROR(__xludf.DUMMYFUNCTION("""COMPUTED_VALUE"""),"Drake Maye")</f>
        <v>Drake Maye</v>
      </c>
      <c r="L53" s="66" t="str">
        <f ca="1">IFERROR(__xludf.DUMMYFUNCTION("""COMPUTED_VALUE"""),"Brandon Aiyuk")</f>
        <v>Brandon Aiyuk</v>
      </c>
      <c r="M53" s="66" t="str">
        <f ca="1">IFERROR(__xludf.DUMMYFUNCTION("""COMPUTED_VALUE"""),"Geno Smith")</f>
        <v>Geno Smith</v>
      </c>
      <c r="N53" s="66" t="str">
        <f ca="1">IFERROR(__xludf.DUMMYFUNCTION("""COMPUTED_VALUE"""),"Isaac Guerendo")</f>
        <v>Isaac Guerendo</v>
      </c>
      <c r="O53" s="66" t="str">
        <f ca="1">IFERROR(__xludf.DUMMYFUNCTION("""COMPUTED_VALUE"""),"Tyler Allgeier")</f>
        <v>Tyler Allgeier</v>
      </c>
      <c r="P53" s="66" t="str">
        <f ca="1">IFERROR(__xludf.DUMMYFUNCTION("""COMPUTED_VALUE"""),"Trevor Lawrence")</f>
        <v>Trevor Lawrence</v>
      </c>
      <c r="Q53" s="66" t="str">
        <f ca="1">IFERROR(__xludf.DUMMYFUNCTION("""COMPUTED_VALUE"""),"Rashid Shaheed")</f>
        <v>Rashid Shaheed</v>
      </c>
      <c r="R53" s="66" t="str">
        <f ca="1">IFERROR(__xludf.DUMMYFUNCTION("""COMPUTED_VALUE"""),"Caleb Williams")</f>
        <v>Caleb Williams</v>
      </c>
      <c r="S53" s="66" t="str">
        <f ca="1">IFERROR(__xludf.DUMMYFUNCTION("""COMPUTED_VALUE"""),"Darnell Mooney")</f>
        <v>Darnell Mooney</v>
      </c>
      <c r="T53" s="66" t="str">
        <f ca="1">IFERROR(__xludf.DUMMYFUNCTION("""COMPUTED_VALUE"""),"Marvin Mims Jr.")</f>
        <v>Marvin Mims Jr.</v>
      </c>
      <c r="U53" s="66" t="str">
        <f ca="1">IFERROR(__xludf.DUMMYFUNCTION("""COMPUTED_VALUE"""),"Philadelphia Eagles")</f>
        <v>Philadelphia Eagles</v>
      </c>
    </row>
    <row r="54" spans="1:21">
      <c r="A54" s="90">
        <v>9</v>
      </c>
      <c r="B54"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54" s="66" t="str">
        <f ca="1">IFERROR(__xludf.DUMMYFUNCTION("""COMPUTED_VALUE"""),"Baltimore Ravens")</f>
        <v>Baltimore Ravens</v>
      </c>
      <c r="D54" s="66" t="str">
        <f ca="1">IFERROR(__xludf.DUMMYFUNCTION("""COMPUTED_VALUE"""),"Elijah Arroyo")</f>
        <v>Elijah Arroyo</v>
      </c>
      <c r="E54" s="66" t="str">
        <f ca="1">IFERROR(__xludf.DUMMYFUNCTION("""COMPUTED_VALUE"""),"Romeo Doubs")</f>
        <v>Romeo Doubs</v>
      </c>
      <c r="F54" s="66" t="str">
        <f ca="1">IFERROR(__xludf.DUMMYFUNCTION("""COMPUTED_VALUE"""),"Harold Fannin Jr.")</f>
        <v>Harold Fannin Jr.</v>
      </c>
      <c r="G54" s="66" t="str">
        <f ca="1">IFERROR(__xludf.DUMMYFUNCTION("""COMPUTED_VALUE"""),"J.J. McCarthy")</f>
        <v>J.J. McCarthy</v>
      </c>
      <c r="H54" s="66" t="str">
        <f ca="1">IFERROR(__xludf.DUMMYFUNCTION("""COMPUTED_VALUE"""),"Joshua Palmer")</f>
        <v>Joshua Palmer</v>
      </c>
      <c r="I54" s="66" t="str">
        <f ca="1">IFERROR(__xludf.DUMMYFUNCTION("""COMPUTED_VALUE"""),"Blake Corum")</f>
        <v>Blake Corum</v>
      </c>
      <c r="J54" s="66" t="str">
        <f ca="1">IFERROR(__xludf.DUMMYFUNCTION("""COMPUTED_VALUE"""),"Michael Penix Jr.")</f>
        <v>Michael Penix Jr.</v>
      </c>
      <c r="K54" s="66" t="str">
        <f ca="1">IFERROR(__xludf.DUMMYFUNCTION("""COMPUTED_VALUE"""),"Cameron Ward")</f>
        <v>Cameron Ward</v>
      </c>
      <c r="L54" s="66" t="str">
        <f ca="1">IFERROR(__xludf.DUMMYFUNCTION("""COMPUTED_VALUE"""),"Minnesota Vikings")</f>
        <v>Minnesota Vikings</v>
      </c>
      <c r="M54" s="66" t="str">
        <f ca="1">IFERROR(__xludf.DUMMYFUNCTION("""COMPUTED_VALUE"""),"Mike Gesicki")</f>
        <v>Mike Gesicki</v>
      </c>
      <c r="N54" s="66" t="str">
        <f ca="1">IFERROR(__xludf.DUMMYFUNCTION("""COMPUTED_VALUE"""),"Marquise Brown")</f>
        <v>Marquise Brown</v>
      </c>
      <c r="O54" s="66" t="str">
        <f ca="1">IFERROR(__xludf.DUMMYFUNCTION("""COMPUTED_VALUE"""),"Bryce Young")</f>
        <v>Bryce Young</v>
      </c>
      <c r="P54" s="66" t="str">
        <f ca="1">IFERROR(__xludf.DUMMYFUNCTION("""COMPUTED_VALUE"""),"Luke Musgrave")</f>
        <v>Luke Musgrave</v>
      </c>
      <c r="Q54" s="66" t="str">
        <f ca="1">IFERROR(__xludf.DUMMYFUNCTION("""COMPUTED_VALUE"""),"Jonnu Smith")</f>
        <v>Jonnu Smith</v>
      </c>
      <c r="R54" s="66" t="str">
        <f ca="1">IFERROR(__xludf.DUMMYFUNCTION("""COMPUTED_VALUE"""),"DJ Giddens")</f>
        <v>DJ Giddens</v>
      </c>
      <c r="S54" s="66" t="str">
        <f ca="1">IFERROR(__xludf.DUMMYFUNCTION("""COMPUTED_VALUE"""),"Sam Darnold")</f>
        <v>Sam Darnold</v>
      </c>
      <c r="T54" s="66" t="str">
        <f ca="1">IFERROR(__xludf.DUMMYFUNCTION("""COMPUTED_VALUE"""),"Tua Tagovailoa")</f>
        <v>Tua Tagovailoa</v>
      </c>
      <c r="U54" s="66" t="str">
        <f ca="1">IFERROR(__xludf.DUMMYFUNCTION("""COMPUTED_VALUE"""),"Adam Thielen")</f>
        <v>Adam Thielen</v>
      </c>
    </row>
    <row r="55" spans="1:21">
      <c r="A55" s="90">
        <v>10</v>
      </c>
      <c r="B55"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55" s="66" t="str">
        <f ca="1">IFERROR(__xludf.DUMMYFUNCTION("""COMPUTED_VALUE"""),"Jaxson Dart")</f>
        <v>Jaxson Dart</v>
      </c>
      <c r="D55" s="66" t="str">
        <f ca="1">IFERROR(__xludf.DUMMYFUNCTION("""COMPUTED_VALUE"""),"Tyler Shough")</f>
        <v>Tyler Shough</v>
      </c>
      <c r="E55" s="66" t="str">
        <f ca="1">IFERROR(__xludf.DUMMYFUNCTION("""COMPUTED_VALUE"""),"Joe Flacco")</f>
        <v>Joe Flacco</v>
      </c>
      <c r="F55" s="66" t="str">
        <f ca="1">IFERROR(__xludf.DUMMYFUNCTION("""COMPUTED_VALUE"""),"Kansas City Chiefs")</f>
        <v>Kansas City Chiefs</v>
      </c>
      <c r="G55" s="66" t="str">
        <f ca="1">IFERROR(__xludf.DUMMYFUNCTION("""COMPUTED_VALUE"""),"Daniel Jones")</f>
        <v>Daniel Jones</v>
      </c>
      <c r="H55" s="66" t="str">
        <f ca="1">IFERROR(__xludf.DUMMYFUNCTION("""COMPUTED_VALUE"""),"Russell Wilson")</f>
        <v>Russell Wilson</v>
      </c>
      <c r="I55" s="66" t="str">
        <f ca="1">IFERROR(__xludf.DUMMYFUNCTION("""COMPUTED_VALUE"""),"Xavier Legette")</f>
        <v>Xavier Legette</v>
      </c>
      <c r="J55" s="66" t="str">
        <f ca="1">IFERROR(__xludf.DUMMYFUNCTION("""COMPUTED_VALUE"""),"Woody Marks")</f>
        <v>Woody Marks</v>
      </c>
      <c r="K55" s="66" t="str">
        <f ca="1">IFERROR(__xludf.DUMMYFUNCTION("""COMPUTED_VALUE"""),"Pittsburgh Steelers")</f>
        <v>Pittsburgh Steelers</v>
      </c>
      <c r="L55" s="66" t="str">
        <f ca="1">IFERROR(__xludf.DUMMYFUNCTION("""COMPUTED_VALUE"""),"Brandon Aubrey")</f>
        <v>Brandon Aubrey</v>
      </c>
      <c r="M55" s="66" t="str">
        <f ca="1">IFERROR(__xludf.DUMMYFUNCTION("""COMPUTED_VALUE"""),"Kareem Hunt")</f>
        <v>Kareem Hunt</v>
      </c>
      <c r="N55" s="66" t="str">
        <f ca="1">IFERROR(__xludf.DUMMYFUNCTION("""COMPUTED_VALUE"""),"Chig Okonkwo")</f>
        <v>Chig Okonkwo</v>
      </c>
      <c r="O55" s="66" t="str">
        <f ca="1">IFERROR(__xludf.DUMMYFUNCTION("""COMPUTED_VALUE"""),"Kyle Williams")</f>
        <v>Kyle Williams</v>
      </c>
      <c r="P55" s="66" t="str">
        <f ca="1">IFERROR(__xludf.DUMMYFUNCTION("""COMPUTED_VALUE"""),"Tre' Harris")</f>
        <v>Tre' Harris</v>
      </c>
      <c r="Q55" s="66" t="str">
        <f ca="1">IFERROR(__xludf.DUMMYFUNCTION("""COMPUTED_VALUE"""),"MarShawn Lloyd")</f>
        <v>MarShawn Lloyd</v>
      </c>
      <c r="R55" s="66" t="str">
        <f ca="1">IFERROR(__xludf.DUMMYFUNCTION("""COMPUTED_VALUE"""),"Aaron Rodgers")</f>
        <v>Aaron Rodgers</v>
      </c>
      <c r="S55" s="66" t="str">
        <f ca="1">IFERROR(__xludf.DUMMYFUNCTION("""COMPUTED_VALUE"""),"DeMario Douglas")</f>
        <v>DeMario Douglas</v>
      </c>
      <c r="T55" s="66" t="str">
        <f ca="1">IFERROR(__xludf.DUMMYFUNCTION("""COMPUTED_VALUE"""),"Keenan Allen")</f>
        <v>Keenan Allen</v>
      </c>
      <c r="U55" s="66" t="str">
        <f ca="1">IFERROR(__xludf.DUMMYFUNCTION("""COMPUTED_VALUE"""),"Matthew Stafford")</f>
        <v>Matthew Stafford</v>
      </c>
    </row>
    <row r="56" spans="1:21">
      <c r="A56" s="90">
        <v>11</v>
      </c>
      <c r="B56"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56" s="66" t="str">
        <f ca="1">IFERROR(__xludf.DUMMYFUNCTION("""COMPUTED_VALUE"""),"Will Shipley")</f>
        <v>Will Shipley</v>
      </c>
      <c r="D56" s="66" t="str">
        <f ca="1">IFERROR(__xludf.DUMMYFUNCTION("""COMPUTED_VALUE"""),"Mason Taylor")</f>
        <v>Mason Taylor</v>
      </c>
      <c r="E56" s="66" t="str">
        <f ca="1">IFERROR(__xludf.DUMMYFUNCTION("""COMPUTED_VALUE"""),"Pat Freiermuth")</f>
        <v>Pat Freiermuth</v>
      </c>
      <c r="F56" s="66" t="str">
        <f ca="1">IFERROR(__xludf.DUMMYFUNCTION("""COMPUTED_VALUE"""),"Chris Rodriguez Jr.")</f>
        <v>Chris Rodriguez Jr.</v>
      </c>
      <c r="G56" s="66" t="str">
        <f ca="1">IFERROR(__xludf.DUMMYFUNCTION("""COMPUTED_VALUE"""),"Jalen McMillan")</f>
        <v>Jalen McMillan</v>
      </c>
      <c r="H56" s="66" t="str">
        <f ca="1">IFERROR(__xludf.DUMMYFUNCTION("""COMPUTED_VALUE"""),"Washington Commanders")</f>
        <v>Washington Commanders</v>
      </c>
      <c r="I56" s="66" t="str">
        <f ca="1">IFERROR(__xludf.DUMMYFUNCTION("""COMPUTED_VALUE"""),"Shedeur Sanders")</f>
        <v>Shedeur Sanders</v>
      </c>
      <c r="J56" s="66" t="str">
        <f ca="1">IFERROR(__xludf.DUMMYFUNCTION("""COMPUTED_VALUE"""),"Jack Bech")</f>
        <v>Jack Bech</v>
      </c>
      <c r="K56" s="66" t="str">
        <f ca="1">IFERROR(__xludf.DUMMYFUNCTION("""COMPUTED_VALUE"""),"Isaiah Likely")</f>
        <v>Isaiah Likely</v>
      </c>
      <c r="L56" s="66" t="str">
        <f ca="1">IFERROR(__xludf.DUMMYFUNCTION("""COMPUTED_VALUE"""),"Justice Hill")</f>
        <v>Justice Hill</v>
      </c>
      <c r="M56" s="66" t="str">
        <f ca="1">IFERROR(__xludf.DUMMYFUNCTION("""COMPUTED_VALUE"""),"Michael Wilson")</f>
        <v>Michael Wilson</v>
      </c>
      <c r="N56" s="66" t="str">
        <f ca="1">IFERROR(__xludf.DUMMYFUNCTION("""COMPUTED_VALUE"""),"Jake Bates")</f>
        <v>Jake Bates</v>
      </c>
      <c r="O56" s="66" t="str">
        <f ca="1">IFERROR(__xludf.DUMMYFUNCTION("""COMPUTED_VALUE"""),"Cade Otton")</f>
        <v>Cade Otton</v>
      </c>
      <c r="P56" s="66" t="str">
        <f ca="1">IFERROR(__xludf.DUMMYFUNCTION("""COMPUTED_VALUE"""),"Amari Cooper")</f>
        <v>Amari Cooper</v>
      </c>
      <c r="Q56" s="66" t="str">
        <f ca="1">IFERROR(__xludf.DUMMYFUNCTION("""COMPUTED_VALUE"""),"Detroit Lions")</f>
        <v>Detroit Lions</v>
      </c>
      <c r="R56" s="66" t="str">
        <f ca="1">IFERROR(__xludf.DUMMYFUNCTION("""COMPUTED_VALUE"""),"Darren Waller")</f>
        <v>Darren Waller</v>
      </c>
      <c r="S56" s="66" t="str">
        <f ca="1">IFERROR(__xludf.DUMMYFUNCTION("""COMPUTED_VALUE"""),"Buffalo Bills")</f>
        <v>Buffalo Bills</v>
      </c>
      <c r="T56" s="66" t="str">
        <f ca="1">IFERROR(__xludf.DUMMYFUNCTION("""COMPUTED_VALUE"""),"Keaton Mitchell")</f>
        <v>Keaton Mitchell</v>
      </c>
      <c r="U56" s="66" t="str">
        <f ca="1">IFERROR(__xludf.DUMMYFUNCTION("""COMPUTED_VALUE"""),"Dalton Schultz")</f>
        <v>Dalton Schultz</v>
      </c>
    </row>
    <row r="57" spans="1:21">
      <c r="A57" s="90">
        <v>12</v>
      </c>
      <c r="B57"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57" s="66" t="str">
        <f ca="1">IFERROR(__xludf.DUMMYFUNCTION("""COMPUTED_VALUE"""),"Antonio Gibson")</f>
        <v>Antonio Gibson</v>
      </c>
      <c r="D57" s="66" t="str">
        <f ca="1">IFERROR(__xludf.DUMMYFUNCTION("""COMPUTED_VALUE"""),"Los Angeles Chargers")</f>
        <v>Los Angeles Chargers</v>
      </c>
      <c r="E57" s="66" t="str">
        <f ca="1">IFERROR(__xludf.DUMMYFUNCTION("""COMPUTED_VALUE"""),"Tahj Brooks")</f>
        <v>Tahj Brooks</v>
      </c>
      <c r="F57" s="66" t="str">
        <f ca="1">IFERROR(__xludf.DUMMYFUNCTION("""COMPUTED_VALUE"""),"Jalen Coker")</f>
        <v>Jalen Coker</v>
      </c>
      <c r="G57" s="66" t="str">
        <f ca="1">IFERROR(__xludf.DUMMYFUNCTION("""COMPUTED_VALUE"""),"Kendre Miller")</f>
        <v>Kendre Miller</v>
      </c>
      <c r="H57" s="66" t="str">
        <f ca="1">IFERROR(__xludf.DUMMYFUNCTION("""COMPUTED_VALUE"""),"Brandin Cooks")</f>
        <v>Brandin Cooks</v>
      </c>
      <c r="I57" s="66" t="str">
        <f ca="1">IFERROR(__xludf.DUMMYFUNCTION("""COMPUTED_VALUE"""),"Ka'imi Fairbairn")</f>
        <v>Ka'imi Fairbairn</v>
      </c>
      <c r="J57" s="66" t="str">
        <f ca="1">IFERROR(__xludf.DUMMYFUNCTION("""COMPUTED_VALUE"""),"Cade Stover")</f>
        <v>Cade Stover</v>
      </c>
      <c r="K57" s="66" t="str">
        <f ca="1">IFERROR(__xludf.DUMMYFUNCTION("""COMPUTED_VALUE"""),"Kyle Monangai")</f>
        <v>Kyle Monangai</v>
      </c>
      <c r="L57" s="66" t="str">
        <f ca="1">IFERROR(__xludf.DUMMYFUNCTION("""COMPUTED_VALUE"""),"DeAndre Hopkins")</f>
        <v>DeAndre Hopkins</v>
      </c>
      <c r="M57" s="66" t="str">
        <f ca="1">IFERROR(__xludf.DUMMYFUNCTION("""COMPUTED_VALUE"""),"Ja'Tavion Sanders")</f>
        <v>Ja'Tavion Sanders</v>
      </c>
      <c r="N57" s="66" t="str">
        <f ca="1">IFERROR(__xludf.DUMMYFUNCTION("""COMPUTED_VALUE"""),"Jalen Milroe")</f>
        <v>Jalen Milroe</v>
      </c>
      <c r="O57" s="66" t="str">
        <f ca="1">IFERROR(__xludf.DUMMYFUNCTION("""COMPUTED_VALUE"""),"Jason Sanders")</f>
        <v>Jason Sanders</v>
      </c>
      <c r="P57" s="66" t="str">
        <f ca="1">IFERROR(__xludf.DUMMYFUNCTION("""COMPUTED_VALUE"""),"Green Bay Packers")</f>
        <v>Green Bay Packers</v>
      </c>
      <c r="Q57" s="66" t="str">
        <f ca="1">IFERROR(__xludf.DUMMYFUNCTION("""COMPUTED_VALUE"""),"Spencer Rattler")</f>
        <v>Spencer Rattler</v>
      </c>
      <c r="R57" s="66" t="str">
        <f ca="1">IFERROR(__xludf.DUMMYFUNCTION("""COMPUTED_VALUE"""),"Ollie Gordon II")</f>
        <v>Ollie Gordon II</v>
      </c>
      <c r="S57" s="66" t="str">
        <f ca="1">IFERROR(__xludf.DUMMYFUNCTION("""COMPUTED_VALUE"""),"Chase McLaughlin")</f>
        <v>Chase McLaughlin</v>
      </c>
      <c r="T57" s="66" t="str">
        <f ca="1">IFERROR(__xludf.DUMMYFUNCTION("""COMPUTED_VALUE"""),"Los Angeles Rams")</f>
        <v>Los Angeles Rams</v>
      </c>
      <c r="U57" s="66" t="str">
        <f ca="1">IFERROR(__xludf.DUMMYFUNCTION("""COMPUTED_VALUE"""),"Wil Lutz")</f>
        <v>Wil Lutz</v>
      </c>
    </row>
    <row r="58" spans="1:21">
      <c r="A58" s="90">
        <v>13</v>
      </c>
      <c r="B58"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58" s="66" t="str">
        <f ca="1">IFERROR(__xludf.DUMMYFUNCTION("""COMPUTED_VALUE"""),"Dallas Cowboys")</f>
        <v>Dallas Cowboys</v>
      </c>
      <c r="D58" s="66" t="str">
        <f ca="1">IFERROR(__xludf.DUMMYFUNCTION("""COMPUTED_VALUE"""),"Alec Pierce")</f>
        <v>Alec Pierce</v>
      </c>
      <c r="E58" s="66" t="str">
        <f ca="1">IFERROR(__xludf.DUMMYFUNCTION("""COMPUTED_VALUE"""),"Darius Slayton")</f>
        <v>Darius Slayton</v>
      </c>
      <c r="F58" s="66" t="str">
        <f ca="1">IFERROR(__xludf.DUMMYFUNCTION("""COMPUTED_VALUE"""),"Adonai Mitchell")</f>
        <v>Adonai Mitchell</v>
      </c>
      <c r="G58" s="66" t="str">
        <f ca="1">IFERROR(__xludf.DUMMYFUNCTION("""COMPUTED_VALUE"""),"Juwan Johnson")</f>
        <v>Juwan Johnson</v>
      </c>
      <c r="H58" s="66" t="str">
        <f ca="1">IFERROR(__xludf.DUMMYFUNCTION("""COMPUTED_VALUE"""),"Cole Kmet")</f>
        <v>Cole Kmet</v>
      </c>
      <c r="I58" s="66" t="str">
        <f ca="1">IFERROR(__xludf.DUMMYFUNCTION("""COMPUTED_VALUE"""),"Jaleel McLaughlin")</f>
        <v>Jaleel McLaughlin</v>
      </c>
      <c r="J58" s="66" t="str">
        <f ca="1">IFERROR(__xludf.DUMMYFUNCTION("""COMPUTED_VALUE"""),"Gardner Minshew II")</f>
        <v>Gardner Minshew II</v>
      </c>
      <c r="K58" s="66" t="str">
        <f ca="1">IFERROR(__xludf.DUMMYFUNCTION("""COMPUTED_VALUE"""),"Elic Ayomanor")</f>
        <v>Elic Ayomanor</v>
      </c>
      <c r="L58" s="66" t="str">
        <f ca="1">IFERROR(__xludf.DUMMYFUNCTION("""COMPUTED_VALUE"""),"Jameis Winston")</f>
        <v>Jameis Winston</v>
      </c>
      <c r="M58" s="66" t="str">
        <f ca="1">IFERROR(__xludf.DUMMYFUNCTION("""COMPUTED_VALUE"""),"Chris Boswell")</f>
        <v>Chris Boswell</v>
      </c>
      <c r="N58" s="66" t="str">
        <f ca="1">IFERROR(__xludf.DUMMYFUNCTION("""COMPUTED_VALUE"""),"San Francisco 49ers")</f>
        <v>San Francisco 49ers</v>
      </c>
      <c r="O58" s="66" t="str">
        <f ca="1">IFERROR(__xludf.DUMMYFUNCTION("""COMPUTED_VALUE"""),"Arizona Cardinals")</f>
        <v>Arizona Cardinals</v>
      </c>
      <c r="P58" s="66" t="str">
        <f ca="1">IFERROR(__xludf.DUMMYFUNCTION("""COMPUTED_VALUE"""),"Jarquez Hunter")</f>
        <v>Jarquez Hunter</v>
      </c>
      <c r="Q58" s="66" t="str">
        <f ca="1">IFERROR(__xludf.DUMMYFUNCTION("""COMPUTED_VALUE"""),"Younghoe Koo")</f>
        <v>Younghoe Koo</v>
      </c>
      <c r="R58" s="66" t="str">
        <f ca="1">IFERROR(__xludf.DUMMYFUNCTION("""COMPUTED_VALUE"""),"Tampa Bay Buccaneers")</f>
        <v>Tampa Bay Buccaneers</v>
      </c>
      <c r="S58" s="66" t="str">
        <f ca="1">IFERROR(__xludf.DUMMYFUNCTION("""COMPUTED_VALUE"""),"Noah Gray")</f>
        <v>Noah Gray</v>
      </c>
      <c r="T58" s="66" t="str">
        <f ca="1">IFERROR(__xludf.DUMMYFUNCTION("""COMPUTED_VALUE"""),"Tyler Lockett")</f>
        <v>Tyler Lockett</v>
      </c>
      <c r="U58" s="66" t="str">
        <f ca="1">IFERROR(__xludf.DUMMYFUNCTION("""COMPUTED_VALUE"""),"Dontayvion Wicks")</f>
        <v>Dontayvion Wicks</v>
      </c>
    </row>
    <row r="59" spans="1:21">
      <c r="A59" s="90">
        <v>14</v>
      </c>
      <c r="B59"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59" s="66" t="str">
        <f ca="1">IFERROR(__xludf.DUMMYFUNCTION("""COMPUTED_VALUE"""),"Jake Elliott")</f>
        <v>Jake Elliott</v>
      </c>
      <c r="D59" s="66" t="str">
        <f ca="1">IFERROR(__xludf.DUMMYFUNCTION("""COMPUTED_VALUE"""),"Chicago Bears")</f>
        <v>Chicago Bears</v>
      </c>
      <c r="E59" s="66" t="str">
        <f ca="1">IFERROR(__xludf.DUMMYFUNCTION("""COMPUTED_VALUE"""),"Dyami Brown")</f>
        <v>Dyami Brown</v>
      </c>
      <c r="F59" s="66" t="str">
        <f ca="1">IFERROR(__xludf.DUMMYFUNCTION("""COMPUTED_VALUE"""),"Tyler Bass")</f>
        <v>Tyler Bass</v>
      </c>
      <c r="G59" s="66" t="str">
        <f ca="1">IFERROR(__xludf.DUMMYFUNCTION("""COMPUTED_VALUE"""),"New York Jets")</f>
        <v>New York Jets</v>
      </c>
      <c r="H59" s="66" t="str">
        <f ca="1">IFERROR(__xludf.DUMMYFUNCTION("""COMPUTED_VALUE"""),"Dameon Pierce")</f>
        <v>Dameon Pierce</v>
      </c>
      <c r="I59" s="66" t="str">
        <f ca="1">IFERROR(__xludf.DUMMYFUNCTION("""COMPUTED_VALUE"""),"Pat Bryant")</f>
        <v>Pat Bryant</v>
      </c>
      <c r="J59" s="66" t="str">
        <f ca="1">IFERROR(__xludf.DUMMYFUNCTION("""COMPUTED_VALUE"""),"Tyler Loop")</f>
        <v>Tyler Loop</v>
      </c>
      <c r="K59" s="66" t="str">
        <f ca="1">IFERROR(__xludf.DUMMYFUNCTION("""COMPUTED_VALUE"""),"Jalen Royals")</f>
        <v>Jalen Royals</v>
      </c>
      <c r="L59" s="66" t="str">
        <f ca="1">IFERROR(__xludf.DUMMYFUNCTION("""COMPUTED_VALUE"""),"Devin Neal")</f>
        <v>Devin Neal</v>
      </c>
      <c r="M59" s="66" t="str">
        <f ca="1">IFERROR(__xludf.DUMMYFUNCTION("""COMPUTED_VALUE"""),"Noah Fant")</f>
        <v>Noah Fant</v>
      </c>
      <c r="N59" s="66" t="str">
        <f ca="1">IFERROR(__xludf.DUMMYFUNCTION("""COMPUTED_VALUE"""),"Calvin Austin III")</f>
        <v>Calvin Austin III</v>
      </c>
      <c r="O59" s="66" t="str">
        <f ca="1">IFERROR(__xludf.DUMMYFUNCTION("""COMPUTED_VALUE"""),"Matt Gay")</f>
        <v>Matt Gay</v>
      </c>
      <c r="P59" s="66" t="str">
        <f ca="1">IFERROR(__xludf.DUMMYFUNCTION("""COMPUTED_VALUE"""),"Evan McPherson")</f>
        <v>Evan McPherson</v>
      </c>
      <c r="Q59" s="66" t="str">
        <f ca="1">IFERROR(__xludf.DUMMYFUNCTION("""COMPUTED_VALUE"""),"Andrei Iosivas")</f>
        <v>Andrei Iosivas</v>
      </c>
      <c r="R59" s="66" t="str">
        <f ca="1">IFERROR(__xludf.DUMMYFUNCTION("""COMPUTED_VALUE"""),"Jaylin Noel")</f>
        <v>Jaylin Noel</v>
      </c>
      <c r="S59" s="66" t="str">
        <f ca="1">IFERROR(__xludf.DUMMYFUNCTION("""COMPUTED_VALUE"""),"Raheem Mostert")</f>
        <v>Raheem Mostert</v>
      </c>
      <c r="T59" s="66" t="str">
        <f ca="1">IFERROR(__xludf.DUMMYFUNCTION("""COMPUTED_VALUE"""),"Harrison Butker")</f>
        <v>Harrison Butker</v>
      </c>
      <c r="U59" s="66" t="str">
        <f ca="1">IFERROR(__xludf.DUMMYFUNCTION("""COMPUTED_VALUE"""),"Brashard Smith")</f>
        <v>Brashard Smith</v>
      </c>
    </row>
    <row r="60" spans="1:21">
      <c r="A60" s="90">
        <v>15</v>
      </c>
      <c r="B60"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60" s="66" t="str">
        <f ca="1">IFERROR(__xludf.DUMMYFUNCTION("""COMPUTED_VALUE"""),"Jalen Nailor")</f>
        <v>Jalen Nailor</v>
      </c>
      <c r="D60" s="66" t="str">
        <f ca="1">IFERROR(__xludf.DUMMYFUNCTION("""COMPUTED_VALUE"""),"Will Reichard")</f>
        <v>Will Reichard</v>
      </c>
      <c r="E60" s="66" t="str">
        <f ca="1">IFERROR(__xludf.DUMMYFUNCTION("""COMPUTED_VALUE"""),"Joshua Karty")</f>
        <v>Joshua Karty</v>
      </c>
      <c r="F60" s="66" t="str">
        <f ca="1">IFERROR(__xludf.DUMMYFUNCTION("""COMPUTED_VALUE"""),"New England Patriots")</f>
        <v>New England Patriots</v>
      </c>
      <c r="G60" s="66" t="str">
        <f ca="1">IFERROR(__xludf.DUMMYFUNCTION("""COMPUTED_VALUE"""),"Daniel Carlson")</f>
        <v>Daniel Carlson</v>
      </c>
      <c r="H60" s="66" t="str">
        <f ca="1">IFERROR(__xludf.DUMMYFUNCTION("""COMPUTED_VALUE"""),"Cairo Santos")</f>
        <v>Cairo Santos</v>
      </c>
      <c r="I60" s="66" t="str">
        <f ca="1">IFERROR(__xludf.DUMMYFUNCTION("""COMPUTED_VALUE"""),"Elijah Mitchell")</f>
        <v>Elijah Mitchell</v>
      </c>
      <c r="J60" s="66" t="str">
        <f ca="1">IFERROR(__xludf.DUMMYFUNCTION("""COMPUTED_VALUE"""),"Atlanta Falcons")</f>
        <v>Atlanta Falcons</v>
      </c>
      <c r="K60" s="66" t="str">
        <f ca="1">IFERROR(__xludf.DUMMYFUNCTION("""COMPUTED_VALUE"""),"Brandon McManus")</f>
        <v>Brandon McManus</v>
      </c>
      <c r="L60" s="66" t="str">
        <f ca="1">IFERROR(__xludf.DUMMYFUNCTION("""COMPUTED_VALUE"""),"Devaughn Vele")</f>
        <v>Devaughn Vele</v>
      </c>
      <c r="M60" s="66" t="str">
        <f ca="1">IFERROR(__xludf.DUMMYFUNCTION("""COMPUTED_VALUE"""),"New York Giants")</f>
        <v>New York Giants</v>
      </c>
      <c r="N60" s="66" t="str">
        <f ca="1">IFERROR(__xludf.DUMMYFUNCTION("""COMPUTED_VALUE"""),"Sean Tucker")</f>
        <v>Sean Tucker</v>
      </c>
      <c r="O60" s="66" t="str">
        <f ca="1">IFERROR(__xludf.DUMMYFUNCTION("""COMPUTED_VALUE"""),"Indianapolis Colts")</f>
        <v>Indianapolis Colts</v>
      </c>
      <c r="P60" s="66" t="str">
        <f ca="1">IFERROR(__xludf.DUMMYFUNCTION("""COMPUTED_VALUE"""),"Cleveland Browns")</f>
        <v>Cleveland Browns</v>
      </c>
      <c r="Q60" s="66" t="str">
        <f ca="1">IFERROR(__xludf.DUMMYFUNCTION("""COMPUTED_VALUE"""),"Ty Johnson")</f>
        <v>Ty Johnson</v>
      </c>
      <c r="R60" s="66" t="str">
        <f ca="1">IFERROR(__xludf.DUMMYFUNCTION("""COMPUTED_VALUE"""),"Cam Little")</f>
        <v>Cam Little</v>
      </c>
      <c r="S60" s="66" t="str">
        <f ca="1">IFERROR(__xludf.DUMMYFUNCTION("""COMPUTED_VALUE"""),"Trevor Etienne")</f>
        <v>Trevor Etienne</v>
      </c>
      <c r="T60" s="66" t="str">
        <f ca="1">IFERROR(__xludf.DUMMYFUNCTION("""COMPUTED_VALUE"""),"Roman Wilson")</f>
        <v>Roman Wilson</v>
      </c>
      <c r="U60" s="66" t="str">
        <f ca="1">IFERROR(__xludf.DUMMYFUNCTION("""COMPUTED_VALUE"""),"Jalen Tolbert")</f>
        <v>Jalen Tolbert</v>
      </c>
    </row>
  </sheetData>
  <mergeCells count="2">
    <mergeCell ref="B1:C1"/>
    <mergeCell ref="N3:O3"/>
  </mergeCells>
  <conditionalFormatting sqref="B4:B39 D4:D39 F4:F28 H4:H28 J4:J11 L4:L13">
    <cfRule type="expression" dxfId="17107" priority="1">
      <formula>COUNTIF($B$45:$U$61,"*"&amp;B4&amp;"*")&gt;0</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U46"/>
  <sheetViews>
    <sheetView workbookViewId="0"/>
  </sheetViews>
  <sheetFormatPr baseColWidth="10" defaultColWidth="14.44140625" defaultRowHeight="15" customHeight="1"/>
  <cols>
    <col min="2" max="2" width="29.5546875" customWidth="1"/>
    <col min="4" max="4" width="19.109375" customWidth="1"/>
    <col min="6" max="6" width="17" customWidth="1"/>
    <col min="8" max="8" width="17.44140625" customWidth="1"/>
    <col min="10" max="10" width="18.88671875" customWidth="1"/>
    <col min="12" max="12" width="18.44140625" customWidth="1"/>
  </cols>
  <sheetData>
    <row r="1" spans="1:15">
      <c r="A1" s="70"/>
      <c r="B1" s="138" t="s">
        <v>1281</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77">
        <v>1</v>
      </c>
      <c r="B4" s="82" t="s">
        <v>23</v>
      </c>
      <c r="C4" s="106" t="s">
        <v>386</v>
      </c>
      <c r="D4" s="82" t="s">
        <v>22</v>
      </c>
      <c r="E4" s="106" t="s">
        <v>391</v>
      </c>
      <c r="F4" s="82" t="s">
        <v>62</v>
      </c>
      <c r="G4" s="106" t="s">
        <v>403</v>
      </c>
      <c r="H4" s="70" t="s">
        <v>48</v>
      </c>
      <c r="I4" s="106" t="s">
        <v>388</v>
      </c>
      <c r="J4" s="82" t="s">
        <v>245</v>
      </c>
      <c r="K4" s="106" t="s">
        <v>395</v>
      </c>
      <c r="L4" s="107" t="s">
        <v>177</v>
      </c>
      <c r="M4" s="70"/>
      <c r="N4" s="80" t="s">
        <v>21</v>
      </c>
      <c r="O4" s="79" t="s">
        <v>339</v>
      </c>
    </row>
    <row r="5" spans="1:15">
      <c r="A5" s="77">
        <v>2</v>
      </c>
      <c r="B5" s="82" t="s">
        <v>26</v>
      </c>
      <c r="C5" s="79" t="s">
        <v>410</v>
      </c>
      <c r="D5" s="82" t="s">
        <v>27</v>
      </c>
      <c r="E5" s="79" t="s">
        <v>405</v>
      </c>
      <c r="F5" s="82" t="s">
        <v>71</v>
      </c>
      <c r="G5" s="79" t="s">
        <v>385</v>
      </c>
      <c r="H5" s="70" t="s">
        <v>50</v>
      </c>
      <c r="I5" s="79" t="s">
        <v>387</v>
      </c>
      <c r="J5" s="82" t="s">
        <v>271</v>
      </c>
      <c r="K5" s="79" t="s">
        <v>414</v>
      </c>
      <c r="L5" s="81" t="s">
        <v>221</v>
      </c>
      <c r="M5" s="70"/>
      <c r="N5" s="80" t="s">
        <v>43</v>
      </c>
      <c r="O5" s="79" t="s">
        <v>338</v>
      </c>
    </row>
    <row r="6" spans="1:15">
      <c r="A6" s="77">
        <v>3</v>
      </c>
      <c r="B6" s="82" t="s">
        <v>24</v>
      </c>
      <c r="C6" s="79" t="s">
        <v>395</v>
      </c>
      <c r="D6" s="82" t="s">
        <v>25</v>
      </c>
      <c r="E6" s="79" t="s">
        <v>393</v>
      </c>
      <c r="F6" s="82" t="s">
        <v>74</v>
      </c>
      <c r="G6" s="79" t="s">
        <v>413</v>
      </c>
      <c r="H6" s="82" t="s">
        <v>68</v>
      </c>
      <c r="I6" s="79" t="s">
        <v>416</v>
      </c>
      <c r="J6" s="82" t="s">
        <v>233</v>
      </c>
      <c r="K6" s="79" t="s">
        <v>401</v>
      </c>
      <c r="L6" s="81" t="s">
        <v>152</v>
      </c>
      <c r="M6" s="70"/>
      <c r="N6" s="80" t="s">
        <v>64</v>
      </c>
      <c r="O6" s="79" t="s">
        <v>337</v>
      </c>
    </row>
    <row r="7" spans="1:15">
      <c r="A7" s="77">
        <v>4</v>
      </c>
      <c r="B7" s="82" t="s">
        <v>32</v>
      </c>
      <c r="C7" s="79" t="s">
        <v>413</v>
      </c>
      <c r="D7" s="82" t="s">
        <v>29</v>
      </c>
      <c r="E7" s="79" t="s">
        <v>402</v>
      </c>
      <c r="F7" s="82" t="s">
        <v>103</v>
      </c>
      <c r="G7" s="79" t="s">
        <v>395</v>
      </c>
      <c r="H7" s="82" t="s">
        <v>72</v>
      </c>
      <c r="I7" s="79" t="s">
        <v>410</v>
      </c>
      <c r="J7" s="82" t="s">
        <v>222</v>
      </c>
      <c r="K7" s="79" t="s">
        <v>393</v>
      </c>
      <c r="L7" s="81" t="s">
        <v>201</v>
      </c>
      <c r="M7" s="70"/>
      <c r="N7" s="80" t="s">
        <v>85</v>
      </c>
      <c r="O7" s="79" t="s">
        <v>338</v>
      </c>
    </row>
    <row r="8" spans="1:15">
      <c r="A8" s="77">
        <v>5</v>
      </c>
      <c r="B8" s="82" t="s">
        <v>34</v>
      </c>
      <c r="C8" s="79" t="s">
        <v>403</v>
      </c>
      <c r="D8" s="82" t="s">
        <v>30</v>
      </c>
      <c r="E8" s="79" t="s">
        <v>408</v>
      </c>
      <c r="F8" s="82" t="s">
        <v>96</v>
      </c>
      <c r="G8" s="79" t="s">
        <v>405</v>
      </c>
      <c r="H8" s="82" t="s">
        <v>84</v>
      </c>
      <c r="I8" s="79" t="s">
        <v>391</v>
      </c>
      <c r="J8" s="70" t="s">
        <v>267</v>
      </c>
      <c r="K8" s="79" t="s">
        <v>404</v>
      </c>
      <c r="L8" s="79" t="s">
        <v>254</v>
      </c>
      <c r="M8" s="70"/>
      <c r="N8" s="80" t="s">
        <v>106</v>
      </c>
      <c r="O8" s="79" t="s">
        <v>339</v>
      </c>
    </row>
    <row r="9" spans="1:15">
      <c r="A9" s="77">
        <v>6</v>
      </c>
      <c r="B9" s="82" t="s">
        <v>28</v>
      </c>
      <c r="C9" s="79" t="s">
        <v>404</v>
      </c>
      <c r="D9" s="82" t="s">
        <v>33</v>
      </c>
      <c r="E9" s="79" t="s">
        <v>395</v>
      </c>
      <c r="F9" s="82" t="s">
        <v>101</v>
      </c>
      <c r="G9" s="79" t="s">
        <v>400</v>
      </c>
      <c r="H9" s="82" t="s">
        <v>1282</v>
      </c>
      <c r="I9" s="79" t="s">
        <v>400</v>
      </c>
      <c r="J9" s="70" t="s">
        <v>300</v>
      </c>
      <c r="K9" s="79" t="s">
        <v>388</v>
      </c>
      <c r="L9" s="81" t="s">
        <v>192</v>
      </c>
      <c r="M9" s="70"/>
      <c r="N9" s="80" t="s">
        <v>127</v>
      </c>
      <c r="O9" s="79" t="s">
        <v>340</v>
      </c>
    </row>
    <row r="10" spans="1:15">
      <c r="A10" s="77">
        <v>7</v>
      </c>
      <c r="B10" s="82" t="s">
        <v>60</v>
      </c>
      <c r="C10" s="79" t="s">
        <v>398</v>
      </c>
      <c r="D10" s="82" t="s">
        <v>31</v>
      </c>
      <c r="E10" s="79" t="s">
        <v>397</v>
      </c>
      <c r="F10" s="82" t="s">
        <v>86</v>
      </c>
      <c r="G10" s="79" t="s">
        <v>392</v>
      </c>
      <c r="H10" s="82" t="s">
        <v>117</v>
      </c>
      <c r="I10" s="79" t="s">
        <v>414</v>
      </c>
      <c r="J10" s="70" t="s">
        <v>297</v>
      </c>
      <c r="K10" s="79" t="s">
        <v>410</v>
      </c>
      <c r="L10" s="79" t="s">
        <v>321</v>
      </c>
      <c r="M10" s="70"/>
      <c r="N10" s="80" t="s">
        <v>148</v>
      </c>
      <c r="O10" s="79" t="s">
        <v>339</v>
      </c>
    </row>
    <row r="11" spans="1:15">
      <c r="A11" s="77">
        <v>8</v>
      </c>
      <c r="B11" s="82" t="s">
        <v>39</v>
      </c>
      <c r="C11" s="79" t="s">
        <v>396</v>
      </c>
      <c r="D11" s="82" t="s">
        <v>63</v>
      </c>
      <c r="E11" s="79" t="s">
        <v>399</v>
      </c>
      <c r="F11" s="82" t="s">
        <v>99</v>
      </c>
      <c r="G11" s="79" t="s">
        <v>387</v>
      </c>
      <c r="H11" s="82" t="s">
        <v>119</v>
      </c>
      <c r="I11" s="79" t="s">
        <v>394</v>
      </c>
      <c r="J11" s="70" t="s">
        <v>286</v>
      </c>
      <c r="K11" s="79" t="s">
        <v>411</v>
      </c>
      <c r="L11" s="81" t="s">
        <v>248</v>
      </c>
      <c r="M11" s="70"/>
      <c r="N11" s="80" t="s">
        <v>169</v>
      </c>
      <c r="O11" s="79" t="s">
        <v>341</v>
      </c>
    </row>
    <row r="12" spans="1:15">
      <c r="A12" s="77">
        <v>9</v>
      </c>
      <c r="B12" s="82" t="s">
        <v>37</v>
      </c>
      <c r="C12" s="79" t="s">
        <v>387</v>
      </c>
      <c r="D12" s="82" t="s">
        <v>59</v>
      </c>
      <c r="E12" s="79" t="s">
        <v>410</v>
      </c>
      <c r="F12" s="82" t="s">
        <v>147</v>
      </c>
      <c r="G12" s="79" t="s">
        <v>394</v>
      </c>
      <c r="H12" s="82" t="s">
        <v>146</v>
      </c>
      <c r="I12" s="79" t="s">
        <v>385</v>
      </c>
      <c r="J12" s="82" t="s">
        <v>314</v>
      </c>
      <c r="K12" s="79" t="s">
        <v>400</v>
      </c>
      <c r="L12" s="81" t="s">
        <v>189</v>
      </c>
      <c r="M12" s="70"/>
      <c r="N12" s="80" t="s">
        <v>190</v>
      </c>
      <c r="O12" s="79" t="s">
        <v>338</v>
      </c>
    </row>
    <row r="13" spans="1:15">
      <c r="A13" s="77">
        <v>10</v>
      </c>
      <c r="B13" s="82" t="s">
        <v>58</v>
      </c>
      <c r="C13" s="79" t="s">
        <v>414</v>
      </c>
      <c r="D13" s="82" t="s">
        <v>40</v>
      </c>
      <c r="E13" s="79" t="s">
        <v>386</v>
      </c>
      <c r="F13" s="82" t="s">
        <v>115</v>
      </c>
      <c r="G13" s="79" t="s">
        <v>398</v>
      </c>
      <c r="H13" s="70" t="s">
        <v>128</v>
      </c>
      <c r="I13" s="79" t="s">
        <v>413</v>
      </c>
      <c r="J13" s="70" t="s">
        <v>323</v>
      </c>
      <c r="K13" s="79" t="s">
        <v>390</v>
      </c>
      <c r="L13" s="81" t="s">
        <v>250</v>
      </c>
      <c r="M13" s="70"/>
      <c r="N13" s="80" t="s">
        <v>211</v>
      </c>
      <c r="O13" s="79" t="s">
        <v>339</v>
      </c>
    </row>
    <row r="14" spans="1:15">
      <c r="A14" s="77">
        <v>11</v>
      </c>
      <c r="B14" s="82" t="s">
        <v>41</v>
      </c>
      <c r="C14" s="79" t="s">
        <v>391</v>
      </c>
      <c r="D14" s="82" t="s">
        <v>53</v>
      </c>
      <c r="E14" s="79" t="s">
        <v>391</v>
      </c>
      <c r="F14" s="70" t="s">
        <v>129</v>
      </c>
      <c r="G14" s="79" t="s">
        <v>390</v>
      </c>
      <c r="H14" s="70" t="s">
        <v>130</v>
      </c>
      <c r="I14" s="79" t="s">
        <v>401</v>
      </c>
      <c r="J14" s="70" t="s">
        <v>304</v>
      </c>
      <c r="K14" s="79" t="s">
        <v>387</v>
      </c>
      <c r="L14" s="79" t="s">
        <v>330</v>
      </c>
      <c r="M14" s="70"/>
      <c r="N14" s="80" t="s">
        <v>232</v>
      </c>
      <c r="O14" s="79" t="s">
        <v>337</v>
      </c>
    </row>
    <row r="15" spans="1:15">
      <c r="A15" s="77">
        <v>12</v>
      </c>
      <c r="B15" s="82" t="s">
        <v>61</v>
      </c>
      <c r="C15" s="79" t="s">
        <v>402</v>
      </c>
      <c r="D15" s="82" t="s">
        <v>36</v>
      </c>
      <c r="E15" s="79" t="s">
        <v>404</v>
      </c>
      <c r="F15" s="70" t="s">
        <v>89</v>
      </c>
      <c r="G15" s="79" t="s">
        <v>396</v>
      </c>
      <c r="H15" s="82" t="s">
        <v>186</v>
      </c>
      <c r="I15" s="79" t="s">
        <v>390</v>
      </c>
      <c r="J15" s="82" t="s">
        <v>309</v>
      </c>
      <c r="K15" s="79" t="s">
        <v>416</v>
      </c>
      <c r="L15" s="79" t="s">
        <v>301</v>
      </c>
      <c r="M15" s="70"/>
      <c r="N15" s="80" t="s">
        <v>253</v>
      </c>
      <c r="O15" s="79" t="s">
        <v>342</v>
      </c>
    </row>
    <row r="16" spans="1:15">
      <c r="A16" s="77">
        <v>13</v>
      </c>
      <c r="B16" s="82" t="s">
        <v>51</v>
      </c>
      <c r="C16" s="79" t="s">
        <v>388</v>
      </c>
      <c r="D16" s="82" t="s">
        <v>38</v>
      </c>
      <c r="E16" s="79" t="s">
        <v>401</v>
      </c>
      <c r="F16" s="82" t="s">
        <v>135</v>
      </c>
      <c r="G16" s="79" t="s">
        <v>410</v>
      </c>
      <c r="H16" s="82" t="s">
        <v>108</v>
      </c>
      <c r="I16" s="79" t="s">
        <v>393</v>
      </c>
      <c r="J16" s="70" t="s">
        <v>261</v>
      </c>
      <c r="K16" s="79" t="s">
        <v>397</v>
      </c>
      <c r="L16" s="79" t="s">
        <v>328</v>
      </c>
      <c r="M16" s="70"/>
      <c r="N16" s="80" t="s">
        <v>274</v>
      </c>
      <c r="O16" s="79" t="s">
        <v>338</v>
      </c>
    </row>
    <row r="17" spans="1:21">
      <c r="A17" s="77">
        <v>14</v>
      </c>
      <c r="B17" s="82" t="s">
        <v>52</v>
      </c>
      <c r="C17" s="79" t="s">
        <v>401</v>
      </c>
      <c r="D17" s="82" t="s">
        <v>65</v>
      </c>
      <c r="E17" s="79" t="s">
        <v>402</v>
      </c>
      <c r="F17" s="82" t="s">
        <v>140</v>
      </c>
      <c r="G17" s="79" t="s">
        <v>393</v>
      </c>
      <c r="H17" s="82" t="s">
        <v>164</v>
      </c>
      <c r="I17" s="79" t="s">
        <v>409</v>
      </c>
      <c r="J17" s="70" t="s">
        <v>320</v>
      </c>
      <c r="K17" s="79" t="s">
        <v>402</v>
      </c>
      <c r="L17" s="79" t="s">
        <v>1283</v>
      </c>
      <c r="M17" s="70"/>
      <c r="N17" s="80" t="s">
        <v>295</v>
      </c>
      <c r="O17" s="79" t="s">
        <v>339</v>
      </c>
    </row>
    <row r="18" spans="1:21">
      <c r="A18" s="77">
        <v>15</v>
      </c>
      <c r="B18" s="82" t="s">
        <v>55</v>
      </c>
      <c r="C18" s="79" t="s">
        <v>412</v>
      </c>
      <c r="D18" s="82" t="s">
        <v>54</v>
      </c>
      <c r="E18" s="79" t="s">
        <v>412</v>
      </c>
      <c r="F18" s="82" t="s">
        <v>136</v>
      </c>
      <c r="G18" s="79" t="s">
        <v>388</v>
      </c>
      <c r="H18" s="82" t="s">
        <v>179</v>
      </c>
      <c r="I18" s="79" t="s">
        <v>406</v>
      </c>
      <c r="J18" s="70" t="s">
        <v>326</v>
      </c>
      <c r="K18" s="79" t="s">
        <v>396</v>
      </c>
      <c r="L18" s="79" t="s">
        <v>288</v>
      </c>
      <c r="M18" s="70"/>
      <c r="N18" s="85" t="s">
        <v>316</v>
      </c>
      <c r="O18" s="86" t="s">
        <v>338</v>
      </c>
    </row>
    <row r="19" spans="1:21">
      <c r="A19" s="77">
        <v>16</v>
      </c>
      <c r="B19" s="82" t="s">
        <v>56</v>
      </c>
      <c r="C19" s="79" t="s">
        <v>407</v>
      </c>
      <c r="D19" s="82" t="s">
        <v>67</v>
      </c>
      <c r="E19" s="79" t="s">
        <v>416</v>
      </c>
      <c r="F19" s="70" t="s">
        <v>133</v>
      </c>
      <c r="G19" s="79" t="s">
        <v>406</v>
      </c>
      <c r="H19" s="70" t="s">
        <v>145</v>
      </c>
      <c r="I19" s="79" t="s">
        <v>396</v>
      </c>
      <c r="J19" s="82" t="s">
        <v>310</v>
      </c>
      <c r="K19" s="79" t="s">
        <v>391</v>
      </c>
      <c r="L19" s="81" t="s">
        <v>268</v>
      </c>
      <c r="M19" s="70"/>
      <c r="N19" s="70"/>
      <c r="O19" s="70"/>
    </row>
    <row r="20" spans="1:21">
      <c r="A20" s="77">
        <v>17</v>
      </c>
      <c r="B20" s="70" t="s">
        <v>47</v>
      </c>
      <c r="C20" s="79" t="s">
        <v>389</v>
      </c>
      <c r="D20" s="70" t="s">
        <v>35</v>
      </c>
      <c r="E20" s="79" t="s">
        <v>409</v>
      </c>
      <c r="F20" s="82" t="s">
        <v>1284</v>
      </c>
      <c r="G20" s="79" t="s">
        <v>386</v>
      </c>
      <c r="H20" s="70" t="s">
        <v>142</v>
      </c>
      <c r="I20" s="79" t="s">
        <v>395</v>
      </c>
      <c r="J20" s="70" t="s">
        <v>721</v>
      </c>
      <c r="K20" s="79" t="s">
        <v>412</v>
      </c>
      <c r="L20" s="81" t="s">
        <v>216</v>
      </c>
      <c r="M20" s="70"/>
      <c r="N20" s="70"/>
      <c r="O20" s="70"/>
    </row>
    <row r="21" spans="1:21">
      <c r="A21" s="77">
        <v>18</v>
      </c>
      <c r="B21" s="70" t="s">
        <v>46</v>
      </c>
      <c r="C21" s="79" t="s">
        <v>385</v>
      </c>
      <c r="D21" s="70" t="s">
        <v>45</v>
      </c>
      <c r="E21" s="79" t="s">
        <v>414</v>
      </c>
      <c r="F21" s="82" t="s">
        <v>171</v>
      </c>
      <c r="G21" s="79" t="s">
        <v>416</v>
      </c>
      <c r="H21" s="82" t="s">
        <v>196</v>
      </c>
      <c r="I21" s="79" t="s">
        <v>405</v>
      </c>
      <c r="J21" s="70" t="s">
        <v>273</v>
      </c>
      <c r="K21" s="79" t="s">
        <v>394</v>
      </c>
      <c r="L21" s="79" t="s">
        <v>298</v>
      </c>
      <c r="M21" s="70"/>
      <c r="N21" s="70"/>
      <c r="O21" s="70"/>
    </row>
    <row r="22" spans="1:21">
      <c r="A22" s="77">
        <v>19</v>
      </c>
      <c r="B22" s="70" t="s">
        <v>49</v>
      </c>
      <c r="C22" s="79" t="s">
        <v>406</v>
      </c>
      <c r="D22" s="82" t="s">
        <v>69</v>
      </c>
      <c r="E22" s="79" t="s">
        <v>385</v>
      </c>
      <c r="F22" s="82" t="s">
        <v>206</v>
      </c>
      <c r="G22" s="79" t="s">
        <v>411</v>
      </c>
      <c r="H22" s="82" t="s">
        <v>209</v>
      </c>
      <c r="I22" s="79" t="s">
        <v>404</v>
      </c>
      <c r="J22" s="70" t="s">
        <v>333</v>
      </c>
      <c r="K22" s="79" t="s">
        <v>399</v>
      </c>
      <c r="L22" s="81" t="s">
        <v>272</v>
      </c>
      <c r="M22" s="70"/>
      <c r="N22" s="70"/>
      <c r="O22" s="70"/>
    </row>
    <row r="23" spans="1:21">
      <c r="A23" s="87">
        <v>20</v>
      </c>
      <c r="B23" s="85" t="s">
        <v>57</v>
      </c>
      <c r="C23" s="86" t="s">
        <v>409</v>
      </c>
      <c r="D23" s="108" t="s">
        <v>92</v>
      </c>
      <c r="E23" s="86" t="s">
        <v>400</v>
      </c>
      <c r="F23" s="108" t="s">
        <v>249</v>
      </c>
      <c r="G23" s="86" t="s">
        <v>404</v>
      </c>
      <c r="H23" s="108" t="s">
        <v>231</v>
      </c>
      <c r="I23" s="86" t="s">
        <v>402</v>
      </c>
      <c r="J23" s="72" t="s">
        <v>319</v>
      </c>
      <c r="K23" s="86" t="s">
        <v>405</v>
      </c>
      <c r="L23" s="86" t="s">
        <v>287</v>
      </c>
      <c r="M23" s="70"/>
      <c r="N23" s="70"/>
      <c r="O23" s="70"/>
    </row>
    <row r="31" spans="1:21">
      <c r="A31" s="88" t="s">
        <v>1112</v>
      </c>
      <c r="B31" s="89"/>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66"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66"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66"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66"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66"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66"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66"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66"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66"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66"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66"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66"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66"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66"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66"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3 D4:D23 F4:F23 H4:H23 J4:J23 L4:L23">
    <cfRule type="expression" dxfId="17106" priority="1">
      <formula>COUNTIF($B$32:$U$46,"*"&amp;B4&amp;"*")&gt;0</formula>
    </cfRule>
  </conditionalFormatting>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U46"/>
  <sheetViews>
    <sheetView workbookViewId="0"/>
  </sheetViews>
  <sheetFormatPr baseColWidth="10" defaultColWidth="14.44140625" defaultRowHeight="15" customHeight="1"/>
  <cols>
    <col min="2" max="2" width="28.44140625" customWidth="1"/>
    <col min="4" max="4" width="19.109375" customWidth="1"/>
    <col min="10" max="10" width="18.44140625" customWidth="1"/>
    <col min="12" max="12" width="40" customWidth="1"/>
  </cols>
  <sheetData>
    <row r="1" spans="1:15">
      <c r="A1" s="70"/>
      <c r="B1" s="138" t="s">
        <v>1285</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77">
        <v>1</v>
      </c>
      <c r="B4" s="78" t="s">
        <v>23</v>
      </c>
      <c r="C4" s="70" t="s">
        <v>386</v>
      </c>
      <c r="D4" s="109" t="s">
        <v>22</v>
      </c>
      <c r="E4" s="106" t="s">
        <v>391</v>
      </c>
      <c r="F4" s="82" t="s">
        <v>62</v>
      </c>
      <c r="G4" s="70" t="s">
        <v>403</v>
      </c>
      <c r="H4" s="110" t="s">
        <v>48</v>
      </c>
      <c r="I4" s="106" t="s">
        <v>388</v>
      </c>
      <c r="J4" s="109" t="s">
        <v>222</v>
      </c>
      <c r="K4" s="106" t="s">
        <v>393</v>
      </c>
      <c r="L4" s="81" t="s">
        <v>189</v>
      </c>
      <c r="M4" s="70"/>
      <c r="N4" s="80" t="s">
        <v>21</v>
      </c>
      <c r="O4" s="79" t="s">
        <v>338</v>
      </c>
    </row>
    <row r="5" spans="1:15">
      <c r="A5" s="77">
        <v>2</v>
      </c>
      <c r="B5" s="78" t="s">
        <v>26</v>
      </c>
      <c r="C5" s="70" t="s">
        <v>410</v>
      </c>
      <c r="D5" s="78" t="s">
        <v>25</v>
      </c>
      <c r="E5" s="79" t="s">
        <v>393</v>
      </c>
      <c r="F5" s="82" t="s">
        <v>74</v>
      </c>
      <c r="G5" s="70" t="s">
        <v>413</v>
      </c>
      <c r="H5" s="80" t="s">
        <v>50</v>
      </c>
      <c r="I5" s="79" t="s">
        <v>387</v>
      </c>
      <c r="J5" s="78" t="s">
        <v>233</v>
      </c>
      <c r="K5" s="79" t="s">
        <v>401</v>
      </c>
      <c r="L5" s="81" t="s">
        <v>192</v>
      </c>
      <c r="M5" s="70"/>
      <c r="N5" s="80" t="s">
        <v>43</v>
      </c>
      <c r="O5" s="79" t="s">
        <v>339</v>
      </c>
    </row>
    <row r="6" spans="1:15">
      <c r="A6" s="77">
        <v>3</v>
      </c>
      <c r="B6" s="78" t="s">
        <v>24</v>
      </c>
      <c r="C6" s="70" t="s">
        <v>395</v>
      </c>
      <c r="D6" s="78" t="s">
        <v>29</v>
      </c>
      <c r="E6" s="79" t="s">
        <v>402</v>
      </c>
      <c r="F6" s="82" t="s">
        <v>71</v>
      </c>
      <c r="G6" s="70" t="s">
        <v>385</v>
      </c>
      <c r="H6" s="78" t="s">
        <v>84</v>
      </c>
      <c r="I6" s="79" t="s">
        <v>391</v>
      </c>
      <c r="J6" s="78" t="s">
        <v>245</v>
      </c>
      <c r="K6" s="79" t="s">
        <v>395</v>
      </c>
      <c r="L6" s="81" t="s">
        <v>152</v>
      </c>
      <c r="M6" s="70"/>
      <c r="N6" s="80" t="s">
        <v>64</v>
      </c>
      <c r="O6" s="79" t="s">
        <v>338</v>
      </c>
    </row>
    <row r="7" spans="1:15">
      <c r="A7" s="77">
        <v>4</v>
      </c>
      <c r="B7" s="78" t="s">
        <v>32</v>
      </c>
      <c r="C7" s="70" t="s">
        <v>413</v>
      </c>
      <c r="D7" s="78" t="s">
        <v>1286</v>
      </c>
      <c r="E7" s="79" t="s">
        <v>405</v>
      </c>
      <c r="F7" s="82" t="s">
        <v>1287</v>
      </c>
      <c r="G7" s="70" t="s">
        <v>395</v>
      </c>
      <c r="H7" s="78" t="s">
        <v>68</v>
      </c>
      <c r="I7" s="79" t="s">
        <v>416</v>
      </c>
      <c r="J7" s="78" t="s">
        <v>1288</v>
      </c>
      <c r="K7" s="79" t="s">
        <v>414</v>
      </c>
      <c r="L7" s="81" t="s">
        <v>201</v>
      </c>
      <c r="M7" s="70"/>
      <c r="N7" s="80" t="s">
        <v>85</v>
      </c>
      <c r="O7" s="79" t="s">
        <v>340</v>
      </c>
    </row>
    <row r="8" spans="1:15">
      <c r="A8" s="77">
        <v>5</v>
      </c>
      <c r="B8" s="82" t="s">
        <v>1289</v>
      </c>
      <c r="C8" s="70" t="s">
        <v>403</v>
      </c>
      <c r="D8" s="78" t="s">
        <v>63</v>
      </c>
      <c r="E8" s="79" t="s">
        <v>1276</v>
      </c>
      <c r="F8" s="82" t="s">
        <v>96</v>
      </c>
      <c r="G8" s="70" t="s">
        <v>405</v>
      </c>
      <c r="H8" s="78" t="s">
        <v>72</v>
      </c>
      <c r="I8" s="79" t="s">
        <v>410</v>
      </c>
      <c r="J8" s="78" t="s">
        <v>1290</v>
      </c>
      <c r="K8" s="79" t="s">
        <v>397</v>
      </c>
      <c r="L8" s="81" t="s">
        <v>177</v>
      </c>
      <c r="M8" s="70"/>
      <c r="N8" s="80" t="s">
        <v>106</v>
      </c>
      <c r="O8" s="79" t="s">
        <v>337</v>
      </c>
    </row>
    <row r="9" spans="1:15">
      <c r="A9" s="77">
        <v>6</v>
      </c>
      <c r="B9" s="82" t="s">
        <v>28</v>
      </c>
      <c r="C9" s="70" t="s">
        <v>404</v>
      </c>
      <c r="D9" s="78" t="s">
        <v>31</v>
      </c>
      <c r="E9" s="79" t="s">
        <v>397</v>
      </c>
      <c r="F9" s="82" t="s">
        <v>101</v>
      </c>
      <c r="G9" s="70" t="s">
        <v>400</v>
      </c>
      <c r="H9" s="78" t="s">
        <v>1282</v>
      </c>
      <c r="I9" s="79" t="s">
        <v>400</v>
      </c>
      <c r="J9" s="80" t="s">
        <v>314</v>
      </c>
      <c r="K9" s="79" t="s">
        <v>400</v>
      </c>
      <c r="L9" s="81" t="s">
        <v>221</v>
      </c>
      <c r="M9" s="70"/>
      <c r="N9" s="80" t="s">
        <v>127</v>
      </c>
      <c r="O9" s="79" t="s">
        <v>339</v>
      </c>
    </row>
    <row r="10" spans="1:15">
      <c r="A10" s="77">
        <v>7</v>
      </c>
      <c r="B10" s="78" t="s">
        <v>60</v>
      </c>
      <c r="C10" s="70" t="s">
        <v>398</v>
      </c>
      <c r="D10" s="78" t="s">
        <v>33</v>
      </c>
      <c r="E10" s="79" t="s">
        <v>395</v>
      </c>
      <c r="F10" s="82" t="s">
        <v>99</v>
      </c>
      <c r="G10" s="70" t="s">
        <v>387</v>
      </c>
      <c r="H10" s="80"/>
      <c r="I10" s="79"/>
      <c r="J10" s="80" t="s">
        <v>286</v>
      </c>
      <c r="K10" s="79" t="s">
        <v>411</v>
      </c>
      <c r="L10" s="86"/>
      <c r="M10" s="70"/>
      <c r="N10" s="80" t="s">
        <v>148</v>
      </c>
      <c r="O10" s="79" t="s">
        <v>338</v>
      </c>
    </row>
    <row r="11" spans="1:15">
      <c r="A11" s="77">
        <v>8</v>
      </c>
      <c r="B11" s="82" t="s">
        <v>1291</v>
      </c>
      <c r="C11" s="70" t="s">
        <v>396</v>
      </c>
      <c r="D11" s="78" t="s">
        <v>30</v>
      </c>
      <c r="E11" s="79" t="s">
        <v>408</v>
      </c>
      <c r="F11" s="82" t="s">
        <v>1292</v>
      </c>
      <c r="G11" s="70" t="s">
        <v>394</v>
      </c>
      <c r="H11" s="80"/>
      <c r="I11" s="79"/>
      <c r="J11" s="80"/>
      <c r="K11" s="79"/>
      <c r="L11" s="111"/>
      <c r="M11" s="70"/>
      <c r="N11" s="80" t="s">
        <v>169</v>
      </c>
      <c r="O11" s="79" t="s">
        <v>339</v>
      </c>
    </row>
    <row r="12" spans="1:15">
      <c r="A12" s="77">
        <v>9</v>
      </c>
      <c r="B12" s="82" t="s">
        <v>58</v>
      </c>
      <c r="C12" s="70" t="s">
        <v>414</v>
      </c>
      <c r="D12" s="78" t="s">
        <v>40</v>
      </c>
      <c r="E12" s="79" t="s">
        <v>386</v>
      </c>
      <c r="F12" s="70"/>
      <c r="G12" s="70"/>
      <c r="H12" s="80"/>
      <c r="I12" s="79"/>
      <c r="J12" s="80"/>
      <c r="K12" s="79"/>
      <c r="L12" s="111"/>
      <c r="M12" s="70"/>
      <c r="N12" s="80" t="s">
        <v>190</v>
      </c>
      <c r="O12" s="79" t="s">
        <v>341</v>
      </c>
    </row>
    <row r="13" spans="1:15">
      <c r="A13" s="77">
        <v>10</v>
      </c>
      <c r="B13" s="80"/>
      <c r="C13" s="70"/>
      <c r="D13" s="78" t="s">
        <v>1293</v>
      </c>
      <c r="E13" s="79" t="s">
        <v>401</v>
      </c>
      <c r="F13" s="70"/>
      <c r="G13" s="70"/>
      <c r="H13" s="80"/>
      <c r="I13" s="79"/>
      <c r="J13" s="80"/>
      <c r="K13" s="79"/>
      <c r="L13" s="111"/>
      <c r="M13" s="70"/>
      <c r="N13" s="80" t="s">
        <v>211</v>
      </c>
      <c r="O13" s="79" t="s">
        <v>342</v>
      </c>
    </row>
    <row r="14" spans="1:15">
      <c r="A14" s="77">
        <v>11</v>
      </c>
      <c r="B14" s="80"/>
      <c r="C14" s="70"/>
      <c r="D14" s="80"/>
      <c r="E14" s="79"/>
      <c r="F14" s="70"/>
      <c r="G14" s="70"/>
      <c r="H14" s="80"/>
      <c r="I14" s="79"/>
      <c r="J14" s="80"/>
      <c r="K14" s="79"/>
      <c r="L14" s="111"/>
      <c r="M14" s="70"/>
      <c r="N14" s="80" t="s">
        <v>232</v>
      </c>
      <c r="O14" s="79" t="s">
        <v>338</v>
      </c>
    </row>
    <row r="15" spans="1:15">
      <c r="A15" s="77">
        <v>12</v>
      </c>
      <c r="B15" s="80"/>
      <c r="C15" s="70"/>
      <c r="D15" s="80"/>
      <c r="E15" s="79"/>
      <c r="F15" s="70"/>
      <c r="G15" s="70"/>
      <c r="H15" s="80"/>
      <c r="I15" s="79"/>
      <c r="J15" s="80"/>
      <c r="K15" s="79"/>
      <c r="L15" s="111"/>
      <c r="M15" s="70"/>
      <c r="N15" s="80" t="s">
        <v>253</v>
      </c>
      <c r="O15" s="79" t="s">
        <v>339</v>
      </c>
    </row>
    <row r="16" spans="1:15">
      <c r="A16" s="77">
        <v>13</v>
      </c>
      <c r="B16" s="80"/>
      <c r="C16" s="70"/>
      <c r="D16" s="80"/>
      <c r="E16" s="79"/>
      <c r="F16" s="70"/>
      <c r="G16" s="70"/>
      <c r="H16" s="80"/>
      <c r="I16" s="79"/>
      <c r="J16" s="80"/>
      <c r="K16" s="79"/>
      <c r="L16" s="111"/>
      <c r="M16" s="70"/>
      <c r="N16" s="80" t="s">
        <v>274</v>
      </c>
      <c r="O16" s="79" t="s">
        <v>337</v>
      </c>
    </row>
    <row r="17" spans="1:21">
      <c r="A17" s="77">
        <v>14</v>
      </c>
      <c r="B17" s="80"/>
      <c r="C17" s="70"/>
      <c r="D17" s="80"/>
      <c r="E17" s="79"/>
      <c r="F17" s="70"/>
      <c r="G17" s="70"/>
      <c r="H17" s="80"/>
      <c r="I17" s="79"/>
      <c r="J17" s="80"/>
      <c r="K17" s="79"/>
      <c r="L17" s="111"/>
      <c r="M17" s="70"/>
      <c r="N17" s="80" t="s">
        <v>295</v>
      </c>
      <c r="O17" s="79" t="s">
        <v>338</v>
      </c>
    </row>
    <row r="18" spans="1:21">
      <c r="A18" s="77">
        <v>15</v>
      </c>
      <c r="B18" s="80"/>
      <c r="C18" s="70"/>
      <c r="D18" s="80"/>
      <c r="E18" s="79"/>
      <c r="F18" s="70"/>
      <c r="G18" s="70"/>
      <c r="H18" s="80"/>
      <c r="I18" s="79"/>
      <c r="J18" s="80"/>
      <c r="K18" s="79"/>
      <c r="L18" s="111"/>
      <c r="M18" s="70"/>
      <c r="N18" s="85" t="s">
        <v>316</v>
      </c>
      <c r="O18" s="86" t="s">
        <v>339</v>
      </c>
    </row>
    <row r="19" spans="1:21">
      <c r="A19" s="77">
        <v>16</v>
      </c>
      <c r="B19" s="80"/>
      <c r="C19" s="70"/>
      <c r="D19" s="80"/>
      <c r="E19" s="79"/>
      <c r="F19" s="70"/>
      <c r="G19" s="70"/>
      <c r="H19" s="80"/>
      <c r="I19" s="79"/>
      <c r="J19" s="80"/>
      <c r="K19" s="79"/>
      <c r="L19" s="111"/>
      <c r="M19" s="70"/>
      <c r="N19" s="70"/>
      <c r="O19" s="70"/>
    </row>
    <row r="20" spans="1:21">
      <c r="A20" s="77">
        <v>17</v>
      </c>
      <c r="B20" s="80"/>
      <c r="C20" s="70"/>
      <c r="D20" s="80"/>
      <c r="E20" s="79"/>
      <c r="F20" s="70"/>
      <c r="G20" s="70"/>
      <c r="H20" s="80"/>
      <c r="I20" s="79"/>
      <c r="J20" s="80"/>
      <c r="K20" s="79"/>
      <c r="L20" s="111"/>
      <c r="M20" s="70"/>
      <c r="N20" s="70"/>
      <c r="O20" s="70"/>
    </row>
    <row r="21" spans="1:21">
      <c r="A21" s="77">
        <v>18</v>
      </c>
      <c r="B21" s="80"/>
      <c r="C21" s="70"/>
      <c r="D21" s="80"/>
      <c r="E21" s="79"/>
      <c r="F21" s="70"/>
      <c r="G21" s="70"/>
      <c r="H21" s="80"/>
      <c r="I21" s="79"/>
      <c r="J21" s="80"/>
      <c r="K21" s="79"/>
      <c r="L21" s="111"/>
      <c r="M21" s="70"/>
      <c r="N21" s="70"/>
      <c r="O21" s="70"/>
    </row>
    <row r="22" spans="1:21">
      <c r="A22" s="77">
        <v>19</v>
      </c>
      <c r="B22" s="80"/>
      <c r="C22" s="70"/>
      <c r="D22" s="80"/>
      <c r="E22" s="79"/>
      <c r="F22" s="70"/>
      <c r="G22" s="70"/>
      <c r="H22" s="80"/>
      <c r="I22" s="79"/>
      <c r="J22" s="80"/>
      <c r="K22" s="79"/>
      <c r="L22" s="111"/>
      <c r="M22" s="70"/>
      <c r="N22" s="70"/>
      <c r="O22" s="70"/>
    </row>
    <row r="23" spans="1:21">
      <c r="A23" s="87">
        <v>20</v>
      </c>
      <c r="B23" s="85"/>
      <c r="C23" s="72"/>
      <c r="D23" s="85"/>
      <c r="E23" s="86"/>
      <c r="F23" s="72"/>
      <c r="G23" s="72"/>
      <c r="H23" s="85"/>
      <c r="I23" s="86"/>
      <c r="J23" s="85"/>
      <c r="K23" s="86"/>
      <c r="L23" s="112"/>
      <c r="M23" s="70"/>
      <c r="N23" s="70"/>
      <c r="O23" s="70"/>
    </row>
    <row r="31" spans="1:21">
      <c r="A31" s="88" t="s">
        <v>1112</v>
      </c>
      <c r="B31" s="89"/>
      <c r="C31" s="70"/>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2"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2"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2"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2"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2"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2"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2"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2"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2"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2"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2"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2"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2"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2"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2"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3 D4:D23 F4:F23 H4:H23 J4:J23 L4:L23">
    <cfRule type="expression" dxfId="17105" priority="1">
      <formula>COUNTIF($B$32:$U$46,"*"&amp;B4&amp;"*")&gt;0</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0"/>
      <c r="B1" s="138"/>
      <c r="C1" s="139"/>
      <c r="D1" s="70"/>
      <c r="E1" s="70"/>
      <c r="F1" s="70"/>
      <c r="G1" s="70"/>
      <c r="H1" s="70"/>
      <c r="I1" s="70"/>
      <c r="J1" s="70"/>
      <c r="K1" s="70"/>
      <c r="L1" s="70"/>
      <c r="M1" s="70"/>
      <c r="N1" s="70"/>
      <c r="O1" s="70"/>
      <c r="P1" s="70"/>
    </row>
    <row r="2" spans="1:16">
      <c r="A2" s="70"/>
      <c r="B2" s="70"/>
      <c r="C2" s="70"/>
      <c r="D2" s="70"/>
      <c r="E2" s="70"/>
      <c r="F2" s="70"/>
      <c r="G2" s="70"/>
      <c r="H2" s="70"/>
      <c r="I2" s="70"/>
      <c r="J2" s="70"/>
      <c r="K2" s="70"/>
      <c r="L2" s="70"/>
      <c r="M2" s="70"/>
      <c r="N2" s="71" t="s">
        <v>1095</v>
      </c>
      <c r="O2" s="72"/>
      <c r="P2" s="70"/>
    </row>
    <row r="3" spans="1:16">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row>
    <row r="4" spans="1:16">
      <c r="A4" s="77">
        <v>1</v>
      </c>
      <c r="B4" s="80"/>
      <c r="C4" s="79"/>
      <c r="D4" s="80"/>
      <c r="E4" s="79"/>
      <c r="F4" s="80"/>
      <c r="G4" s="79"/>
      <c r="H4" s="80"/>
      <c r="I4" s="79"/>
      <c r="J4" s="80"/>
      <c r="K4" s="79"/>
      <c r="L4" s="79"/>
      <c r="M4" s="70"/>
      <c r="N4" s="80" t="s">
        <v>21</v>
      </c>
      <c r="O4" s="79" t="s">
        <v>338</v>
      </c>
      <c r="P4" s="70"/>
    </row>
    <row r="5" spans="1:16">
      <c r="A5" s="77">
        <v>2</v>
      </c>
      <c r="B5" s="80"/>
      <c r="C5" s="79"/>
      <c r="D5" s="80"/>
      <c r="E5" s="79"/>
      <c r="F5" s="80"/>
      <c r="G5" s="79"/>
      <c r="H5" s="80"/>
      <c r="I5" s="79"/>
      <c r="J5" s="80"/>
      <c r="K5" s="79"/>
      <c r="L5" s="79"/>
      <c r="M5" s="70"/>
      <c r="N5" s="80" t="s">
        <v>43</v>
      </c>
      <c r="O5" s="79" t="s">
        <v>338</v>
      </c>
      <c r="P5" s="70"/>
    </row>
    <row r="6" spans="1:16">
      <c r="A6" s="77">
        <v>3</v>
      </c>
      <c r="B6" s="80"/>
      <c r="C6" s="79"/>
      <c r="D6" s="80"/>
      <c r="E6" s="79"/>
      <c r="F6" s="80"/>
      <c r="G6" s="79"/>
      <c r="H6" s="80"/>
      <c r="I6" s="79"/>
      <c r="J6" s="80"/>
      <c r="K6" s="79"/>
      <c r="L6" s="79"/>
      <c r="M6" s="70"/>
      <c r="N6" s="80" t="s">
        <v>64</v>
      </c>
      <c r="O6" s="79" t="s">
        <v>339</v>
      </c>
      <c r="P6" s="70"/>
    </row>
    <row r="7" spans="1:16">
      <c r="A7" s="77">
        <v>4</v>
      </c>
      <c r="B7" s="80"/>
      <c r="C7" s="79"/>
      <c r="D7" s="80"/>
      <c r="E7" s="79"/>
      <c r="F7" s="80"/>
      <c r="G7" s="79"/>
      <c r="H7" s="80"/>
      <c r="I7" s="79"/>
      <c r="J7" s="80"/>
      <c r="K7" s="79"/>
      <c r="L7" s="79"/>
      <c r="M7" s="70"/>
      <c r="N7" s="80" t="s">
        <v>85</v>
      </c>
      <c r="O7" s="79" t="s">
        <v>339</v>
      </c>
      <c r="P7" s="70"/>
    </row>
    <row r="8" spans="1:16">
      <c r="A8" s="77">
        <v>5</v>
      </c>
      <c r="B8" s="80"/>
      <c r="C8" s="79"/>
      <c r="D8" s="80"/>
      <c r="E8" s="79"/>
      <c r="F8" s="80"/>
      <c r="G8" s="79"/>
      <c r="H8" s="80"/>
      <c r="I8" s="79"/>
      <c r="J8" s="80"/>
      <c r="K8" s="79"/>
      <c r="L8" s="79"/>
      <c r="M8" s="70"/>
      <c r="N8" s="80" t="s">
        <v>106</v>
      </c>
      <c r="O8" s="79" t="s">
        <v>337</v>
      </c>
      <c r="P8" s="70"/>
    </row>
    <row r="9" spans="1:16">
      <c r="A9" s="77">
        <v>6</v>
      </c>
      <c r="B9" s="80"/>
      <c r="C9" s="79"/>
      <c r="D9" s="80"/>
      <c r="E9" s="79"/>
      <c r="F9" s="80"/>
      <c r="G9" s="79"/>
      <c r="H9" s="80"/>
      <c r="I9" s="79"/>
      <c r="J9" s="80"/>
      <c r="K9" s="79"/>
      <c r="L9" s="79"/>
      <c r="M9" s="70"/>
      <c r="N9" s="80" t="s">
        <v>127</v>
      </c>
      <c r="O9" s="79" t="s">
        <v>340</v>
      </c>
      <c r="P9" s="70"/>
    </row>
    <row r="10" spans="1:16">
      <c r="A10" s="77">
        <v>7</v>
      </c>
      <c r="B10" s="80"/>
      <c r="C10" s="79"/>
      <c r="D10" s="80"/>
      <c r="E10" s="79"/>
      <c r="F10" s="80"/>
      <c r="G10" s="79"/>
      <c r="H10" s="80"/>
      <c r="I10" s="79"/>
      <c r="J10" s="80"/>
      <c r="K10" s="79"/>
      <c r="L10" s="79"/>
      <c r="M10" s="70"/>
      <c r="N10" s="80" t="s">
        <v>148</v>
      </c>
      <c r="O10" s="79" t="s">
        <v>339</v>
      </c>
      <c r="P10" s="70"/>
    </row>
    <row r="11" spans="1:16">
      <c r="A11" s="77">
        <v>8</v>
      </c>
      <c r="B11" s="80"/>
      <c r="C11" s="79"/>
      <c r="D11" s="80"/>
      <c r="E11" s="79"/>
      <c r="F11" s="80"/>
      <c r="G11" s="79"/>
      <c r="H11" s="80"/>
      <c r="I11" s="79"/>
      <c r="J11" s="80"/>
      <c r="K11" s="79"/>
      <c r="L11" s="79"/>
      <c r="M11" s="70"/>
      <c r="N11" s="80" t="s">
        <v>169</v>
      </c>
      <c r="O11" s="79" t="s">
        <v>338</v>
      </c>
      <c r="P11" s="70"/>
    </row>
    <row r="12" spans="1:16">
      <c r="A12" s="77">
        <v>9</v>
      </c>
      <c r="B12" s="80"/>
      <c r="C12" s="79"/>
      <c r="D12" s="80"/>
      <c r="E12" s="79"/>
      <c r="F12" s="80"/>
      <c r="G12" s="79"/>
      <c r="H12" s="80"/>
      <c r="I12" s="79"/>
      <c r="J12" s="80"/>
      <c r="K12" s="79"/>
      <c r="L12" s="79"/>
      <c r="M12" s="70"/>
      <c r="N12" s="80" t="s">
        <v>190</v>
      </c>
      <c r="O12" s="79" t="s">
        <v>339</v>
      </c>
      <c r="P12" s="70"/>
    </row>
    <row r="13" spans="1:16">
      <c r="A13" s="77">
        <v>10</v>
      </c>
      <c r="B13" s="80"/>
      <c r="C13" s="79"/>
      <c r="D13" s="80"/>
      <c r="E13" s="79"/>
      <c r="F13" s="80"/>
      <c r="G13" s="79"/>
      <c r="H13" s="80"/>
      <c r="I13" s="79"/>
      <c r="J13" s="80"/>
      <c r="K13" s="79"/>
      <c r="L13" s="79"/>
      <c r="M13" s="70"/>
      <c r="N13" s="80" t="s">
        <v>211</v>
      </c>
      <c r="O13" s="79" t="s">
        <v>340</v>
      </c>
      <c r="P13" s="70"/>
    </row>
    <row r="14" spans="1:16">
      <c r="A14" s="77">
        <v>11</v>
      </c>
      <c r="B14" s="80"/>
      <c r="C14" s="79"/>
      <c r="D14" s="80"/>
      <c r="E14" s="79"/>
      <c r="F14" s="80"/>
      <c r="G14" s="79"/>
      <c r="H14" s="80"/>
      <c r="I14" s="79"/>
      <c r="J14" s="80"/>
      <c r="K14" s="79"/>
      <c r="L14" s="79"/>
      <c r="M14" s="70"/>
      <c r="N14" s="80" t="s">
        <v>232</v>
      </c>
      <c r="O14" s="79" t="s">
        <v>342</v>
      </c>
      <c r="P14" s="70"/>
    </row>
    <row r="15" spans="1:16">
      <c r="A15" s="77">
        <v>12</v>
      </c>
      <c r="B15" s="104"/>
      <c r="C15" s="84"/>
      <c r="D15" s="80"/>
      <c r="E15" s="79"/>
      <c r="F15" s="80"/>
      <c r="G15" s="79"/>
      <c r="H15" s="80"/>
      <c r="I15" s="79"/>
      <c r="J15" s="80"/>
      <c r="K15" s="79"/>
      <c r="L15" s="79"/>
      <c r="M15" s="70"/>
      <c r="N15" s="80" t="s">
        <v>253</v>
      </c>
      <c r="O15" s="79" t="s">
        <v>337</v>
      </c>
      <c r="P15" s="70"/>
    </row>
    <row r="16" spans="1:16">
      <c r="A16" s="77">
        <v>13</v>
      </c>
      <c r="B16" s="80"/>
      <c r="C16" s="79"/>
      <c r="D16" s="80"/>
      <c r="E16" s="79"/>
      <c r="F16" s="80"/>
      <c r="G16" s="79"/>
      <c r="H16" s="80"/>
      <c r="I16" s="79"/>
      <c r="J16" s="80"/>
      <c r="K16" s="79"/>
      <c r="L16" s="79"/>
      <c r="M16" s="70"/>
      <c r="N16" s="80" t="s">
        <v>274</v>
      </c>
      <c r="O16" s="79" t="s">
        <v>341</v>
      </c>
      <c r="P16" s="70"/>
    </row>
    <row r="17" spans="1:16">
      <c r="A17" s="77">
        <v>14</v>
      </c>
      <c r="B17" s="80"/>
      <c r="C17" s="79"/>
      <c r="D17" s="80"/>
      <c r="E17" s="79"/>
      <c r="F17" s="80"/>
      <c r="G17" s="79"/>
      <c r="H17" s="80"/>
      <c r="I17" s="79"/>
      <c r="J17" s="80"/>
      <c r="K17" s="79"/>
      <c r="L17" s="79"/>
      <c r="M17" s="70"/>
      <c r="N17" s="80" t="s">
        <v>295</v>
      </c>
      <c r="O17" s="79" t="s">
        <v>339</v>
      </c>
      <c r="P17" s="70"/>
    </row>
    <row r="18" spans="1:16">
      <c r="A18" s="77">
        <v>15</v>
      </c>
      <c r="B18" s="80"/>
      <c r="C18" s="79"/>
      <c r="D18" s="80"/>
      <c r="E18" s="79"/>
      <c r="F18" s="80"/>
      <c r="G18" s="79"/>
      <c r="H18" s="80"/>
      <c r="I18" s="79"/>
      <c r="J18" s="80"/>
      <c r="K18" s="79"/>
      <c r="L18" s="79"/>
      <c r="M18" s="70"/>
      <c r="N18" s="85" t="s">
        <v>316</v>
      </c>
      <c r="O18" s="86" t="s">
        <v>338</v>
      </c>
      <c r="P18" s="70"/>
    </row>
    <row r="19" spans="1:16">
      <c r="A19" s="77">
        <v>16</v>
      </c>
      <c r="B19" s="80"/>
      <c r="C19" s="79"/>
      <c r="D19" s="80"/>
      <c r="E19" s="79"/>
      <c r="F19" s="80"/>
      <c r="G19" s="79"/>
      <c r="H19" s="80"/>
      <c r="I19" s="79"/>
      <c r="J19" s="80"/>
      <c r="K19" s="79"/>
      <c r="L19" s="79"/>
      <c r="M19" s="70"/>
      <c r="N19" s="70"/>
      <c r="O19" s="70"/>
      <c r="P19" s="70"/>
    </row>
    <row r="20" spans="1:16">
      <c r="A20" s="77">
        <v>17</v>
      </c>
      <c r="B20" s="80"/>
      <c r="C20" s="79"/>
      <c r="D20" s="80"/>
      <c r="E20" s="79"/>
      <c r="F20" s="80"/>
      <c r="G20" s="79"/>
      <c r="H20" s="80"/>
      <c r="I20" s="79"/>
      <c r="J20" s="80"/>
      <c r="K20" s="79"/>
      <c r="L20" s="79"/>
      <c r="M20" s="70"/>
      <c r="N20" s="70"/>
      <c r="O20" s="70"/>
      <c r="P20" s="70"/>
    </row>
    <row r="21" spans="1:16">
      <c r="A21" s="77">
        <v>18</v>
      </c>
      <c r="B21" s="80"/>
      <c r="C21" s="79"/>
      <c r="D21" s="80"/>
      <c r="E21" s="79"/>
      <c r="F21" s="80"/>
      <c r="G21" s="79"/>
      <c r="H21" s="80"/>
      <c r="I21" s="79"/>
      <c r="J21" s="80"/>
      <c r="K21" s="79"/>
      <c r="L21" s="79"/>
      <c r="M21" s="70"/>
      <c r="N21" s="70"/>
      <c r="O21" s="70"/>
      <c r="P21" s="70"/>
    </row>
    <row r="22" spans="1:16">
      <c r="A22" s="77">
        <v>19</v>
      </c>
      <c r="B22" s="80"/>
      <c r="C22" s="79"/>
      <c r="D22" s="80"/>
      <c r="E22" s="79"/>
      <c r="F22" s="80"/>
      <c r="G22" s="79"/>
      <c r="H22" s="80"/>
      <c r="I22" s="79"/>
      <c r="J22" s="80"/>
      <c r="K22" s="79"/>
      <c r="L22" s="79"/>
      <c r="M22" s="70"/>
      <c r="N22" s="70"/>
      <c r="O22" s="70"/>
      <c r="P22" s="70"/>
    </row>
    <row r="23" spans="1:16">
      <c r="A23" s="87">
        <v>20</v>
      </c>
      <c r="B23" s="85"/>
      <c r="C23" s="86"/>
      <c r="D23" s="85"/>
      <c r="E23" s="86"/>
      <c r="F23" s="85"/>
      <c r="G23" s="86"/>
      <c r="H23" s="85"/>
      <c r="I23" s="86"/>
      <c r="J23" s="85"/>
      <c r="K23" s="86"/>
      <c r="L23" s="86"/>
      <c r="M23" s="70"/>
      <c r="N23" s="70"/>
      <c r="O23" s="70"/>
      <c r="P23" s="70"/>
    </row>
  </sheetData>
  <mergeCells count="2">
    <mergeCell ref="B1:C1"/>
    <mergeCell ref="N3:O3"/>
  </mergeCells>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U46"/>
  <sheetViews>
    <sheetView workbookViewId="0"/>
  </sheetViews>
  <sheetFormatPr baseColWidth="10" defaultColWidth="14.44140625" defaultRowHeight="15" customHeight="1"/>
  <cols>
    <col min="2" max="2" width="22.5546875" customWidth="1"/>
    <col min="4" max="4" width="19.109375" customWidth="1"/>
    <col min="6" max="6" width="20" customWidth="1"/>
    <col min="8" max="8" width="19" customWidth="1"/>
    <col min="10" max="10" width="20" customWidth="1"/>
    <col min="12" max="12" width="25.109375" customWidth="1"/>
  </cols>
  <sheetData>
    <row r="1" spans="1:15">
      <c r="A1" s="70"/>
      <c r="B1" s="138" t="s">
        <v>1294</v>
      </c>
      <c r="C1" s="139"/>
      <c r="D1" s="70"/>
      <c r="E1" s="70"/>
      <c r="F1" s="70"/>
      <c r="G1" s="70"/>
      <c r="H1" s="70"/>
      <c r="I1" s="70"/>
      <c r="J1" s="70"/>
      <c r="K1" s="70"/>
      <c r="L1" s="70"/>
      <c r="M1" s="70"/>
      <c r="N1" s="70"/>
      <c r="O1" s="70"/>
    </row>
    <row r="2" spans="1:15">
      <c r="A2" s="70"/>
      <c r="B2" s="70"/>
      <c r="C2" s="70"/>
      <c r="D2" s="70"/>
      <c r="E2" s="70"/>
      <c r="F2" s="70"/>
      <c r="G2" s="70"/>
      <c r="H2" s="70"/>
      <c r="I2" s="70"/>
      <c r="J2" s="70"/>
      <c r="K2" s="70"/>
      <c r="L2" s="70"/>
      <c r="M2" s="70"/>
      <c r="N2" s="71" t="s">
        <v>1095</v>
      </c>
      <c r="O2" s="72"/>
    </row>
    <row r="3" spans="1:1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row>
    <row r="4" spans="1:15">
      <c r="A4" s="113">
        <v>1</v>
      </c>
      <c r="B4" s="114" t="s">
        <v>23</v>
      </c>
      <c r="C4" s="115" t="s">
        <v>325</v>
      </c>
      <c r="D4" s="114" t="s">
        <v>1295</v>
      </c>
      <c r="E4" s="115" t="s">
        <v>527</v>
      </c>
      <c r="F4" s="115" t="s">
        <v>62</v>
      </c>
      <c r="G4" s="115" t="s">
        <v>848</v>
      </c>
      <c r="H4" s="114" t="s">
        <v>112</v>
      </c>
      <c r="I4" s="115" t="s">
        <v>216</v>
      </c>
      <c r="J4" s="114" t="s">
        <v>222</v>
      </c>
      <c r="K4" s="115" t="s">
        <v>276</v>
      </c>
      <c r="L4" s="114" t="s">
        <v>152</v>
      </c>
      <c r="M4" s="70"/>
      <c r="N4" s="80" t="s">
        <v>21</v>
      </c>
      <c r="O4" s="79" t="s">
        <v>339</v>
      </c>
    </row>
    <row r="5" spans="1:15">
      <c r="A5" s="77">
        <v>2</v>
      </c>
      <c r="B5" s="116" t="s">
        <v>24</v>
      </c>
      <c r="C5" s="111" t="s">
        <v>248</v>
      </c>
      <c r="D5" s="116" t="s">
        <v>27</v>
      </c>
      <c r="E5" s="111" t="s">
        <v>201</v>
      </c>
      <c r="F5" s="116" t="s">
        <v>71</v>
      </c>
      <c r="G5" s="111" t="s">
        <v>288</v>
      </c>
      <c r="H5" s="116" t="s">
        <v>84</v>
      </c>
      <c r="I5" s="111" t="s">
        <v>527</v>
      </c>
      <c r="J5" s="116" t="s">
        <v>233</v>
      </c>
      <c r="K5" s="111" t="s">
        <v>256</v>
      </c>
      <c r="L5" s="116" t="s">
        <v>189</v>
      </c>
      <c r="M5" s="70"/>
      <c r="N5" s="80" t="s">
        <v>43</v>
      </c>
      <c r="O5" s="79" t="s">
        <v>338</v>
      </c>
    </row>
    <row r="6" spans="1:15">
      <c r="A6" s="77">
        <v>3</v>
      </c>
      <c r="B6" s="116" t="s">
        <v>26</v>
      </c>
      <c r="C6" s="111" t="s">
        <v>189</v>
      </c>
      <c r="D6" s="116" t="s">
        <v>33</v>
      </c>
      <c r="E6" s="111" t="s">
        <v>248</v>
      </c>
      <c r="F6" s="111" t="s">
        <v>74</v>
      </c>
      <c r="G6" s="111" t="s">
        <v>287</v>
      </c>
      <c r="H6" s="111" t="s">
        <v>50</v>
      </c>
      <c r="I6" s="111" t="s">
        <v>192</v>
      </c>
      <c r="J6" s="116" t="s">
        <v>245</v>
      </c>
      <c r="K6" s="111" t="s">
        <v>248</v>
      </c>
      <c r="L6" s="116" t="s">
        <v>221</v>
      </c>
      <c r="M6" s="70"/>
      <c r="N6" s="80" t="s">
        <v>64</v>
      </c>
      <c r="O6" s="79" t="s">
        <v>339</v>
      </c>
    </row>
    <row r="7" spans="1:15">
      <c r="A7" s="77">
        <v>4</v>
      </c>
      <c r="B7" s="116" t="s">
        <v>34</v>
      </c>
      <c r="C7" s="111" t="s">
        <v>848</v>
      </c>
      <c r="D7" s="116" t="s">
        <v>25</v>
      </c>
      <c r="E7" s="111" t="s">
        <v>276</v>
      </c>
      <c r="F7" s="116" t="s">
        <v>103</v>
      </c>
      <c r="G7" s="111" t="s">
        <v>248</v>
      </c>
      <c r="H7" s="111" t="s">
        <v>48</v>
      </c>
      <c r="I7" s="111" t="s">
        <v>250</v>
      </c>
      <c r="J7" s="116" t="s">
        <v>1104</v>
      </c>
      <c r="K7" s="111" t="s">
        <v>152</v>
      </c>
      <c r="L7" s="116" t="s">
        <v>250</v>
      </c>
      <c r="M7" s="70"/>
      <c r="N7" s="80" t="s">
        <v>85</v>
      </c>
      <c r="O7" s="79" t="s">
        <v>337</v>
      </c>
    </row>
    <row r="8" spans="1:15">
      <c r="A8" s="77">
        <v>5</v>
      </c>
      <c r="B8" s="116" t="s">
        <v>32</v>
      </c>
      <c r="C8" s="111" t="s">
        <v>287</v>
      </c>
      <c r="D8" s="116" t="s">
        <v>36</v>
      </c>
      <c r="E8" s="111" t="s">
        <v>896</v>
      </c>
      <c r="F8" s="116" t="s">
        <v>205</v>
      </c>
      <c r="G8" s="111" t="s">
        <v>268</v>
      </c>
      <c r="H8" s="116" t="s">
        <v>72</v>
      </c>
      <c r="I8" s="111" t="s">
        <v>189</v>
      </c>
      <c r="J8" s="116" t="s">
        <v>271</v>
      </c>
      <c r="K8" s="111" t="s">
        <v>291</v>
      </c>
      <c r="L8" s="116" t="s">
        <v>201</v>
      </c>
      <c r="M8" s="70"/>
      <c r="N8" s="80" t="s">
        <v>106</v>
      </c>
      <c r="O8" s="79" t="s">
        <v>339</v>
      </c>
    </row>
    <row r="9" spans="1:15">
      <c r="A9" s="77">
        <v>6</v>
      </c>
      <c r="B9" s="116" t="s">
        <v>37</v>
      </c>
      <c r="C9" s="111" t="s">
        <v>192</v>
      </c>
      <c r="D9" s="116" t="s">
        <v>59</v>
      </c>
      <c r="E9" s="111" t="s">
        <v>189</v>
      </c>
      <c r="F9" s="116" t="s">
        <v>89</v>
      </c>
      <c r="G9" s="111" t="s">
        <v>268</v>
      </c>
      <c r="H9" s="111" t="s">
        <v>130</v>
      </c>
      <c r="I9" s="111" t="s">
        <v>256</v>
      </c>
      <c r="J9" s="116" t="s">
        <v>314</v>
      </c>
      <c r="K9" s="111" t="s">
        <v>216</v>
      </c>
      <c r="L9" s="116" t="s">
        <v>192</v>
      </c>
      <c r="M9" s="70"/>
      <c r="N9" s="80" t="s">
        <v>127</v>
      </c>
      <c r="O9" s="79" t="s">
        <v>338</v>
      </c>
    </row>
    <row r="10" spans="1:15">
      <c r="A10" s="77">
        <v>7</v>
      </c>
      <c r="B10" s="116" t="s">
        <v>1296</v>
      </c>
      <c r="C10" s="111" t="s">
        <v>896</v>
      </c>
      <c r="D10" s="116" t="s">
        <v>29</v>
      </c>
      <c r="E10" s="111" t="s">
        <v>272</v>
      </c>
      <c r="F10" s="111" t="s">
        <v>656</v>
      </c>
      <c r="G10" s="111" t="s">
        <v>681</v>
      </c>
      <c r="H10" s="116" t="s">
        <v>184</v>
      </c>
      <c r="I10" s="111" t="s">
        <v>681</v>
      </c>
      <c r="J10" s="111" t="s">
        <v>310</v>
      </c>
      <c r="K10" s="111" t="s">
        <v>527</v>
      </c>
      <c r="L10" s="116" t="s">
        <v>177</v>
      </c>
      <c r="M10" s="70"/>
      <c r="N10" s="80" t="s">
        <v>148</v>
      </c>
      <c r="O10" s="79" t="s">
        <v>339</v>
      </c>
    </row>
    <row r="11" spans="1:15">
      <c r="A11" s="77">
        <v>8</v>
      </c>
      <c r="B11" s="116" t="s">
        <v>58</v>
      </c>
      <c r="C11" s="111" t="s">
        <v>291</v>
      </c>
      <c r="D11" s="116" t="s">
        <v>35</v>
      </c>
      <c r="E11" s="111" t="s">
        <v>301</v>
      </c>
      <c r="F11" s="111" t="s">
        <v>252</v>
      </c>
      <c r="G11" s="111" t="s">
        <v>177</v>
      </c>
      <c r="H11" s="111" t="s">
        <v>68</v>
      </c>
      <c r="I11" s="111" t="s">
        <v>239</v>
      </c>
      <c r="J11" s="111" t="s">
        <v>261</v>
      </c>
      <c r="K11" s="111" t="s">
        <v>177</v>
      </c>
      <c r="L11" s="116" t="s">
        <v>216</v>
      </c>
      <c r="M11" s="70"/>
      <c r="N11" s="80" t="s">
        <v>169</v>
      </c>
      <c r="O11" s="79" t="s">
        <v>337</v>
      </c>
    </row>
    <row r="12" spans="1:15">
      <c r="A12" s="77">
        <v>9</v>
      </c>
      <c r="B12" s="116" t="s">
        <v>41</v>
      </c>
      <c r="C12" s="111" t="s">
        <v>527</v>
      </c>
      <c r="D12" s="116" t="s">
        <v>1297</v>
      </c>
      <c r="E12" s="111" t="s">
        <v>328</v>
      </c>
      <c r="F12" s="111" t="s">
        <v>249</v>
      </c>
      <c r="G12" s="111" t="s">
        <v>896</v>
      </c>
      <c r="H12" s="116" t="s">
        <v>160</v>
      </c>
      <c r="I12" s="111" t="s">
        <v>177</v>
      </c>
      <c r="J12" s="111" t="s">
        <v>286</v>
      </c>
      <c r="K12" s="111" t="s">
        <v>221</v>
      </c>
      <c r="L12" s="116" t="s">
        <v>248</v>
      </c>
      <c r="M12" s="70"/>
      <c r="N12" s="80" t="s">
        <v>190</v>
      </c>
      <c r="O12" s="79" t="s">
        <v>340</v>
      </c>
    </row>
    <row r="13" spans="1:15">
      <c r="A13" s="77">
        <v>10</v>
      </c>
      <c r="B13" s="116" t="s">
        <v>39</v>
      </c>
      <c r="C13" s="111" t="s">
        <v>268</v>
      </c>
      <c r="D13" s="116" t="s">
        <v>1298</v>
      </c>
      <c r="E13" s="111" t="s">
        <v>1299</v>
      </c>
      <c r="F13" s="111" t="s">
        <v>1054</v>
      </c>
      <c r="G13" s="111" t="s">
        <v>272</v>
      </c>
      <c r="H13" s="116" t="s">
        <v>209</v>
      </c>
      <c r="I13" s="111" t="s">
        <v>896</v>
      </c>
      <c r="J13" s="111" t="s">
        <v>1300</v>
      </c>
      <c r="K13" s="111" t="s">
        <v>272</v>
      </c>
      <c r="L13" s="116" t="s">
        <v>268</v>
      </c>
      <c r="M13" s="70"/>
      <c r="N13" s="80" t="s">
        <v>211</v>
      </c>
      <c r="O13" s="79" t="s">
        <v>339</v>
      </c>
    </row>
    <row r="14" spans="1:15">
      <c r="A14" s="77">
        <v>11</v>
      </c>
      <c r="B14" s="116" t="s">
        <v>60</v>
      </c>
      <c r="C14" s="111" t="s">
        <v>330</v>
      </c>
      <c r="D14" s="116" t="s">
        <v>1301</v>
      </c>
      <c r="E14" s="111" t="s">
        <v>500</v>
      </c>
      <c r="F14" s="111" t="s">
        <v>280</v>
      </c>
      <c r="G14" s="111" t="s">
        <v>916</v>
      </c>
      <c r="H14" s="116" t="s">
        <v>217</v>
      </c>
      <c r="I14" s="111" t="s">
        <v>330</v>
      </c>
      <c r="J14" s="111" t="s">
        <v>309</v>
      </c>
      <c r="K14" s="111" t="s">
        <v>330</v>
      </c>
      <c r="L14" s="116" t="s">
        <v>256</v>
      </c>
      <c r="M14" s="70"/>
      <c r="N14" s="80" t="s">
        <v>232</v>
      </c>
      <c r="O14" s="79" t="s">
        <v>339</v>
      </c>
    </row>
    <row r="15" spans="1:15">
      <c r="A15" s="77">
        <v>12</v>
      </c>
      <c r="B15" s="116" t="s">
        <v>61</v>
      </c>
      <c r="C15" s="111" t="s">
        <v>272</v>
      </c>
      <c r="D15" s="116" t="s">
        <v>1302</v>
      </c>
      <c r="E15" s="111" t="s">
        <v>291</v>
      </c>
      <c r="F15" s="111" t="s">
        <v>296</v>
      </c>
      <c r="G15" s="111" t="s">
        <v>328</v>
      </c>
      <c r="H15" s="116" t="s">
        <v>142</v>
      </c>
      <c r="I15" s="111" t="s">
        <v>248</v>
      </c>
      <c r="J15" s="111" t="s">
        <v>1303</v>
      </c>
      <c r="K15" s="111" t="s">
        <v>500</v>
      </c>
      <c r="L15" s="116" t="s">
        <v>254</v>
      </c>
      <c r="M15" s="70"/>
      <c r="N15" s="80" t="s">
        <v>253</v>
      </c>
      <c r="O15" s="79" t="s">
        <v>341</v>
      </c>
    </row>
    <row r="16" spans="1:15">
      <c r="A16" s="77">
        <v>13</v>
      </c>
      <c r="B16" s="111" t="s">
        <v>55</v>
      </c>
      <c r="C16" s="111" t="s">
        <v>254</v>
      </c>
      <c r="D16" s="116" t="s">
        <v>1304</v>
      </c>
      <c r="E16" s="111" t="s">
        <v>298</v>
      </c>
      <c r="F16" s="116" t="s">
        <v>246</v>
      </c>
      <c r="G16" s="111" t="s">
        <v>291</v>
      </c>
      <c r="H16" s="116" t="s">
        <v>108</v>
      </c>
      <c r="I16" s="111" t="s">
        <v>276</v>
      </c>
      <c r="J16" s="111" t="s">
        <v>1300</v>
      </c>
      <c r="K16" s="111" t="s">
        <v>272</v>
      </c>
      <c r="L16" s="116" t="s">
        <v>272</v>
      </c>
      <c r="M16" s="70"/>
      <c r="N16" s="80" t="s">
        <v>274</v>
      </c>
      <c r="O16" s="79" t="s">
        <v>338</v>
      </c>
    </row>
    <row r="17" spans="1:21">
      <c r="A17" s="77">
        <v>14</v>
      </c>
      <c r="B17" s="111" t="s">
        <v>51</v>
      </c>
      <c r="C17" s="111" t="s">
        <v>250</v>
      </c>
      <c r="D17" s="116" t="s">
        <v>1305</v>
      </c>
      <c r="E17" s="111" t="s">
        <v>256</v>
      </c>
      <c r="F17" s="111" t="s">
        <v>281</v>
      </c>
      <c r="G17" s="111" t="s">
        <v>298</v>
      </c>
      <c r="H17" s="116" t="s">
        <v>204</v>
      </c>
      <c r="I17" s="111" t="s">
        <v>500</v>
      </c>
      <c r="J17" s="111" t="s">
        <v>267</v>
      </c>
      <c r="K17" s="111" t="s">
        <v>896</v>
      </c>
      <c r="L17" s="111" t="s">
        <v>1003</v>
      </c>
      <c r="M17" s="70"/>
      <c r="N17" s="80" t="s">
        <v>295</v>
      </c>
      <c r="O17" s="79" t="s">
        <v>342</v>
      </c>
    </row>
    <row r="18" spans="1:21">
      <c r="A18" s="77">
        <v>15</v>
      </c>
      <c r="B18" s="111" t="s">
        <v>57</v>
      </c>
      <c r="C18" s="111" t="s">
        <v>301</v>
      </c>
      <c r="D18" s="116" t="s">
        <v>1306</v>
      </c>
      <c r="E18" s="111" t="s">
        <v>681</v>
      </c>
      <c r="F18" s="116" t="s">
        <v>1307</v>
      </c>
      <c r="G18" s="111" t="s">
        <v>1003</v>
      </c>
      <c r="H18" s="116" t="s">
        <v>145</v>
      </c>
      <c r="I18" s="111" t="s">
        <v>268</v>
      </c>
      <c r="J18" s="111" t="s">
        <v>1308</v>
      </c>
      <c r="K18" s="111" t="s">
        <v>239</v>
      </c>
      <c r="L18" s="111" t="s">
        <v>301</v>
      </c>
      <c r="M18" s="70"/>
      <c r="N18" s="85" t="s">
        <v>316</v>
      </c>
      <c r="O18" s="86" t="s">
        <v>341</v>
      </c>
    </row>
    <row r="19" spans="1:21">
      <c r="A19" s="77">
        <v>16</v>
      </c>
      <c r="B19" s="111" t="s">
        <v>47</v>
      </c>
      <c r="C19" s="111" t="s">
        <v>500</v>
      </c>
      <c r="D19" s="111" t="s">
        <v>81</v>
      </c>
      <c r="E19" s="111" t="s">
        <v>152</v>
      </c>
      <c r="F19" s="111"/>
      <c r="G19" s="111"/>
      <c r="H19" s="116" t="s">
        <v>231</v>
      </c>
      <c r="I19" s="111" t="s">
        <v>272</v>
      </c>
      <c r="J19" s="111"/>
      <c r="K19" s="111"/>
      <c r="L19" s="116" t="s">
        <v>288</v>
      </c>
      <c r="M19" s="70"/>
      <c r="N19" s="70"/>
      <c r="O19" s="70"/>
    </row>
    <row r="20" spans="1:21">
      <c r="A20" s="77">
        <v>17</v>
      </c>
      <c r="B20" s="111" t="s">
        <v>56</v>
      </c>
      <c r="C20" s="111" t="s">
        <v>916</v>
      </c>
      <c r="D20" s="111" t="s">
        <v>73</v>
      </c>
      <c r="E20" s="111" t="s">
        <v>681</v>
      </c>
      <c r="F20" s="111"/>
      <c r="G20" s="111"/>
      <c r="H20" s="116" t="s">
        <v>218</v>
      </c>
      <c r="I20" s="111" t="s">
        <v>328</v>
      </c>
      <c r="J20" s="111"/>
      <c r="K20" s="111"/>
      <c r="L20" s="116" t="s">
        <v>239</v>
      </c>
      <c r="M20" s="70"/>
      <c r="N20" s="70"/>
      <c r="O20" s="70"/>
    </row>
    <row r="21" spans="1:21">
      <c r="A21" s="77">
        <v>18</v>
      </c>
      <c r="B21" s="111" t="s">
        <v>46</v>
      </c>
      <c r="C21" s="111" t="s">
        <v>288</v>
      </c>
      <c r="D21" s="116" t="s">
        <v>98</v>
      </c>
      <c r="E21" s="111" t="s">
        <v>896</v>
      </c>
      <c r="F21" s="111"/>
      <c r="G21" s="111"/>
      <c r="H21" s="116" t="s">
        <v>119</v>
      </c>
      <c r="I21" s="111" t="s">
        <v>152</v>
      </c>
      <c r="J21" s="111"/>
      <c r="K21" s="111"/>
      <c r="L21" s="111" t="s">
        <v>321</v>
      </c>
      <c r="M21" s="70"/>
      <c r="N21" s="70"/>
      <c r="O21" s="70"/>
    </row>
    <row r="22" spans="1:21">
      <c r="A22" s="77">
        <v>19</v>
      </c>
      <c r="B22" s="111" t="s">
        <v>49</v>
      </c>
      <c r="C22" s="111" t="s">
        <v>321</v>
      </c>
      <c r="D22" s="116" t="s">
        <v>102</v>
      </c>
      <c r="E22" s="111" t="s">
        <v>192</v>
      </c>
      <c r="F22" s="111"/>
      <c r="G22" s="111"/>
      <c r="H22" s="111" t="s">
        <v>974</v>
      </c>
      <c r="I22" s="111" t="s">
        <v>201</v>
      </c>
      <c r="J22" s="111"/>
      <c r="K22" s="111"/>
      <c r="L22" s="111" t="s">
        <v>291</v>
      </c>
      <c r="M22" s="70"/>
      <c r="N22" s="70"/>
      <c r="O22" s="70"/>
    </row>
    <row r="23" spans="1:21">
      <c r="A23" s="77">
        <v>20</v>
      </c>
      <c r="B23" s="111" t="s">
        <v>52</v>
      </c>
      <c r="C23" s="111" t="s">
        <v>256</v>
      </c>
      <c r="D23" s="116" t="s">
        <v>1309</v>
      </c>
      <c r="E23" s="111" t="s">
        <v>256</v>
      </c>
      <c r="F23" s="111"/>
      <c r="G23" s="111"/>
      <c r="H23" s="116" t="s">
        <v>179</v>
      </c>
      <c r="I23" s="111" t="s">
        <v>321</v>
      </c>
      <c r="J23" s="111"/>
      <c r="K23" s="111"/>
      <c r="L23" s="111" t="s">
        <v>298</v>
      </c>
      <c r="M23" s="70"/>
      <c r="N23" s="70"/>
      <c r="O23" s="70"/>
    </row>
    <row r="24" spans="1:21">
      <c r="A24" s="77">
        <v>21</v>
      </c>
      <c r="B24" s="111" t="s">
        <v>44</v>
      </c>
      <c r="C24" s="111" t="s">
        <v>248</v>
      </c>
      <c r="D24" s="116" t="s">
        <v>1310</v>
      </c>
      <c r="E24" s="111" t="s">
        <v>500</v>
      </c>
      <c r="F24" s="111"/>
      <c r="G24" s="111"/>
      <c r="H24" s="111"/>
      <c r="I24" s="111"/>
      <c r="J24" s="111"/>
      <c r="K24" s="111"/>
      <c r="L24" s="111"/>
      <c r="M24" s="70"/>
      <c r="N24" s="70"/>
      <c r="O24" s="70"/>
    </row>
    <row r="25" spans="1:21">
      <c r="A25" s="77">
        <v>22</v>
      </c>
      <c r="B25" s="116" t="s">
        <v>83</v>
      </c>
      <c r="C25" s="111" t="s">
        <v>216</v>
      </c>
      <c r="D25" s="116" t="s">
        <v>247</v>
      </c>
      <c r="E25" s="111" t="s">
        <v>331</v>
      </c>
      <c r="F25" s="111"/>
      <c r="G25" s="111"/>
      <c r="H25" s="111"/>
      <c r="I25" s="111"/>
      <c r="J25" s="111"/>
      <c r="K25" s="111"/>
      <c r="L25" s="111"/>
      <c r="M25" s="70"/>
      <c r="N25" s="70"/>
      <c r="O25" s="70"/>
    </row>
    <row r="26" spans="1:21">
      <c r="A26" s="77">
        <v>23</v>
      </c>
      <c r="B26" s="111" t="s">
        <v>123</v>
      </c>
      <c r="C26" s="111" t="s">
        <v>331</v>
      </c>
      <c r="D26" s="111" t="s">
        <v>67</v>
      </c>
      <c r="E26" s="111" t="s">
        <v>239</v>
      </c>
      <c r="F26" s="111"/>
      <c r="G26" s="111"/>
      <c r="H26" s="111"/>
      <c r="I26" s="111"/>
      <c r="J26" s="111"/>
      <c r="K26" s="111"/>
      <c r="L26" s="111"/>
      <c r="M26" s="70"/>
      <c r="N26" s="70"/>
      <c r="O26" s="70"/>
    </row>
    <row r="27" spans="1:21">
      <c r="A27" s="77">
        <v>24</v>
      </c>
      <c r="B27" s="116" t="s">
        <v>66</v>
      </c>
      <c r="C27" s="111" t="s">
        <v>152</v>
      </c>
      <c r="D27" s="116" t="s">
        <v>120</v>
      </c>
      <c r="E27" s="111" t="s">
        <v>291</v>
      </c>
      <c r="F27" s="111"/>
      <c r="G27" s="111"/>
      <c r="H27" s="111"/>
      <c r="I27" s="111"/>
      <c r="J27" s="111"/>
      <c r="K27" s="111"/>
      <c r="L27" s="111"/>
      <c r="M27" s="70"/>
      <c r="N27" s="70"/>
      <c r="O27" s="70"/>
    </row>
    <row r="28" spans="1:21">
      <c r="A28" s="87">
        <v>25</v>
      </c>
      <c r="B28" s="117" t="s">
        <v>1311</v>
      </c>
      <c r="C28" s="112" t="s">
        <v>328</v>
      </c>
      <c r="D28" s="112" t="s">
        <v>230</v>
      </c>
      <c r="E28" s="112" t="s">
        <v>256</v>
      </c>
      <c r="F28" s="112"/>
      <c r="G28" s="112"/>
      <c r="H28" s="112"/>
      <c r="I28" s="112"/>
      <c r="J28" s="112"/>
      <c r="K28" s="112"/>
      <c r="L28" s="112"/>
      <c r="M28" s="70"/>
      <c r="N28" s="70"/>
      <c r="O28" s="70"/>
    </row>
    <row r="31" spans="1:21">
      <c r="A31" s="88" t="s">
        <v>1112</v>
      </c>
      <c r="B31" s="89"/>
    </row>
    <row r="32" spans="1:21">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66" t="str">
        <f ca="1">IFERROR(__xludf.DUMMYFUNCTION("""COMPUTED_VALUE"""),"Bijan Robinson")</f>
        <v>Bijan Robinson</v>
      </c>
      <c r="D32" s="66" t="str">
        <f ca="1">IFERROR(__xludf.DUMMYFUNCTION("""COMPUTED_VALUE"""),"Jahmyr Gibbs")</f>
        <v>Jahmyr Gibbs</v>
      </c>
      <c r="E32" s="66" t="str">
        <f ca="1">IFERROR(__xludf.DUMMYFUNCTION("""COMPUTED_VALUE"""),"CeeDee Lamb")</f>
        <v>CeeDee Lamb</v>
      </c>
      <c r="F32" s="66" t="str">
        <f ca="1">IFERROR(__xludf.DUMMYFUNCTION("""COMPUTED_VALUE"""),"Saquon Barkley")</f>
        <v>Saquon Barkley</v>
      </c>
      <c r="G32" s="66" t="str">
        <f ca="1">IFERROR(__xludf.DUMMYFUNCTION("""COMPUTED_VALUE"""),"Justin Jefferson")</f>
        <v>Justin Jefferson</v>
      </c>
      <c r="H32" s="66" t="str">
        <f ca="1">IFERROR(__xludf.DUMMYFUNCTION("""COMPUTED_VALUE"""),"De'Von Achane")</f>
        <v>De'Von Achane</v>
      </c>
      <c r="I32" s="66" t="str">
        <f ca="1">IFERROR(__xludf.DUMMYFUNCTION("""COMPUTED_VALUE"""),"Puka Nacua")</f>
        <v>Puka Nacua</v>
      </c>
      <c r="J32" s="66" t="str">
        <f ca="1">IFERROR(__xludf.DUMMYFUNCTION("""COMPUTED_VALUE"""),"Malik Nabers")</f>
        <v>Malik Nabers</v>
      </c>
      <c r="K32" s="66" t="str">
        <f ca="1">IFERROR(__xludf.DUMMYFUNCTION("""COMPUTED_VALUE"""),"Nico Collins")</f>
        <v>Nico Collins</v>
      </c>
      <c r="L32" s="66" t="str">
        <f ca="1">IFERROR(__xludf.DUMMYFUNCTION("""COMPUTED_VALUE"""),"Christian McCaffrey")</f>
        <v>Christian McCaffrey</v>
      </c>
      <c r="M32" s="66" t="str">
        <f ca="1">IFERROR(__xludf.DUMMYFUNCTION("""COMPUTED_VALUE"""),"Amon-Ra St. Brown")</f>
        <v>Amon-Ra St. Brown</v>
      </c>
      <c r="N32" s="66" t="str">
        <f ca="1">IFERROR(__xludf.DUMMYFUNCTION("""COMPUTED_VALUE"""),"Ashton Jeanty")</f>
        <v>Ashton Jeanty</v>
      </c>
      <c r="O32" s="66" t="str">
        <f ca="1">IFERROR(__xludf.DUMMYFUNCTION("""COMPUTED_VALUE"""),"Garrett Wilson")</f>
        <v>Garrett Wilson</v>
      </c>
      <c r="P32" s="66" t="str">
        <f ca="1">IFERROR(__xludf.DUMMYFUNCTION("""COMPUTED_VALUE"""),"Tyreek Hill")</f>
        <v>Tyreek Hill</v>
      </c>
      <c r="Q32" s="66" t="str">
        <f ca="1">IFERROR(__xludf.DUMMYFUNCTION("""COMPUTED_VALUE"""),"Derrick Henry")</f>
        <v>Derrick Henry</v>
      </c>
      <c r="R32" s="66" t="str">
        <f ca="1">IFERROR(__xludf.DUMMYFUNCTION("""COMPUTED_VALUE"""),"Ladd McConkey")</f>
        <v>Ladd McConkey</v>
      </c>
      <c r="S32" s="66" t="str">
        <f ca="1">IFERROR(__xludf.DUMMYFUNCTION("""COMPUTED_VALUE"""),"Josh Jacobs")</f>
        <v>Josh Jacobs</v>
      </c>
      <c r="T32" s="66" t="str">
        <f ca="1">IFERROR(__xludf.DUMMYFUNCTION("""COMPUTED_VALUE"""),"Drake London")</f>
        <v>Drake London</v>
      </c>
      <c r="U32" s="66" t="str">
        <f ca="1">IFERROR(__xludf.DUMMYFUNCTION("""COMPUTED_VALUE"""),"Chase Brown")</f>
        <v>Chase Brown</v>
      </c>
    </row>
    <row r="33" spans="1:21">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66" t="str">
        <f ca="1">IFERROR(__xludf.DUMMYFUNCTION("""COMPUTED_VALUE"""),"Mike Evans")</f>
        <v>Mike Evans</v>
      </c>
      <c r="D33" s="66" t="str">
        <f ca="1">IFERROR(__xludf.DUMMYFUNCTION("""COMPUTED_VALUE"""),"James Conner")</f>
        <v>James Conner</v>
      </c>
      <c r="E33" s="66" t="str">
        <f ca="1">IFERROR(__xludf.DUMMYFUNCTION("""COMPUTED_VALUE"""),"Chuba Hubbard")</f>
        <v>Chuba Hubbard</v>
      </c>
      <c r="F33" s="66" t="str">
        <f ca="1">IFERROR(__xludf.DUMMYFUNCTION("""COMPUTED_VALUE"""),"Josh Allen")</f>
        <v>Josh Allen</v>
      </c>
      <c r="G33" s="66" t="str">
        <f ca="1">IFERROR(__xludf.DUMMYFUNCTION("""COMPUTED_VALUE"""),"TreVeyon Henderson")</f>
        <v>TreVeyon Henderson</v>
      </c>
      <c r="H33" s="66" t="str">
        <f ca="1">IFERROR(__xludf.DUMMYFUNCTION("""COMPUTED_VALUE"""),"Lamar Jackson")</f>
        <v>Lamar Jackson</v>
      </c>
      <c r="I33" s="66" t="str">
        <f ca="1">IFERROR(__xludf.DUMMYFUNCTION("""COMPUTED_VALUE"""),"James Cook")</f>
        <v>James Cook</v>
      </c>
      <c r="J33" s="66" t="str">
        <f ca="1">IFERROR(__xludf.DUMMYFUNCTION("""COMPUTED_VALUE"""),"Omarion Hampton")</f>
        <v>Omarion Hampton</v>
      </c>
      <c r="K33" s="66" t="str">
        <f ca="1">IFERROR(__xludf.DUMMYFUNCTION("""COMPUTED_VALUE"""),"Tee Higgins")</f>
        <v>Tee Higgins</v>
      </c>
      <c r="L33" s="66" t="str">
        <f ca="1">IFERROR(__xludf.DUMMYFUNCTION("""COMPUTED_VALUE"""),"Jaxon Smith-Njigba")</f>
        <v>Jaxon Smith-Njigba</v>
      </c>
      <c r="M33" s="66" t="str">
        <f ca="1">IFERROR(__xludf.DUMMYFUNCTION("""COMPUTED_VALUE"""),"Kenneth Walker III")</f>
        <v>Kenneth Walker III</v>
      </c>
      <c r="N33" s="66" t="str">
        <f ca="1">IFERROR(__xludf.DUMMYFUNCTION("""COMPUTED_VALUE"""),"Alvin Kamara")</f>
        <v>Alvin Kamara</v>
      </c>
      <c r="O33" s="66" t="str">
        <f ca="1">IFERROR(__xludf.DUMMYFUNCTION("""COMPUTED_VALUE"""),"Breece Hall")</f>
        <v>Breece Hall</v>
      </c>
      <c r="P33" s="66" t="str">
        <f ca="1">IFERROR(__xludf.DUMMYFUNCTION("""COMPUTED_VALUE"""),"Bucky Irving")</f>
        <v>Bucky Irving</v>
      </c>
      <c r="Q33" s="66" t="str">
        <f ca="1">IFERROR(__xludf.DUMMYFUNCTION("""COMPUTED_VALUE"""),"A.J. Brown")</f>
        <v>A.J. Brown</v>
      </c>
      <c r="R33" s="66" t="str">
        <f ca="1">IFERROR(__xludf.DUMMYFUNCTION("""COMPUTED_VALUE"""),"Jonathan Taylor")</f>
        <v>Jonathan Taylor</v>
      </c>
      <c r="S33" s="66" t="str">
        <f ca="1">IFERROR(__xludf.DUMMYFUNCTION("""COMPUTED_VALUE"""),"Kyren Williams")</f>
        <v>Kyren Williams</v>
      </c>
      <c r="T33" s="66" t="str">
        <f ca="1">IFERROR(__xludf.DUMMYFUNCTION("""COMPUTED_VALUE"""),"Brock Bowers")</f>
        <v>Brock Bowers</v>
      </c>
      <c r="U33" s="66" t="str">
        <f ca="1">IFERROR(__xludf.DUMMYFUNCTION("""COMPUTED_VALUE"""),"Brian Thomas Jr.")</f>
        <v>Brian Thomas Jr.</v>
      </c>
    </row>
    <row r="34" spans="1:21">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66" t="str">
        <f ca="1">IFERROR(__xludf.DUMMYFUNCTION("""COMPUTED_VALUE"""),"RJ Harvey")</f>
        <v>RJ Harvey</v>
      </c>
      <c r="D34" s="66" t="str">
        <f ca="1">IFERROR(__xludf.DUMMYFUNCTION("""COMPUTED_VALUE"""),"Terry McLaurin")</f>
        <v>Terry McLaurin</v>
      </c>
      <c r="E34" s="66" t="str">
        <f ca="1">IFERROR(__xludf.DUMMYFUNCTION("""COMPUTED_VALUE"""),"Jayden Daniels")</f>
        <v>Jayden Daniels</v>
      </c>
      <c r="F34" s="66" t="str">
        <f ca="1">IFERROR(__xludf.DUMMYFUNCTION("""COMPUTED_VALUE"""),"Marvin Harrison Jr.")</f>
        <v>Marvin Harrison Jr.</v>
      </c>
      <c r="G34" s="66" t="str">
        <f ca="1">IFERROR(__xludf.DUMMYFUNCTION("""COMPUTED_VALUE"""),"DJ Moore")</f>
        <v>DJ Moore</v>
      </c>
      <c r="H34" s="66" t="str">
        <f ca="1">IFERROR(__xludf.DUMMYFUNCTION("""COMPUTED_VALUE"""),"Trey McBride")</f>
        <v>Trey McBride</v>
      </c>
      <c r="I34" s="66" t="str">
        <f ca="1">IFERROR(__xludf.DUMMYFUNCTION("""COMPUTED_VALUE"""),"Jalen Hurts")</f>
        <v>Jalen Hurts</v>
      </c>
      <c r="J34" s="66" t="str">
        <f ca="1">IFERROR(__xludf.DUMMYFUNCTION("""COMPUTED_VALUE"""),"Calvin Ridley")</f>
        <v>Calvin Ridley</v>
      </c>
      <c r="K34" s="66" t="str">
        <f ca="1">IFERROR(__xludf.DUMMYFUNCTION("""COMPUTED_VALUE"""),"George Kittle")</f>
        <v>George Kittle</v>
      </c>
      <c r="L34" s="66" t="str">
        <f ca="1">IFERROR(__xludf.DUMMYFUNCTION("""COMPUTED_VALUE"""),"D'Andre Swift")</f>
        <v>D'Andre Swift</v>
      </c>
      <c r="M34" s="66" t="str">
        <f ca="1">IFERROR(__xludf.DUMMYFUNCTION("""COMPUTED_VALUE"""),"Tony Pollard")</f>
        <v>Tony Pollard</v>
      </c>
      <c r="N34" s="66" t="str">
        <f ca="1">IFERROR(__xludf.DUMMYFUNCTION("""COMPUTED_VALUE"""),"DK Metcalf")</f>
        <v>DK Metcalf</v>
      </c>
      <c r="O34" s="66" t="str">
        <f ca="1">IFERROR(__xludf.DUMMYFUNCTION("""COMPUTED_VALUE"""),"Rhamondre Stevenson")</f>
        <v>Rhamondre Stevenson</v>
      </c>
      <c r="P34" s="66" t="str">
        <f ca="1">IFERROR(__xludf.DUMMYFUNCTION("""COMPUTED_VALUE"""),"DeVonta Smith")</f>
        <v>DeVonta Smith</v>
      </c>
      <c r="Q34" s="66" t="str">
        <f ca="1">IFERROR(__xludf.DUMMYFUNCTION("""COMPUTED_VALUE"""),"Aaron Jones Sr.")</f>
        <v>Aaron Jones Sr.</v>
      </c>
      <c r="R34" s="66" t="str">
        <f ca="1">IFERROR(__xludf.DUMMYFUNCTION("""COMPUTED_VALUE"""),"Courtland Sutton")</f>
        <v>Courtland Sutton</v>
      </c>
      <c r="S34" s="66" t="str">
        <f ca="1">IFERROR(__xludf.DUMMYFUNCTION("""COMPUTED_VALUE"""),"Jerry Jeudy")</f>
        <v>Jerry Jeudy</v>
      </c>
      <c r="T34" s="66" t="str">
        <f ca="1">IFERROR(__xludf.DUMMYFUNCTION("""COMPUTED_VALUE"""),"Isiah Pacheco")</f>
        <v>Isiah Pacheco</v>
      </c>
      <c r="U34" s="66" t="str">
        <f ca="1">IFERROR(__xludf.DUMMYFUNCTION("""COMPUTED_VALUE"""),"Joe Burrow")</f>
        <v>Joe Burrow</v>
      </c>
    </row>
    <row r="35" spans="1:21">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66" t="str">
        <f ca="1">IFERROR(__xludf.DUMMYFUNCTION("""COMPUTED_VALUE"""),"Rome Odunze")</f>
        <v>Rome Odunze</v>
      </c>
      <c r="D35" s="66" t="str">
        <f ca="1">IFERROR(__xludf.DUMMYFUNCTION("""COMPUTED_VALUE"""),"Jakobi Meyers")</f>
        <v>Jakobi Meyers</v>
      </c>
      <c r="E35" s="66" t="str">
        <f ca="1">IFERROR(__xludf.DUMMYFUNCTION("""COMPUTED_VALUE"""),"Tucker Kraft")</f>
        <v>Tucker Kraft</v>
      </c>
      <c r="F35" s="66" t="str">
        <f ca="1">IFERROR(__xludf.DUMMYFUNCTION("""COMPUTED_VALUE"""),"George Pickens")</f>
        <v>George Pickens</v>
      </c>
      <c r="G35" s="66" t="str">
        <f ca="1">IFERROR(__xludf.DUMMYFUNCTION("""COMPUTED_VALUE"""),"Travis Etienne Jr.")</f>
        <v>Travis Etienne Jr.</v>
      </c>
      <c r="H35" s="66" t="str">
        <f ca="1">IFERROR(__xludf.DUMMYFUNCTION("""COMPUTED_VALUE"""),"Xavier Worthy")</f>
        <v>Xavier Worthy</v>
      </c>
      <c r="I35" s="66" t="str">
        <f ca="1">IFERROR(__xludf.DUMMYFUNCTION("""COMPUTED_VALUE"""),"Jaylen Warren")</f>
        <v>Jaylen Warren</v>
      </c>
      <c r="J35" s="66" t="str">
        <f ca="1">IFERROR(__xludf.DUMMYFUNCTION("""COMPUTED_VALUE"""),"Javonte Williams")</f>
        <v>Javonte Williams</v>
      </c>
      <c r="K35" s="66" t="str">
        <f ca="1">IFERROR(__xludf.DUMMYFUNCTION("""COMPUTED_VALUE"""),"Travis Hunter")</f>
        <v>Travis Hunter</v>
      </c>
      <c r="L35" s="66" t="str">
        <f ca="1">IFERROR(__xludf.DUMMYFUNCTION("""COMPUTED_VALUE"""),"T.J. Hockenson")</f>
        <v>T.J. Hockenson</v>
      </c>
      <c r="M35" s="66" t="str">
        <f ca="1">IFERROR(__xludf.DUMMYFUNCTION("""COMPUTED_VALUE"""),"Chris Olave")</f>
        <v>Chris Olave</v>
      </c>
      <c r="N35" s="66" t="str">
        <f ca="1">IFERROR(__xludf.DUMMYFUNCTION("""COMPUTED_VALUE"""),"Jaylen Waddle")</f>
        <v>Jaylen Waddle</v>
      </c>
      <c r="O35" s="66" t="str">
        <f ca="1">IFERROR(__xludf.DUMMYFUNCTION("""COMPUTED_VALUE"""),"Mark Andrews")</f>
        <v>Mark Andrews</v>
      </c>
      <c r="P35" s="66" t="str">
        <f ca="1">IFERROR(__xludf.DUMMYFUNCTION("""COMPUTED_VALUE"""),"Tyrone Tracy Jr.")</f>
        <v>Tyrone Tracy Jr.</v>
      </c>
      <c r="Q35" s="66" t="str">
        <f ca="1">IFERROR(__xludf.DUMMYFUNCTION("""COMPUTED_VALUE"""),"Travis Kelce")</f>
        <v>Travis Kelce</v>
      </c>
      <c r="R35" s="66" t="str">
        <f ca="1">IFERROR(__xludf.DUMMYFUNCTION("""COMPUTED_VALUE"""),"Zay Flowers")</f>
        <v>Zay Flowers</v>
      </c>
      <c r="S35" s="66" t="str">
        <f ca="1">IFERROR(__xludf.DUMMYFUNCTION("""COMPUTED_VALUE"""),"Sam LaPorta")</f>
        <v>Sam LaPorta</v>
      </c>
      <c r="T35" s="66" t="str">
        <f ca="1">IFERROR(__xludf.DUMMYFUNCTION("""COMPUTED_VALUE"""),"Tetairoa McMillan")</f>
        <v>Tetairoa McMillan</v>
      </c>
      <c r="U35" s="66" t="str">
        <f ca="1">IFERROR(__xludf.DUMMYFUNCTION("""COMPUTED_VALUE"""),"Kaleb Johnson")</f>
        <v>Kaleb Johnson</v>
      </c>
    </row>
    <row r="36" spans="1:21">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66" t="str">
        <f ca="1">IFERROR(__xludf.DUMMYFUNCTION("""COMPUTED_VALUE"""),"Dak Prescott")</f>
        <v>Dak Prescott</v>
      </c>
      <c r="D36" s="66" t="str">
        <f ca="1">IFERROR(__xludf.DUMMYFUNCTION("""COMPUTED_VALUE"""),"Zach Charbonnet")</f>
        <v>Zach Charbonnet</v>
      </c>
      <c r="E36" s="66" t="str">
        <f ca="1">IFERROR(__xludf.DUMMYFUNCTION("""COMPUTED_VALUE"""),"Joe Mixon")</f>
        <v>Joe Mixon</v>
      </c>
      <c r="F36" s="66" t="str">
        <f ca="1">IFERROR(__xludf.DUMMYFUNCTION("""COMPUTED_VALUE"""),"J.K. Dobbins")</f>
        <v>J.K. Dobbins</v>
      </c>
      <c r="G36" s="66" t="str">
        <f ca="1">IFERROR(__xludf.DUMMYFUNCTION("""COMPUTED_VALUE"""),"Patrick Mahomes II")</f>
        <v>Patrick Mahomes II</v>
      </c>
      <c r="H36" s="66" t="str">
        <f ca="1">IFERROR(__xludf.DUMMYFUNCTION("""COMPUTED_VALUE"""),"Ricky Pearsall")</f>
        <v>Ricky Pearsall</v>
      </c>
      <c r="I36" s="66" t="str">
        <f ca="1">IFERROR(__xludf.DUMMYFUNCTION("""COMPUTED_VALUE"""),"Jameson Williams")</f>
        <v>Jameson Williams</v>
      </c>
      <c r="J36" s="66" t="str">
        <f ca="1">IFERROR(__xludf.DUMMYFUNCTION("""COMPUTED_VALUE"""),"Tyler Warren")</f>
        <v>Tyler Warren</v>
      </c>
      <c r="K36" s="66" t="str">
        <f ca="1">IFERROR(__xludf.DUMMYFUNCTION("""COMPUTED_VALUE"""),"Jordan Mason")</f>
        <v>Jordan Mason</v>
      </c>
      <c r="L36" s="66" t="str">
        <f ca="1">IFERROR(__xludf.DUMMYFUNCTION("""COMPUTED_VALUE"""),"Baker Mayfield")</f>
        <v>Baker Mayfield</v>
      </c>
      <c r="M36" s="66" t="str">
        <f ca="1">IFERROR(__xludf.DUMMYFUNCTION("""COMPUTED_VALUE"""),"Deebo Samuel Sr.")</f>
        <v>Deebo Samuel Sr.</v>
      </c>
      <c r="N36" s="66" t="str">
        <f ca="1">IFERROR(__xludf.DUMMYFUNCTION("""COMPUTED_VALUE"""),"Bo Nix")</f>
        <v>Bo Nix</v>
      </c>
      <c r="O36" s="66" t="str">
        <f ca="1">IFERROR(__xludf.DUMMYFUNCTION("""COMPUTED_VALUE"""),"Chris Godwin")</f>
        <v>Chris Godwin</v>
      </c>
      <c r="P36" s="66" t="str">
        <f ca="1">IFERROR(__xludf.DUMMYFUNCTION("""COMPUTED_VALUE"""),"Emeka Egbuka")</f>
        <v>Emeka Egbuka</v>
      </c>
      <c r="Q36" s="66" t="str">
        <f ca="1">IFERROR(__xludf.DUMMYFUNCTION("""COMPUTED_VALUE"""),"Rashee Rice")</f>
        <v>Rashee Rice</v>
      </c>
      <c r="R36" s="66" t="str">
        <f ca="1">IFERROR(__xludf.DUMMYFUNCTION("""COMPUTED_VALUE"""),"Quinshon Judkins")</f>
        <v>Quinshon Judkins</v>
      </c>
      <c r="S36" s="66" t="str">
        <f ca="1">IFERROR(__xludf.DUMMYFUNCTION("""COMPUTED_VALUE"""),"Matthew Golden")</f>
        <v>Matthew Golden</v>
      </c>
      <c r="T36" s="66" t="str">
        <f ca="1">IFERROR(__xludf.DUMMYFUNCTION("""COMPUTED_VALUE"""),"Austin Ekeler")</f>
        <v>Austin Ekeler</v>
      </c>
      <c r="U36" s="66" t="str">
        <f ca="1">IFERROR(__xludf.DUMMYFUNCTION("""COMPUTED_VALUE"""),"Stefon Diggs")</f>
        <v>Stefon Diggs</v>
      </c>
    </row>
    <row r="37" spans="1:21">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66" t="str">
        <f ca="1">IFERROR(__xludf.DUMMYFUNCTION("""COMPUTED_VALUE"""),"Colston Loveland")</f>
        <v>Colston Loveland</v>
      </c>
      <c r="D37" s="66" t="str">
        <f ca="1">IFERROR(__xludf.DUMMYFUNCTION("""COMPUTED_VALUE"""),"Justin Herbert")</f>
        <v>Justin Herbert</v>
      </c>
      <c r="E37" s="66" t="str">
        <f ca="1">IFERROR(__xludf.DUMMYFUNCTION("""COMPUTED_VALUE"""),"Jauan Jennings")</f>
        <v>Jauan Jennings</v>
      </c>
      <c r="F37" s="66" t="str">
        <f ca="1">IFERROR(__xludf.DUMMYFUNCTION("""COMPUTED_VALUE"""),"Jayden Reed")</f>
        <v>Jayden Reed</v>
      </c>
      <c r="G37" s="66" t="str">
        <f ca="1">IFERROR(__xludf.DUMMYFUNCTION("""COMPUTED_VALUE"""),"Hunter Henry")</f>
        <v>Hunter Henry</v>
      </c>
      <c r="H37" s="66" t="str">
        <f ca="1">IFERROR(__xludf.DUMMYFUNCTION("""COMPUTED_VALUE"""),"Tyjae Spears")</f>
        <v>Tyjae Spears</v>
      </c>
      <c r="I37" s="66" t="str">
        <f ca="1">IFERROR(__xludf.DUMMYFUNCTION("""COMPUTED_VALUE"""),"Dallas Goedert")</f>
        <v>Dallas Goedert</v>
      </c>
      <c r="J37" s="66" t="str">
        <f ca="1">IFERROR(__xludf.DUMMYFUNCTION("""COMPUTED_VALUE"""),"Dalton Kincaid")</f>
        <v>Dalton Kincaid</v>
      </c>
      <c r="K37" s="66" t="str">
        <f ca="1">IFERROR(__xludf.DUMMYFUNCTION("""COMPUTED_VALUE"""),"Jacory Croskey-Merritt")</f>
        <v>Jacory Croskey-Merritt</v>
      </c>
      <c r="L37" s="66" t="str">
        <f ca="1">IFERROR(__xludf.DUMMYFUNCTION("""COMPUTED_VALUE"""),"Khalil Shakir")</f>
        <v>Khalil Shakir</v>
      </c>
      <c r="M37" s="66" t="str">
        <f ca="1">IFERROR(__xludf.DUMMYFUNCTION("""COMPUTED_VALUE"""),"Najee Harris")</f>
        <v>Najee Harris</v>
      </c>
      <c r="N37" s="66" t="str">
        <f ca="1">IFERROR(__xludf.DUMMYFUNCTION("""COMPUTED_VALUE"""),"Jake Ferguson")</f>
        <v>Jake Ferguson</v>
      </c>
      <c r="O37" s="66" t="str">
        <f ca="1">IFERROR(__xludf.DUMMYFUNCTION("""COMPUTED_VALUE"""),"Christian Kirk")</f>
        <v>Christian Kirk</v>
      </c>
      <c r="P37" s="66" t="str">
        <f ca="1">IFERROR(__xludf.DUMMYFUNCTION("""COMPUTED_VALUE"""),"Jared Goff")</f>
        <v>Jared Goff</v>
      </c>
      <c r="Q37" s="66" t="str">
        <f ca="1">IFERROR(__xludf.DUMMYFUNCTION("""COMPUTED_VALUE"""),"Cam Skattebo")</f>
        <v>Cam Skattebo</v>
      </c>
      <c r="R37" s="66" t="str">
        <f ca="1">IFERROR(__xludf.DUMMYFUNCTION("""COMPUTED_VALUE"""),"Nick Chubb")</f>
        <v>Nick Chubb</v>
      </c>
      <c r="S37" s="66" t="str">
        <f ca="1">IFERROR(__xludf.DUMMYFUNCTION("""COMPUTED_VALUE"""),"Jordan Love")</f>
        <v>Jordan Love</v>
      </c>
      <c r="T37" s="66" t="str">
        <f ca="1">IFERROR(__xludf.DUMMYFUNCTION("""COMPUTED_VALUE"""),"Kyler Murray")</f>
        <v>Kyler Murray</v>
      </c>
      <c r="U37" s="66" t="str">
        <f ca="1">IFERROR(__xludf.DUMMYFUNCTION("""COMPUTED_VALUE"""),"Evan Engram")</f>
        <v>Evan Engram</v>
      </c>
    </row>
    <row r="38" spans="1:21">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66" t="str">
        <f ca="1">IFERROR(__xludf.DUMMYFUNCTION("""COMPUTED_VALUE"""),"Josh Downs")</f>
        <v>Josh Downs</v>
      </c>
      <c r="D38" s="66" t="str">
        <f ca="1">IFERROR(__xludf.DUMMYFUNCTION("""COMPUTED_VALUE"""),"Jerome Ford")</f>
        <v>Jerome Ford</v>
      </c>
      <c r="E38" s="66" t="str">
        <f ca="1">IFERROR(__xludf.DUMMYFUNCTION("""COMPUTED_VALUE"""),"Denver Broncos")</f>
        <v>Denver Broncos</v>
      </c>
      <c r="F38" s="66" t="str">
        <f ca="1">IFERROR(__xludf.DUMMYFUNCTION("""COMPUTED_VALUE"""),"Bhayshul Tuten")</f>
        <v>Bhayshul Tuten</v>
      </c>
      <c r="G38" s="66" t="str">
        <f ca="1">IFERROR(__xludf.DUMMYFUNCTION("""COMPUTED_VALUE"""),"Tank Bigsby")</f>
        <v>Tank Bigsby</v>
      </c>
      <c r="H38" s="66" t="str">
        <f ca="1">IFERROR(__xludf.DUMMYFUNCTION("""COMPUTED_VALUE"""),"Cooper Kupp")</f>
        <v>Cooper Kupp</v>
      </c>
      <c r="I38" s="66" t="str">
        <f ca="1">IFERROR(__xludf.DUMMYFUNCTION("""COMPUTED_VALUE"""),"Jordan Addison")</f>
        <v>Jordan Addison</v>
      </c>
      <c r="J38" s="66" t="str">
        <f ca="1">IFERROR(__xludf.DUMMYFUNCTION("""COMPUTED_VALUE"""),"Rashod Bateman")</f>
        <v>Rashod Bateman</v>
      </c>
      <c r="K38" s="66" t="str">
        <f ca="1">IFERROR(__xludf.DUMMYFUNCTION("""COMPUTED_VALUE"""),"Ray Davis")</f>
        <v>Ray Davis</v>
      </c>
      <c r="L38" s="66" t="str">
        <f ca="1">IFERROR(__xludf.DUMMYFUNCTION("""COMPUTED_VALUE"""),"Braelon Allen")</f>
        <v>Braelon Allen</v>
      </c>
      <c r="M38" s="66" t="str">
        <f ca="1">IFERROR(__xludf.DUMMYFUNCTION("""COMPUTED_VALUE"""),"C.J. Stroud")</f>
        <v>C.J. Stroud</v>
      </c>
      <c r="N38" s="66" t="str">
        <f ca="1">IFERROR(__xludf.DUMMYFUNCTION("""COMPUTED_VALUE"""),"Michael Pittman Jr.")</f>
        <v>Michael Pittman Jr.</v>
      </c>
      <c r="O38" s="66" t="str">
        <f ca="1">IFERROR(__xludf.DUMMYFUNCTION("""COMPUTED_VALUE"""),"Anthony Richardson Sr.")</f>
        <v>Anthony Richardson Sr.</v>
      </c>
      <c r="P38" s="66" t="str">
        <f ca="1">IFERROR(__xludf.DUMMYFUNCTION("""COMPUTED_VALUE"""),"Luther Burden III")</f>
        <v>Luther Burden III</v>
      </c>
      <c r="Q38" s="66" t="str">
        <f ca="1">IFERROR(__xludf.DUMMYFUNCTION("""COMPUTED_VALUE"""),"Justin Fields")</f>
        <v>Justin Fields</v>
      </c>
      <c r="R38" s="66" t="str">
        <f ca="1">IFERROR(__xludf.DUMMYFUNCTION("""COMPUTED_VALUE"""),"Kyle Pitts Sr.")</f>
        <v>Kyle Pitts Sr.</v>
      </c>
      <c r="S38" s="66" t="str">
        <f ca="1">IFERROR(__xludf.DUMMYFUNCTION("""COMPUTED_VALUE"""),"Wan'Dale Robinson")</f>
        <v>Wan'Dale Robinson</v>
      </c>
      <c r="T38" s="66" t="str">
        <f ca="1">IFERROR(__xludf.DUMMYFUNCTION("""COMPUTED_VALUE"""),"Jaydon Blue")</f>
        <v>Jaydon Blue</v>
      </c>
      <c r="U38" s="66" t="str">
        <f ca="1">IFERROR(__xludf.DUMMYFUNCTION("""COMPUTED_VALUE"""),"Trey Benson")</f>
        <v>Trey Benson</v>
      </c>
    </row>
    <row r="39" spans="1:21">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66" t="str">
        <f ca="1">IFERROR(__xludf.DUMMYFUNCTION("""COMPUTED_VALUE"""),"Zach Ertz")</f>
        <v>Zach Ertz</v>
      </c>
      <c r="D39" s="66" t="str">
        <f ca="1">IFERROR(__xludf.DUMMYFUNCTION("""COMPUTED_VALUE"""),"Jayden Higgins")</f>
        <v>Jayden Higgins</v>
      </c>
      <c r="E39" s="66" t="str">
        <f ca="1">IFERROR(__xludf.DUMMYFUNCTION("""COMPUTED_VALUE"""),"Dylan Sampson")</f>
        <v>Dylan Sampson</v>
      </c>
      <c r="F39" s="66" t="str">
        <f ca="1">IFERROR(__xludf.DUMMYFUNCTION("""COMPUTED_VALUE"""),"Brenton Strange")</f>
        <v>Brenton Strange</v>
      </c>
      <c r="G39" s="66" t="str">
        <f ca="1">IFERROR(__xludf.DUMMYFUNCTION("""COMPUTED_VALUE"""),"Keon Coleman")</f>
        <v>Keon Coleman</v>
      </c>
      <c r="H39" s="66" t="str">
        <f ca="1">IFERROR(__xludf.DUMMYFUNCTION("""COMPUTED_VALUE"""),"Rico Dowdle")</f>
        <v>Rico Dowdle</v>
      </c>
      <c r="I39" s="66" t="str">
        <f ca="1">IFERROR(__xludf.DUMMYFUNCTION("""COMPUTED_VALUE"""),"Houston Texans")</f>
        <v>Houston Texans</v>
      </c>
      <c r="J39" s="66" t="str">
        <f ca="1">IFERROR(__xludf.DUMMYFUNCTION("""COMPUTED_VALUE"""),"Jaylen Wright")</f>
        <v>Jaylen Wright</v>
      </c>
      <c r="K39" s="66" t="str">
        <f ca="1">IFERROR(__xludf.DUMMYFUNCTION("""COMPUTED_VALUE"""),"Drake Maye")</f>
        <v>Drake Maye</v>
      </c>
      <c r="L39" s="66" t="str">
        <f ca="1">IFERROR(__xludf.DUMMYFUNCTION("""COMPUTED_VALUE"""),"Brandon Aiyuk")</f>
        <v>Brandon Aiyuk</v>
      </c>
      <c r="M39" s="66" t="str">
        <f ca="1">IFERROR(__xludf.DUMMYFUNCTION("""COMPUTED_VALUE"""),"Geno Smith")</f>
        <v>Geno Smith</v>
      </c>
      <c r="N39" s="66" t="str">
        <f ca="1">IFERROR(__xludf.DUMMYFUNCTION("""COMPUTED_VALUE"""),"Isaac Guerendo")</f>
        <v>Isaac Guerendo</v>
      </c>
      <c r="O39" s="66" t="str">
        <f ca="1">IFERROR(__xludf.DUMMYFUNCTION("""COMPUTED_VALUE"""),"Tyler Allgeier")</f>
        <v>Tyler Allgeier</v>
      </c>
      <c r="P39" s="66" t="str">
        <f ca="1">IFERROR(__xludf.DUMMYFUNCTION("""COMPUTED_VALUE"""),"Trevor Lawrence")</f>
        <v>Trevor Lawrence</v>
      </c>
      <c r="Q39" s="66" t="str">
        <f ca="1">IFERROR(__xludf.DUMMYFUNCTION("""COMPUTED_VALUE"""),"Rashid Shaheed")</f>
        <v>Rashid Shaheed</v>
      </c>
      <c r="R39" s="66" t="str">
        <f ca="1">IFERROR(__xludf.DUMMYFUNCTION("""COMPUTED_VALUE"""),"Caleb Williams")</f>
        <v>Caleb Williams</v>
      </c>
      <c r="S39" s="66" t="str">
        <f ca="1">IFERROR(__xludf.DUMMYFUNCTION("""COMPUTED_VALUE"""),"Darnell Mooney")</f>
        <v>Darnell Mooney</v>
      </c>
      <c r="T39" s="66" t="str">
        <f ca="1">IFERROR(__xludf.DUMMYFUNCTION("""COMPUTED_VALUE"""),"Marvin Mims Jr.")</f>
        <v>Marvin Mims Jr.</v>
      </c>
      <c r="U39" s="66" t="str">
        <f ca="1">IFERROR(__xludf.DUMMYFUNCTION("""COMPUTED_VALUE"""),"Philadelphia Eagles")</f>
        <v>Philadelphia Eagles</v>
      </c>
    </row>
    <row r="40" spans="1:21">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66" t="str">
        <f ca="1">IFERROR(__xludf.DUMMYFUNCTION("""COMPUTED_VALUE"""),"Baltimore Ravens")</f>
        <v>Baltimore Ravens</v>
      </c>
      <c r="D40" s="66" t="str">
        <f ca="1">IFERROR(__xludf.DUMMYFUNCTION("""COMPUTED_VALUE"""),"Elijah Arroyo")</f>
        <v>Elijah Arroyo</v>
      </c>
      <c r="E40" s="66" t="str">
        <f ca="1">IFERROR(__xludf.DUMMYFUNCTION("""COMPUTED_VALUE"""),"Romeo Doubs")</f>
        <v>Romeo Doubs</v>
      </c>
      <c r="F40" s="66" t="str">
        <f ca="1">IFERROR(__xludf.DUMMYFUNCTION("""COMPUTED_VALUE"""),"Harold Fannin Jr.")</f>
        <v>Harold Fannin Jr.</v>
      </c>
      <c r="G40" s="66" t="str">
        <f ca="1">IFERROR(__xludf.DUMMYFUNCTION("""COMPUTED_VALUE"""),"J.J. McCarthy")</f>
        <v>J.J. McCarthy</v>
      </c>
      <c r="H40" s="66" t="str">
        <f ca="1">IFERROR(__xludf.DUMMYFUNCTION("""COMPUTED_VALUE"""),"Joshua Palmer")</f>
        <v>Joshua Palmer</v>
      </c>
      <c r="I40" s="66" t="str">
        <f ca="1">IFERROR(__xludf.DUMMYFUNCTION("""COMPUTED_VALUE"""),"Blake Corum")</f>
        <v>Blake Corum</v>
      </c>
      <c r="J40" s="66" t="str">
        <f ca="1">IFERROR(__xludf.DUMMYFUNCTION("""COMPUTED_VALUE"""),"Michael Penix Jr.")</f>
        <v>Michael Penix Jr.</v>
      </c>
      <c r="K40" s="66" t="str">
        <f ca="1">IFERROR(__xludf.DUMMYFUNCTION("""COMPUTED_VALUE"""),"Cameron Ward")</f>
        <v>Cameron Ward</v>
      </c>
      <c r="L40" s="66" t="str">
        <f ca="1">IFERROR(__xludf.DUMMYFUNCTION("""COMPUTED_VALUE"""),"Minnesota Vikings")</f>
        <v>Minnesota Vikings</v>
      </c>
      <c r="M40" s="66" t="str">
        <f ca="1">IFERROR(__xludf.DUMMYFUNCTION("""COMPUTED_VALUE"""),"Mike Gesicki")</f>
        <v>Mike Gesicki</v>
      </c>
      <c r="N40" s="66" t="str">
        <f ca="1">IFERROR(__xludf.DUMMYFUNCTION("""COMPUTED_VALUE"""),"Marquise Brown")</f>
        <v>Marquise Brown</v>
      </c>
      <c r="O40" s="66" t="str">
        <f ca="1">IFERROR(__xludf.DUMMYFUNCTION("""COMPUTED_VALUE"""),"Bryce Young")</f>
        <v>Bryce Young</v>
      </c>
      <c r="P40" s="66" t="str">
        <f ca="1">IFERROR(__xludf.DUMMYFUNCTION("""COMPUTED_VALUE"""),"Luke Musgrave")</f>
        <v>Luke Musgrave</v>
      </c>
      <c r="Q40" s="66" t="str">
        <f ca="1">IFERROR(__xludf.DUMMYFUNCTION("""COMPUTED_VALUE"""),"Jonnu Smith")</f>
        <v>Jonnu Smith</v>
      </c>
      <c r="R40" s="66" t="str">
        <f ca="1">IFERROR(__xludf.DUMMYFUNCTION("""COMPUTED_VALUE"""),"DJ Giddens")</f>
        <v>DJ Giddens</v>
      </c>
      <c r="S40" s="66" t="str">
        <f ca="1">IFERROR(__xludf.DUMMYFUNCTION("""COMPUTED_VALUE"""),"Sam Darnold")</f>
        <v>Sam Darnold</v>
      </c>
      <c r="T40" s="66" t="str">
        <f ca="1">IFERROR(__xludf.DUMMYFUNCTION("""COMPUTED_VALUE"""),"Tua Tagovailoa")</f>
        <v>Tua Tagovailoa</v>
      </c>
      <c r="U40" s="66" t="str">
        <f ca="1">IFERROR(__xludf.DUMMYFUNCTION("""COMPUTED_VALUE"""),"Adam Thielen")</f>
        <v>Adam Thielen</v>
      </c>
    </row>
    <row r="41" spans="1:21">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66" t="str">
        <f ca="1">IFERROR(__xludf.DUMMYFUNCTION("""COMPUTED_VALUE"""),"Jaxson Dart")</f>
        <v>Jaxson Dart</v>
      </c>
      <c r="D41" s="66" t="str">
        <f ca="1">IFERROR(__xludf.DUMMYFUNCTION("""COMPUTED_VALUE"""),"Tyler Shough")</f>
        <v>Tyler Shough</v>
      </c>
      <c r="E41" s="66" t="str">
        <f ca="1">IFERROR(__xludf.DUMMYFUNCTION("""COMPUTED_VALUE"""),"Joe Flacco")</f>
        <v>Joe Flacco</v>
      </c>
      <c r="F41" s="66" t="str">
        <f ca="1">IFERROR(__xludf.DUMMYFUNCTION("""COMPUTED_VALUE"""),"Kansas City Chiefs")</f>
        <v>Kansas City Chiefs</v>
      </c>
      <c r="G41" s="66" t="str">
        <f ca="1">IFERROR(__xludf.DUMMYFUNCTION("""COMPUTED_VALUE"""),"Daniel Jones")</f>
        <v>Daniel Jones</v>
      </c>
      <c r="H41" s="66" t="str">
        <f ca="1">IFERROR(__xludf.DUMMYFUNCTION("""COMPUTED_VALUE"""),"Russell Wilson")</f>
        <v>Russell Wilson</v>
      </c>
      <c r="I41" s="66" t="str">
        <f ca="1">IFERROR(__xludf.DUMMYFUNCTION("""COMPUTED_VALUE"""),"Xavier Legette")</f>
        <v>Xavier Legette</v>
      </c>
      <c r="J41" s="66" t="str">
        <f ca="1">IFERROR(__xludf.DUMMYFUNCTION("""COMPUTED_VALUE"""),"Woody Marks")</f>
        <v>Woody Marks</v>
      </c>
      <c r="K41" s="66" t="str">
        <f ca="1">IFERROR(__xludf.DUMMYFUNCTION("""COMPUTED_VALUE"""),"Pittsburgh Steelers")</f>
        <v>Pittsburgh Steelers</v>
      </c>
      <c r="L41" s="66" t="str">
        <f ca="1">IFERROR(__xludf.DUMMYFUNCTION("""COMPUTED_VALUE"""),"Brandon Aubrey")</f>
        <v>Brandon Aubrey</v>
      </c>
      <c r="M41" s="66" t="str">
        <f ca="1">IFERROR(__xludf.DUMMYFUNCTION("""COMPUTED_VALUE"""),"Kareem Hunt")</f>
        <v>Kareem Hunt</v>
      </c>
      <c r="N41" s="66" t="str">
        <f ca="1">IFERROR(__xludf.DUMMYFUNCTION("""COMPUTED_VALUE"""),"Chig Okonkwo")</f>
        <v>Chig Okonkwo</v>
      </c>
      <c r="O41" s="66" t="str">
        <f ca="1">IFERROR(__xludf.DUMMYFUNCTION("""COMPUTED_VALUE"""),"Kyle Williams")</f>
        <v>Kyle Williams</v>
      </c>
      <c r="P41" s="66" t="str">
        <f ca="1">IFERROR(__xludf.DUMMYFUNCTION("""COMPUTED_VALUE"""),"Tre' Harris")</f>
        <v>Tre' Harris</v>
      </c>
      <c r="Q41" s="66" t="str">
        <f ca="1">IFERROR(__xludf.DUMMYFUNCTION("""COMPUTED_VALUE"""),"MarShawn Lloyd")</f>
        <v>MarShawn Lloyd</v>
      </c>
      <c r="R41" s="66" t="str">
        <f ca="1">IFERROR(__xludf.DUMMYFUNCTION("""COMPUTED_VALUE"""),"Aaron Rodgers")</f>
        <v>Aaron Rodgers</v>
      </c>
      <c r="S41" s="66" t="str">
        <f ca="1">IFERROR(__xludf.DUMMYFUNCTION("""COMPUTED_VALUE"""),"DeMario Douglas")</f>
        <v>DeMario Douglas</v>
      </c>
      <c r="T41" s="66" t="str">
        <f ca="1">IFERROR(__xludf.DUMMYFUNCTION("""COMPUTED_VALUE"""),"Keenan Allen")</f>
        <v>Keenan Allen</v>
      </c>
      <c r="U41" s="66" t="str">
        <f ca="1">IFERROR(__xludf.DUMMYFUNCTION("""COMPUTED_VALUE"""),"Matthew Stafford")</f>
        <v>Matthew Stafford</v>
      </c>
    </row>
    <row r="42" spans="1:21">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66" t="str">
        <f ca="1">IFERROR(__xludf.DUMMYFUNCTION("""COMPUTED_VALUE"""),"Will Shipley")</f>
        <v>Will Shipley</v>
      </c>
      <c r="D42" s="66" t="str">
        <f ca="1">IFERROR(__xludf.DUMMYFUNCTION("""COMPUTED_VALUE"""),"Mason Taylor")</f>
        <v>Mason Taylor</v>
      </c>
      <c r="E42" s="66" t="str">
        <f ca="1">IFERROR(__xludf.DUMMYFUNCTION("""COMPUTED_VALUE"""),"Pat Freiermuth")</f>
        <v>Pat Freiermuth</v>
      </c>
      <c r="F42" s="66" t="str">
        <f ca="1">IFERROR(__xludf.DUMMYFUNCTION("""COMPUTED_VALUE"""),"Chris Rodriguez Jr.")</f>
        <v>Chris Rodriguez Jr.</v>
      </c>
      <c r="G42" s="66" t="str">
        <f ca="1">IFERROR(__xludf.DUMMYFUNCTION("""COMPUTED_VALUE"""),"Jalen McMillan")</f>
        <v>Jalen McMillan</v>
      </c>
      <c r="H42" s="66" t="str">
        <f ca="1">IFERROR(__xludf.DUMMYFUNCTION("""COMPUTED_VALUE"""),"Washington Commanders")</f>
        <v>Washington Commanders</v>
      </c>
      <c r="I42" s="66" t="str">
        <f ca="1">IFERROR(__xludf.DUMMYFUNCTION("""COMPUTED_VALUE"""),"Shedeur Sanders")</f>
        <v>Shedeur Sanders</v>
      </c>
      <c r="J42" s="66" t="str">
        <f ca="1">IFERROR(__xludf.DUMMYFUNCTION("""COMPUTED_VALUE"""),"Jack Bech")</f>
        <v>Jack Bech</v>
      </c>
      <c r="K42" s="66" t="str">
        <f ca="1">IFERROR(__xludf.DUMMYFUNCTION("""COMPUTED_VALUE"""),"Isaiah Likely")</f>
        <v>Isaiah Likely</v>
      </c>
      <c r="L42" s="66" t="str">
        <f ca="1">IFERROR(__xludf.DUMMYFUNCTION("""COMPUTED_VALUE"""),"Justice Hill")</f>
        <v>Justice Hill</v>
      </c>
      <c r="M42" s="66" t="str">
        <f ca="1">IFERROR(__xludf.DUMMYFUNCTION("""COMPUTED_VALUE"""),"Michael Wilson")</f>
        <v>Michael Wilson</v>
      </c>
      <c r="N42" s="66" t="str">
        <f ca="1">IFERROR(__xludf.DUMMYFUNCTION("""COMPUTED_VALUE"""),"Jake Bates")</f>
        <v>Jake Bates</v>
      </c>
      <c r="O42" s="66" t="str">
        <f ca="1">IFERROR(__xludf.DUMMYFUNCTION("""COMPUTED_VALUE"""),"Cade Otton")</f>
        <v>Cade Otton</v>
      </c>
      <c r="P42" s="66" t="str">
        <f ca="1">IFERROR(__xludf.DUMMYFUNCTION("""COMPUTED_VALUE"""),"Amari Cooper")</f>
        <v>Amari Cooper</v>
      </c>
      <c r="Q42" s="66" t="str">
        <f ca="1">IFERROR(__xludf.DUMMYFUNCTION("""COMPUTED_VALUE"""),"Detroit Lions")</f>
        <v>Detroit Lions</v>
      </c>
      <c r="R42" s="66" t="str">
        <f ca="1">IFERROR(__xludf.DUMMYFUNCTION("""COMPUTED_VALUE"""),"Darren Waller")</f>
        <v>Darren Waller</v>
      </c>
      <c r="S42" s="66" t="str">
        <f ca="1">IFERROR(__xludf.DUMMYFUNCTION("""COMPUTED_VALUE"""),"Buffalo Bills")</f>
        <v>Buffalo Bills</v>
      </c>
      <c r="T42" s="66" t="str">
        <f ca="1">IFERROR(__xludf.DUMMYFUNCTION("""COMPUTED_VALUE"""),"Keaton Mitchell")</f>
        <v>Keaton Mitchell</v>
      </c>
      <c r="U42" s="66" t="str">
        <f ca="1">IFERROR(__xludf.DUMMYFUNCTION("""COMPUTED_VALUE"""),"Dalton Schultz")</f>
        <v>Dalton Schultz</v>
      </c>
    </row>
    <row r="43" spans="1:21">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66" t="str">
        <f ca="1">IFERROR(__xludf.DUMMYFUNCTION("""COMPUTED_VALUE"""),"Antonio Gibson")</f>
        <v>Antonio Gibson</v>
      </c>
      <c r="D43" s="66" t="str">
        <f ca="1">IFERROR(__xludf.DUMMYFUNCTION("""COMPUTED_VALUE"""),"Los Angeles Chargers")</f>
        <v>Los Angeles Chargers</v>
      </c>
      <c r="E43" s="66" t="str">
        <f ca="1">IFERROR(__xludf.DUMMYFUNCTION("""COMPUTED_VALUE"""),"Tahj Brooks")</f>
        <v>Tahj Brooks</v>
      </c>
      <c r="F43" s="66" t="str">
        <f ca="1">IFERROR(__xludf.DUMMYFUNCTION("""COMPUTED_VALUE"""),"Jalen Coker")</f>
        <v>Jalen Coker</v>
      </c>
      <c r="G43" s="66" t="str">
        <f ca="1">IFERROR(__xludf.DUMMYFUNCTION("""COMPUTED_VALUE"""),"Kendre Miller")</f>
        <v>Kendre Miller</v>
      </c>
      <c r="H43" s="66" t="str">
        <f ca="1">IFERROR(__xludf.DUMMYFUNCTION("""COMPUTED_VALUE"""),"Brandin Cooks")</f>
        <v>Brandin Cooks</v>
      </c>
      <c r="I43" s="66" t="str">
        <f ca="1">IFERROR(__xludf.DUMMYFUNCTION("""COMPUTED_VALUE"""),"Ka'imi Fairbairn")</f>
        <v>Ka'imi Fairbairn</v>
      </c>
      <c r="J43" s="66" t="str">
        <f ca="1">IFERROR(__xludf.DUMMYFUNCTION("""COMPUTED_VALUE"""),"Cade Stover")</f>
        <v>Cade Stover</v>
      </c>
      <c r="K43" s="66" t="str">
        <f ca="1">IFERROR(__xludf.DUMMYFUNCTION("""COMPUTED_VALUE"""),"Kyle Monangai")</f>
        <v>Kyle Monangai</v>
      </c>
      <c r="L43" s="66" t="str">
        <f ca="1">IFERROR(__xludf.DUMMYFUNCTION("""COMPUTED_VALUE"""),"DeAndre Hopkins")</f>
        <v>DeAndre Hopkins</v>
      </c>
      <c r="M43" s="66" t="str">
        <f ca="1">IFERROR(__xludf.DUMMYFUNCTION("""COMPUTED_VALUE"""),"Ja'Tavion Sanders")</f>
        <v>Ja'Tavion Sanders</v>
      </c>
      <c r="N43" s="66" t="str">
        <f ca="1">IFERROR(__xludf.DUMMYFUNCTION("""COMPUTED_VALUE"""),"Jalen Milroe")</f>
        <v>Jalen Milroe</v>
      </c>
      <c r="O43" s="66" t="str">
        <f ca="1">IFERROR(__xludf.DUMMYFUNCTION("""COMPUTED_VALUE"""),"Jason Sanders")</f>
        <v>Jason Sanders</v>
      </c>
      <c r="P43" s="66" t="str">
        <f ca="1">IFERROR(__xludf.DUMMYFUNCTION("""COMPUTED_VALUE"""),"Green Bay Packers")</f>
        <v>Green Bay Packers</v>
      </c>
      <c r="Q43" s="66" t="str">
        <f ca="1">IFERROR(__xludf.DUMMYFUNCTION("""COMPUTED_VALUE"""),"Spencer Rattler")</f>
        <v>Spencer Rattler</v>
      </c>
      <c r="R43" s="66" t="str">
        <f ca="1">IFERROR(__xludf.DUMMYFUNCTION("""COMPUTED_VALUE"""),"Ollie Gordon II")</f>
        <v>Ollie Gordon II</v>
      </c>
      <c r="S43" s="66" t="str">
        <f ca="1">IFERROR(__xludf.DUMMYFUNCTION("""COMPUTED_VALUE"""),"Chase McLaughlin")</f>
        <v>Chase McLaughlin</v>
      </c>
      <c r="T43" s="66" t="str">
        <f ca="1">IFERROR(__xludf.DUMMYFUNCTION("""COMPUTED_VALUE"""),"Los Angeles Rams")</f>
        <v>Los Angeles Rams</v>
      </c>
      <c r="U43" s="66" t="str">
        <f ca="1">IFERROR(__xludf.DUMMYFUNCTION("""COMPUTED_VALUE"""),"Wil Lutz")</f>
        <v>Wil Lutz</v>
      </c>
    </row>
    <row r="44" spans="1:21">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66" t="str">
        <f ca="1">IFERROR(__xludf.DUMMYFUNCTION("""COMPUTED_VALUE"""),"Dallas Cowboys")</f>
        <v>Dallas Cowboys</v>
      </c>
      <c r="D44" s="66" t="str">
        <f ca="1">IFERROR(__xludf.DUMMYFUNCTION("""COMPUTED_VALUE"""),"Alec Pierce")</f>
        <v>Alec Pierce</v>
      </c>
      <c r="E44" s="66" t="str">
        <f ca="1">IFERROR(__xludf.DUMMYFUNCTION("""COMPUTED_VALUE"""),"Darius Slayton")</f>
        <v>Darius Slayton</v>
      </c>
      <c r="F44" s="66" t="str">
        <f ca="1">IFERROR(__xludf.DUMMYFUNCTION("""COMPUTED_VALUE"""),"Adonai Mitchell")</f>
        <v>Adonai Mitchell</v>
      </c>
      <c r="G44" s="66" t="str">
        <f ca="1">IFERROR(__xludf.DUMMYFUNCTION("""COMPUTED_VALUE"""),"Juwan Johnson")</f>
        <v>Juwan Johnson</v>
      </c>
      <c r="H44" s="66" t="str">
        <f ca="1">IFERROR(__xludf.DUMMYFUNCTION("""COMPUTED_VALUE"""),"Cole Kmet")</f>
        <v>Cole Kmet</v>
      </c>
      <c r="I44" s="66" t="str">
        <f ca="1">IFERROR(__xludf.DUMMYFUNCTION("""COMPUTED_VALUE"""),"Jaleel McLaughlin")</f>
        <v>Jaleel McLaughlin</v>
      </c>
      <c r="J44" s="66" t="str">
        <f ca="1">IFERROR(__xludf.DUMMYFUNCTION("""COMPUTED_VALUE"""),"Gardner Minshew II")</f>
        <v>Gardner Minshew II</v>
      </c>
      <c r="K44" s="66" t="str">
        <f ca="1">IFERROR(__xludf.DUMMYFUNCTION("""COMPUTED_VALUE"""),"Elic Ayomanor")</f>
        <v>Elic Ayomanor</v>
      </c>
      <c r="L44" s="66" t="str">
        <f ca="1">IFERROR(__xludf.DUMMYFUNCTION("""COMPUTED_VALUE"""),"Jameis Winston")</f>
        <v>Jameis Winston</v>
      </c>
      <c r="M44" s="66" t="str">
        <f ca="1">IFERROR(__xludf.DUMMYFUNCTION("""COMPUTED_VALUE"""),"Chris Boswell")</f>
        <v>Chris Boswell</v>
      </c>
      <c r="N44" s="66" t="str">
        <f ca="1">IFERROR(__xludf.DUMMYFUNCTION("""COMPUTED_VALUE"""),"San Francisco 49ers")</f>
        <v>San Francisco 49ers</v>
      </c>
      <c r="O44" s="66" t="str">
        <f ca="1">IFERROR(__xludf.DUMMYFUNCTION("""COMPUTED_VALUE"""),"Arizona Cardinals")</f>
        <v>Arizona Cardinals</v>
      </c>
      <c r="P44" s="66" t="str">
        <f ca="1">IFERROR(__xludf.DUMMYFUNCTION("""COMPUTED_VALUE"""),"Jarquez Hunter")</f>
        <v>Jarquez Hunter</v>
      </c>
      <c r="Q44" s="66" t="str">
        <f ca="1">IFERROR(__xludf.DUMMYFUNCTION("""COMPUTED_VALUE"""),"Younghoe Koo")</f>
        <v>Younghoe Koo</v>
      </c>
      <c r="R44" s="66" t="str">
        <f ca="1">IFERROR(__xludf.DUMMYFUNCTION("""COMPUTED_VALUE"""),"Tampa Bay Buccaneers")</f>
        <v>Tampa Bay Buccaneers</v>
      </c>
      <c r="S44" s="66" t="str">
        <f ca="1">IFERROR(__xludf.DUMMYFUNCTION("""COMPUTED_VALUE"""),"Noah Gray")</f>
        <v>Noah Gray</v>
      </c>
      <c r="T44" s="66" t="str">
        <f ca="1">IFERROR(__xludf.DUMMYFUNCTION("""COMPUTED_VALUE"""),"Tyler Lockett")</f>
        <v>Tyler Lockett</v>
      </c>
      <c r="U44" s="66" t="str">
        <f ca="1">IFERROR(__xludf.DUMMYFUNCTION("""COMPUTED_VALUE"""),"Dontayvion Wicks")</f>
        <v>Dontayvion Wicks</v>
      </c>
    </row>
    <row r="45" spans="1:21">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66" t="str">
        <f ca="1">IFERROR(__xludf.DUMMYFUNCTION("""COMPUTED_VALUE"""),"Jake Elliott")</f>
        <v>Jake Elliott</v>
      </c>
      <c r="D45" s="66" t="str">
        <f ca="1">IFERROR(__xludf.DUMMYFUNCTION("""COMPUTED_VALUE"""),"Chicago Bears")</f>
        <v>Chicago Bears</v>
      </c>
      <c r="E45" s="66" t="str">
        <f ca="1">IFERROR(__xludf.DUMMYFUNCTION("""COMPUTED_VALUE"""),"Dyami Brown")</f>
        <v>Dyami Brown</v>
      </c>
      <c r="F45" s="66" t="str">
        <f ca="1">IFERROR(__xludf.DUMMYFUNCTION("""COMPUTED_VALUE"""),"Tyler Bass")</f>
        <v>Tyler Bass</v>
      </c>
      <c r="G45" s="66" t="str">
        <f ca="1">IFERROR(__xludf.DUMMYFUNCTION("""COMPUTED_VALUE"""),"New York Jets")</f>
        <v>New York Jets</v>
      </c>
      <c r="H45" s="66" t="str">
        <f ca="1">IFERROR(__xludf.DUMMYFUNCTION("""COMPUTED_VALUE"""),"Dameon Pierce")</f>
        <v>Dameon Pierce</v>
      </c>
      <c r="I45" s="66" t="str">
        <f ca="1">IFERROR(__xludf.DUMMYFUNCTION("""COMPUTED_VALUE"""),"Pat Bryant")</f>
        <v>Pat Bryant</v>
      </c>
      <c r="J45" s="66" t="str">
        <f ca="1">IFERROR(__xludf.DUMMYFUNCTION("""COMPUTED_VALUE"""),"Tyler Loop")</f>
        <v>Tyler Loop</v>
      </c>
      <c r="K45" s="66" t="str">
        <f ca="1">IFERROR(__xludf.DUMMYFUNCTION("""COMPUTED_VALUE"""),"Jalen Royals")</f>
        <v>Jalen Royals</v>
      </c>
      <c r="L45" s="66" t="str">
        <f ca="1">IFERROR(__xludf.DUMMYFUNCTION("""COMPUTED_VALUE"""),"Devin Neal")</f>
        <v>Devin Neal</v>
      </c>
      <c r="M45" s="66" t="str">
        <f ca="1">IFERROR(__xludf.DUMMYFUNCTION("""COMPUTED_VALUE"""),"Noah Fant")</f>
        <v>Noah Fant</v>
      </c>
      <c r="N45" s="66" t="str">
        <f ca="1">IFERROR(__xludf.DUMMYFUNCTION("""COMPUTED_VALUE"""),"Calvin Austin III")</f>
        <v>Calvin Austin III</v>
      </c>
      <c r="O45" s="66" t="str">
        <f ca="1">IFERROR(__xludf.DUMMYFUNCTION("""COMPUTED_VALUE"""),"Matt Gay")</f>
        <v>Matt Gay</v>
      </c>
      <c r="P45" s="66" t="str">
        <f ca="1">IFERROR(__xludf.DUMMYFUNCTION("""COMPUTED_VALUE"""),"Evan McPherson")</f>
        <v>Evan McPherson</v>
      </c>
      <c r="Q45" s="66" t="str">
        <f ca="1">IFERROR(__xludf.DUMMYFUNCTION("""COMPUTED_VALUE"""),"Andrei Iosivas")</f>
        <v>Andrei Iosivas</v>
      </c>
      <c r="R45" s="66" t="str">
        <f ca="1">IFERROR(__xludf.DUMMYFUNCTION("""COMPUTED_VALUE"""),"Jaylin Noel")</f>
        <v>Jaylin Noel</v>
      </c>
      <c r="S45" s="66" t="str">
        <f ca="1">IFERROR(__xludf.DUMMYFUNCTION("""COMPUTED_VALUE"""),"Raheem Mostert")</f>
        <v>Raheem Mostert</v>
      </c>
      <c r="T45" s="66" t="str">
        <f ca="1">IFERROR(__xludf.DUMMYFUNCTION("""COMPUTED_VALUE"""),"Harrison Butker")</f>
        <v>Harrison Butker</v>
      </c>
      <c r="U45" s="66" t="str">
        <f ca="1">IFERROR(__xludf.DUMMYFUNCTION("""COMPUTED_VALUE"""),"Brashard Smith")</f>
        <v>Brashard Smith</v>
      </c>
    </row>
    <row r="46" spans="1:21">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66" t="str">
        <f ca="1">IFERROR(__xludf.DUMMYFUNCTION("""COMPUTED_VALUE"""),"Jalen Nailor")</f>
        <v>Jalen Nailor</v>
      </c>
      <c r="D46" s="66" t="str">
        <f ca="1">IFERROR(__xludf.DUMMYFUNCTION("""COMPUTED_VALUE"""),"Will Reichard")</f>
        <v>Will Reichard</v>
      </c>
      <c r="E46" s="66" t="str">
        <f ca="1">IFERROR(__xludf.DUMMYFUNCTION("""COMPUTED_VALUE"""),"Joshua Karty")</f>
        <v>Joshua Karty</v>
      </c>
      <c r="F46" s="66" t="str">
        <f ca="1">IFERROR(__xludf.DUMMYFUNCTION("""COMPUTED_VALUE"""),"New England Patriots")</f>
        <v>New England Patriots</v>
      </c>
      <c r="G46" s="66" t="str">
        <f ca="1">IFERROR(__xludf.DUMMYFUNCTION("""COMPUTED_VALUE"""),"Daniel Carlson")</f>
        <v>Daniel Carlson</v>
      </c>
      <c r="H46" s="66" t="str">
        <f ca="1">IFERROR(__xludf.DUMMYFUNCTION("""COMPUTED_VALUE"""),"Cairo Santos")</f>
        <v>Cairo Santos</v>
      </c>
      <c r="I46" s="66" t="str">
        <f ca="1">IFERROR(__xludf.DUMMYFUNCTION("""COMPUTED_VALUE"""),"Elijah Mitchell")</f>
        <v>Elijah Mitchell</v>
      </c>
      <c r="J46" s="66" t="str">
        <f ca="1">IFERROR(__xludf.DUMMYFUNCTION("""COMPUTED_VALUE"""),"Atlanta Falcons")</f>
        <v>Atlanta Falcons</v>
      </c>
      <c r="K46" s="66" t="str">
        <f ca="1">IFERROR(__xludf.DUMMYFUNCTION("""COMPUTED_VALUE"""),"Brandon McManus")</f>
        <v>Brandon McManus</v>
      </c>
      <c r="L46" s="66" t="str">
        <f ca="1">IFERROR(__xludf.DUMMYFUNCTION("""COMPUTED_VALUE"""),"Devaughn Vele")</f>
        <v>Devaughn Vele</v>
      </c>
      <c r="M46" s="66" t="str">
        <f ca="1">IFERROR(__xludf.DUMMYFUNCTION("""COMPUTED_VALUE"""),"New York Giants")</f>
        <v>New York Giants</v>
      </c>
      <c r="N46" s="66" t="str">
        <f ca="1">IFERROR(__xludf.DUMMYFUNCTION("""COMPUTED_VALUE"""),"Sean Tucker")</f>
        <v>Sean Tucker</v>
      </c>
      <c r="O46" s="66" t="str">
        <f ca="1">IFERROR(__xludf.DUMMYFUNCTION("""COMPUTED_VALUE"""),"Indianapolis Colts")</f>
        <v>Indianapolis Colts</v>
      </c>
      <c r="P46" s="66" t="str">
        <f ca="1">IFERROR(__xludf.DUMMYFUNCTION("""COMPUTED_VALUE"""),"Cleveland Browns")</f>
        <v>Cleveland Browns</v>
      </c>
      <c r="Q46" s="66" t="str">
        <f ca="1">IFERROR(__xludf.DUMMYFUNCTION("""COMPUTED_VALUE"""),"Ty Johnson")</f>
        <v>Ty Johnson</v>
      </c>
      <c r="R46" s="66" t="str">
        <f ca="1">IFERROR(__xludf.DUMMYFUNCTION("""COMPUTED_VALUE"""),"Cam Little")</f>
        <v>Cam Little</v>
      </c>
      <c r="S46" s="66" t="str">
        <f ca="1">IFERROR(__xludf.DUMMYFUNCTION("""COMPUTED_VALUE"""),"Trevor Etienne")</f>
        <v>Trevor Etienne</v>
      </c>
      <c r="T46" s="66" t="str">
        <f ca="1">IFERROR(__xludf.DUMMYFUNCTION("""COMPUTED_VALUE"""),"Roman Wilson")</f>
        <v>Roman Wilson</v>
      </c>
      <c r="U46" s="66" t="str">
        <f ca="1">IFERROR(__xludf.DUMMYFUNCTION("""COMPUTED_VALUE"""),"Jalen Tolbert")</f>
        <v>Jalen Tolbert</v>
      </c>
    </row>
  </sheetData>
  <mergeCells count="2">
    <mergeCell ref="B1:C1"/>
    <mergeCell ref="N3:O3"/>
  </mergeCells>
  <conditionalFormatting sqref="B4:B28 D4:D28 F4:F28 H4:H28 J4:J28 L4:L28">
    <cfRule type="expression" dxfId="17104" priority="1">
      <formula>COUNTIF($B$32:$U$46,"*"&amp;B4&amp;"*")&gt;0</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Y1000"/>
  <sheetViews>
    <sheetView workbookViewId="0"/>
  </sheetViews>
  <sheetFormatPr baseColWidth="10" defaultColWidth="14.44140625" defaultRowHeight="15" customHeight="1"/>
  <cols>
    <col min="12" max="12" width="39.33203125" customWidth="1"/>
  </cols>
  <sheetData>
    <row r="1" spans="1:25">
      <c r="A1" s="70"/>
      <c r="B1" s="138" t="s">
        <v>1312</v>
      </c>
      <c r="C1" s="139"/>
      <c r="D1" s="70"/>
      <c r="E1" s="70"/>
      <c r="F1" s="70"/>
      <c r="G1" s="70"/>
      <c r="H1" s="70"/>
      <c r="I1" s="70"/>
      <c r="J1" s="70"/>
      <c r="K1" s="70"/>
      <c r="L1" s="70"/>
      <c r="M1" s="70"/>
      <c r="N1" s="70"/>
      <c r="O1" s="70"/>
      <c r="P1" s="70"/>
      <c r="Q1" s="70"/>
      <c r="R1" s="70"/>
      <c r="S1" s="70"/>
      <c r="T1" s="70"/>
      <c r="U1" s="70"/>
      <c r="V1" s="70"/>
      <c r="W1" s="70"/>
      <c r="X1" s="70"/>
      <c r="Y1" s="70"/>
    </row>
    <row r="2" spans="1:25">
      <c r="A2" s="70"/>
      <c r="B2" s="70"/>
      <c r="C2" s="70"/>
      <c r="D2" s="70"/>
      <c r="E2" s="70"/>
      <c r="F2" s="70"/>
      <c r="G2" s="70"/>
      <c r="H2" s="70"/>
      <c r="I2" s="70"/>
      <c r="J2" s="70"/>
      <c r="K2" s="70"/>
      <c r="L2" s="70"/>
      <c r="M2" s="70"/>
      <c r="N2" s="70"/>
      <c r="O2" s="70"/>
      <c r="P2" s="70"/>
      <c r="Q2" s="70"/>
      <c r="R2" s="70"/>
      <c r="S2" s="70"/>
      <c r="T2" s="70"/>
      <c r="U2" s="70"/>
      <c r="V2" s="70"/>
      <c r="W2" s="70"/>
      <c r="X2" s="70"/>
      <c r="Y2" s="70"/>
    </row>
    <row r="3" spans="1:25">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c r="Q3" s="70"/>
      <c r="R3" s="70"/>
      <c r="S3" s="70"/>
      <c r="T3" s="70"/>
      <c r="U3" s="70"/>
      <c r="V3" s="70"/>
      <c r="W3" s="70"/>
      <c r="X3" s="70"/>
      <c r="Y3" s="70"/>
    </row>
    <row r="4" spans="1:25">
      <c r="A4" s="77">
        <v>1</v>
      </c>
      <c r="B4" s="78" t="s">
        <v>1114</v>
      </c>
      <c r="C4" s="79" t="s">
        <v>410</v>
      </c>
      <c r="D4" s="78" t="s">
        <v>1116</v>
      </c>
      <c r="E4" s="79" t="s">
        <v>391</v>
      </c>
      <c r="F4" s="78" t="s">
        <v>1157</v>
      </c>
      <c r="G4" s="79" t="s">
        <v>400</v>
      </c>
      <c r="H4" s="80" t="s">
        <v>1261</v>
      </c>
      <c r="I4" s="79" t="s">
        <v>387</v>
      </c>
      <c r="J4" s="78" t="s">
        <v>1170</v>
      </c>
      <c r="K4" s="79" t="s">
        <v>411</v>
      </c>
      <c r="L4" s="81" t="s">
        <v>221</v>
      </c>
      <c r="M4" s="70">
        <v>1</v>
      </c>
      <c r="N4" s="80" t="s">
        <v>338</v>
      </c>
      <c r="O4" s="79"/>
      <c r="P4" s="70"/>
      <c r="Q4" s="70"/>
      <c r="R4" s="70"/>
      <c r="S4" s="70"/>
      <c r="T4" s="70"/>
      <c r="U4" s="70"/>
      <c r="V4" s="70"/>
      <c r="W4" s="70"/>
      <c r="X4" s="70"/>
      <c r="Y4" s="70"/>
    </row>
    <row r="5" spans="1:25">
      <c r="A5" s="77">
        <v>2</v>
      </c>
      <c r="B5" s="78" t="s">
        <v>1313</v>
      </c>
      <c r="C5" s="79" t="s">
        <v>386</v>
      </c>
      <c r="D5" s="78" t="s">
        <v>1266</v>
      </c>
      <c r="E5" s="79" t="s">
        <v>405</v>
      </c>
      <c r="F5" s="78" t="s">
        <v>1167</v>
      </c>
      <c r="G5" s="79" t="s">
        <v>405</v>
      </c>
      <c r="H5" s="78" t="s">
        <v>1270</v>
      </c>
      <c r="I5" s="79" t="s">
        <v>391</v>
      </c>
      <c r="J5" s="78" t="s">
        <v>1193</v>
      </c>
      <c r="K5" s="79" t="s">
        <v>386</v>
      </c>
      <c r="L5" s="81" t="s">
        <v>250</v>
      </c>
      <c r="M5" s="70">
        <v>2</v>
      </c>
      <c r="N5" s="80" t="s">
        <v>339</v>
      </c>
      <c r="O5" s="79"/>
      <c r="P5" s="70"/>
      <c r="Q5" s="70"/>
      <c r="R5" s="70"/>
      <c r="S5" s="70"/>
      <c r="T5" s="70"/>
      <c r="U5" s="70"/>
      <c r="V5" s="70"/>
      <c r="W5" s="70"/>
      <c r="X5" s="70"/>
      <c r="Y5" s="70"/>
    </row>
    <row r="6" spans="1:25">
      <c r="A6" s="77">
        <v>3</v>
      </c>
      <c r="B6" s="78" t="s">
        <v>1260</v>
      </c>
      <c r="C6" s="79" t="s">
        <v>395</v>
      </c>
      <c r="D6" s="78" t="s">
        <v>1274</v>
      </c>
      <c r="E6" s="79" t="s">
        <v>402</v>
      </c>
      <c r="F6" s="78" t="s">
        <v>1139</v>
      </c>
      <c r="G6" s="79" t="s">
        <v>395</v>
      </c>
      <c r="H6" s="80" t="s">
        <v>1314</v>
      </c>
      <c r="I6" s="79" t="s">
        <v>388</v>
      </c>
      <c r="J6" s="80" t="s">
        <v>1315</v>
      </c>
      <c r="K6" s="79" t="s">
        <v>404</v>
      </c>
      <c r="L6" s="81" t="s">
        <v>192</v>
      </c>
      <c r="M6" s="70">
        <v>3</v>
      </c>
      <c r="N6" s="80" t="s">
        <v>338</v>
      </c>
      <c r="O6" s="79"/>
      <c r="P6" s="70"/>
      <c r="Q6" s="70"/>
      <c r="R6" s="70"/>
      <c r="S6" s="70"/>
      <c r="T6" s="70"/>
      <c r="U6" s="70"/>
      <c r="V6" s="70"/>
      <c r="W6" s="70"/>
      <c r="X6" s="70"/>
      <c r="Y6" s="70"/>
    </row>
    <row r="7" spans="1:25">
      <c r="A7" s="77">
        <v>4</v>
      </c>
      <c r="B7" s="78" t="s">
        <v>1224</v>
      </c>
      <c r="C7" s="79" t="s">
        <v>387</v>
      </c>
      <c r="D7" s="78" t="s">
        <v>1263</v>
      </c>
      <c r="E7" s="79" t="s">
        <v>393</v>
      </c>
      <c r="F7" s="78" t="s">
        <v>1316</v>
      </c>
      <c r="G7" s="79" t="s">
        <v>385</v>
      </c>
      <c r="H7" s="80" t="s">
        <v>1264</v>
      </c>
      <c r="I7" s="79" t="s">
        <v>410</v>
      </c>
      <c r="J7" s="80" t="s">
        <v>1210</v>
      </c>
      <c r="K7" s="79" t="s">
        <v>403</v>
      </c>
      <c r="L7" s="81" t="s">
        <v>189</v>
      </c>
      <c r="M7" s="70">
        <v>4</v>
      </c>
      <c r="N7" s="80" t="s">
        <v>340</v>
      </c>
      <c r="O7" s="79"/>
      <c r="P7" s="70"/>
      <c r="Q7" s="70"/>
      <c r="R7" s="70"/>
      <c r="S7" s="70"/>
      <c r="T7" s="70"/>
      <c r="U7" s="70"/>
      <c r="V7" s="70"/>
      <c r="W7" s="70"/>
      <c r="X7" s="70"/>
      <c r="Y7" s="70"/>
    </row>
    <row r="8" spans="1:25">
      <c r="A8" s="77">
        <v>5</v>
      </c>
      <c r="B8" s="78" t="s">
        <v>1271</v>
      </c>
      <c r="C8" s="79" t="s">
        <v>404</v>
      </c>
      <c r="D8" s="78" t="s">
        <v>1272</v>
      </c>
      <c r="E8" s="79" t="s">
        <v>408</v>
      </c>
      <c r="F8" s="80" t="s">
        <v>1118</v>
      </c>
      <c r="G8" s="79" t="s">
        <v>403</v>
      </c>
      <c r="H8" s="78" t="s">
        <v>1317</v>
      </c>
      <c r="I8" s="79" t="s">
        <v>400</v>
      </c>
      <c r="J8" s="78" t="s">
        <v>1262</v>
      </c>
      <c r="K8" s="79" t="s">
        <v>393</v>
      </c>
      <c r="L8" s="81" t="s">
        <v>248</v>
      </c>
      <c r="M8" s="70">
        <v>5</v>
      </c>
      <c r="N8" s="80" t="s">
        <v>339</v>
      </c>
      <c r="O8" s="79"/>
      <c r="P8" s="70"/>
      <c r="Q8" s="70"/>
      <c r="R8" s="70"/>
      <c r="S8" s="70"/>
      <c r="T8" s="70"/>
      <c r="U8" s="70"/>
      <c r="V8" s="70"/>
      <c r="W8" s="70"/>
      <c r="X8" s="70"/>
      <c r="Y8" s="70"/>
    </row>
    <row r="9" spans="1:25">
      <c r="A9" s="77">
        <v>6</v>
      </c>
      <c r="B9" s="78" t="s">
        <v>1268</v>
      </c>
      <c r="C9" s="79" t="s">
        <v>396</v>
      </c>
      <c r="D9" s="78" t="s">
        <v>1318</v>
      </c>
      <c r="E9" s="79" t="s">
        <v>410</v>
      </c>
      <c r="F9" s="80" t="s">
        <v>1149</v>
      </c>
      <c r="G9" s="79" t="s">
        <v>413</v>
      </c>
      <c r="H9" s="80" t="s">
        <v>1267</v>
      </c>
      <c r="I9" s="79" t="s">
        <v>416</v>
      </c>
      <c r="J9" s="78" t="s">
        <v>1152</v>
      </c>
      <c r="K9" s="79" t="s">
        <v>401</v>
      </c>
      <c r="L9" s="79" t="s">
        <v>256</v>
      </c>
      <c r="M9" s="70">
        <v>6</v>
      </c>
      <c r="N9" s="80" t="s">
        <v>338</v>
      </c>
      <c r="O9" s="79"/>
      <c r="P9" s="70"/>
      <c r="Q9" s="70"/>
      <c r="R9" s="70"/>
      <c r="S9" s="70"/>
      <c r="T9" s="70"/>
      <c r="U9" s="70"/>
      <c r="V9" s="70"/>
      <c r="W9" s="70"/>
      <c r="X9" s="70"/>
      <c r="Y9" s="70"/>
    </row>
    <row r="10" spans="1:25">
      <c r="A10" s="77">
        <v>7</v>
      </c>
      <c r="B10" s="78" t="s">
        <v>1273</v>
      </c>
      <c r="C10" s="79" t="s">
        <v>398</v>
      </c>
      <c r="D10" s="78" t="s">
        <v>1319</v>
      </c>
      <c r="E10" s="79" t="s">
        <v>395</v>
      </c>
      <c r="F10" s="78" t="s">
        <v>1164</v>
      </c>
      <c r="G10" s="79" t="s">
        <v>398</v>
      </c>
      <c r="H10" s="78" t="s">
        <v>1320</v>
      </c>
      <c r="I10" s="79" t="s">
        <v>409</v>
      </c>
      <c r="J10" s="78" t="s">
        <v>1132</v>
      </c>
      <c r="K10" s="79" t="s">
        <v>395</v>
      </c>
      <c r="L10" s="79" t="s">
        <v>272</v>
      </c>
      <c r="M10" s="70">
        <v>7</v>
      </c>
      <c r="N10" s="80" t="s">
        <v>337</v>
      </c>
      <c r="O10" s="79"/>
      <c r="P10" s="70"/>
      <c r="Q10" s="70"/>
      <c r="R10" s="70"/>
      <c r="S10" s="70"/>
      <c r="T10" s="70"/>
      <c r="U10" s="70"/>
      <c r="V10" s="70"/>
      <c r="W10" s="70"/>
      <c r="X10" s="70"/>
      <c r="Y10" s="70"/>
    </row>
    <row r="11" spans="1:25">
      <c r="A11" s="77">
        <v>8</v>
      </c>
      <c r="B11" s="78" t="s">
        <v>1265</v>
      </c>
      <c r="C11" s="79" t="s">
        <v>403</v>
      </c>
      <c r="D11" s="78" t="s">
        <v>1269</v>
      </c>
      <c r="E11" s="79" t="s">
        <v>397</v>
      </c>
      <c r="F11" s="78" t="s">
        <v>1176</v>
      </c>
      <c r="G11" s="79" t="s">
        <v>387</v>
      </c>
      <c r="H11" s="78" t="s">
        <v>1151</v>
      </c>
      <c r="I11" s="79" t="s">
        <v>395</v>
      </c>
      <c r="J11" s="78" t="s">
        <v>1161</v>
      </c>
      <c r="K11" s="79" t="s">
        <v>414</v>
      </c>
      <c r="L11" s="79" t="s">
        <v>287</v>
      </c>
      <c r="M11" s="70">
        <v>8</v>
      </c>
      <c r="N11" s="80" t="s">
        <v>339</v>
      </c>
      <c r="O11" s="79"/>
      <c r="P11" s="70"/>
      <c r="Q11" s="70"/>
      <c r="R11" s="70"/>
      <c r="S11" s="70"/>
      <c r="T11" s="70"/>
      <c r="U11" s="70"/>
      <c r="V11" s="70"/>
      <c r="W11" s="70"/>
      <c r="X11" s="70"/>
      <c r="Y11" s="70"/>
    </row>
    <row r="12" spans="1:25">
      <c r="A12" s="77">
        <v>9</v>
      </c>
      <c r="B12" s="78" t="s">
        <v>1318</v>
      </c>
      <c r="C12" s="79" t="s">
        <v>391</v>
      </c>
      <c r="D12" s="78" t="s">
        <v>1321</v>
      </c>
      <c r="E12" s="79" t="s">
        <v>386</v>
      </c>
      <c r="F12" s="78" t="s">
        <v>1182</v>
      </c>
      <c r="G12" s="79" t="s">
        <v>394</v>
      </c>
      <c r="H12" s="78" t="s">
        <v>1322</v>
      </c>
      <c r="I12" s="79" t="s">
        <v>385</v>
      </c>
      <c r="J12" s="80" t="s">
        <v>1245</v>
      </c>
      <c r="K12" s="79" t="s">
        <v>400</v>
      </c>
      <c r="L12" s="81" t="s">
        <v>201</v>
      </c>
      <c r="M12" s="70">
        <v>9</v>
      </c>
      <c r="N12" s="80" t="s">
        <v>340</v>
      </c>
      <c r="O12" s="79"/>
      <c r="P12" s="70"/>
      <c r="Q12" s="70"/>
      <c r="R12" s="70"/>
      <c r="S12" s="70"/>
      <c r="T12" s="70"/>
      <c r="U12" s="70"/>
      <c r="V12" s="70"/>
      <c r="W12" s="70"/>
      <c r="X12" s="70"/>
      <c r="Y12" s="70"/>
    </row>
    <row r="13" spans="1:25">
      <c r="A13" s="77">
        <v>10</v>
      </c>
      <c r="B13" s="78" t="s">
        <v>1323</v>
      </c>
      <c r="C13" s="79" t="s">
        <v>413</v>
      </c>
      <c r="D13" s="80" t="s">
        <v>1324</v>
      </c>
      <c r="E13" s="79" t="s">
        <v>414</v>
      </c>
      <c r="F13" s="78" t="s">
        <v>1325</v>
      </c>
      <c r="G13" s="79" t="s">
        <v>392</v>
      </c>
      <c r="H13" s="78" t="s">
        <v>1169</v>
      </c>
      <c r="I13" s="79" t="s">
        <v>394</v>
      </c>
      <c r="J13" s="80" t="s">
        <v>1326</v>
      </c>
      <c r="K13" s="79" t="s">
        <v>410</v>
      </c>
      <c r="L13" s="81" t="s">
        <v>152</v>
      </c>
      <c r="M13" s="70">
        <v>10</v>
      </c>
      <c r="N13" s="80" t="s">
        <v>338</v>
      </c>
      <c r="O13" s="79"/>
      <c r="P13" s="70"/>
      <c r="Q13" s="70"/>
      <c r="R13" s="70"/>
      <c r="S13" s="70"/>
      <c r="T13" s="70"/>
      <c r="U13" s="70"/>
      <c r="V13" s="70"/>
      <c r="W13" s="70"/>
      <c r="X13" s="70"/>
      <c r="Y13" s="70"/>
    </row>
    <row r="14" spans="1:25">
      <c r="A14" s="77">
        <v>11</v>
      </c>
      <c r="B14" s="78" t="s">
        <v>1192</v>
      </c>
      <c r="C14" s="79" t="s">
        <v>402</v>
      </c>
      <c r="D14" s="78" t="s">
        <v>1327</v>
      </c>
      <c r="E14" s="79" t="s">
        <v>404</v>
      </c>
      <c r="F14" s="80" t="s">
        <v>1198</v>
      </c>
      <c r="G14" s="79" t="s">
        <v>393</v>
      </c>
      <c r="H14" s="78" t="s">
        <v>1120</v>
      </c>
      <c r="I14" s="79" t="s">
        <v>393</v>
      </c>
      <c r="J14" s="80" t="s">
        <v>1231</v>
      </c>
      <c r="K14" s="79" t="s">
        <v>405</v>
      </c>
      <c r="L14" s="79"/>
      <c r="M14" s="70">
        <v>11</v>
      </c>
      <c r="N14" s="80" t="s">
        <v>341</v>
      </c>
      <c r="O14" s="79"/>
      <c r="P14" s="70"/>
      <c r="Q14" s="70"/>
      <c r="R14" s="70"/>
      <c r="S14" s="70"/>
      <c r="T14" s="70"/>
      <c r="U14" s="70"/>
      <c r="V14" s="70"/>
      <c r="W14" s="70"/>
      <c r="X14" s="70"/>
      <c r="Y14" s="70"/>
    </row>
    <row r="15" spans="1:25">
      <c r="A15" s="77">
        <v>12</v>
      </c>
      <c r="B15" s="104" t="s">
        <v>1328</v>
      </c>
      <c r="C15" s="84" t="s">
        <v>414</v>
      </c>
      <c r="D15" s="78" t="s">
        <v>1156</v>
      </c>
      <c r="E15" s="79" t="s">
        <v>411</v>
      </c>
      <c r="F15" s="80" t="s">
        <v>1234</v>
      </c>
      <c r="G15" s="79" t="s">
        <v>410</v>
      </c>
      <c r="H15" s="78" t="s">
        <v>1329</v>
      </c>
      <c r="I15" s="79" t="s">
        <v>414</v>
      </c>
      <c r="J15" s="80" t="s">
        <v>1178</v>
      </c>
      <c r="K15" s="79" t="s">
        <v>388</v>
      </c>
      <c r="L15" s="79"/>
      <c r="M15" s="70">
        <v>12</v>
      </c>
      <c r="N15" s="80" t="s">
        <v>337</v>
      </c>
      <c r="O15" s="79"/>
      <c r="P15" s="70"/>
      <c r="Q15" s="70"/>
      <c r="R15" s="70"/>
      <c r="S15" s="70"/>
      <c r="T15" s="70"/>
      <c r="U15" s="70"/>
      <c r="V15" s="70"/>
      <c r="W15" s="70"/>
      <c r="X15" s="70"/>
      <c r="Y15" s="70"/>
    </row>
    <row r="16" spans="1:25">
      <c r="A16" s="77">
        <v>13</v>
      </c>
      <c r="B16" s="80" t="s">
        <v>1124</v>
      </c>
      <c r="C16" s="79" t="s">
        <v>388</v>
      </c>
      <c r="D16" s="78" t="s">
        <v>1330</v>
      </c>
      <c r="E16" s="79" t="s">
        <v>393</v>
      </c>
      <c r="F16" s="80" t="s">
        <v>1224</v>
      </c>
      <c r="G16" s="79" t="s">
        <v>406</v>
      </c>
      <c r="H16" s="78" t="s">
        <v>1331</v>
      </c>
      <c r="I16" s="79" t="s">
        <v>413</v>
      </c>
      <c r="J16" s="80" t="s">
        <v>1216</v>
      </c>
      <c r="K16" s="79" t="s">
        <v>413</v>
      </c>
      <c r="L16" s="79"/>
      <c r="M16" s="70">
        <v>13</v>
      </c>
      <c r="N16" s="80" t="s">
        <v>342</v>
      </c>
      <c r="O16" s="79"/>
      <c r="P16" s="70"/>
      <c r="Q16" s="70"/>
      <c r="R16" s="70"/>
      <c r="S16" s="70"/>
      <c r="T16" s="70"/>
      <c r="U16" s="70"/>
      <c r="V16" s="70"/>
      <c r="W16" s="70"/>
      <c r="X16" s="70"/>
      <c r="Y16" s="70"/>
    </row>
    <row r="17" spans="1:25">
      <c r="A17" s="77">
        <v>14</v>
      </c>
      <c r="B17" s="78" t="s">
        <v>1332</v>
      </c>
      <c r="C17" s="79" t="s">
        <v>415</v>
      </c>
      <c r="D17" s="78" t="s">
        <v>1333</v>
      </c>
      <c r="E17" s="79" t="s">
        <v>402</v>
      </c>
      <c r="F17" s="80" t="s">
        <v>1208</v>
      </c>
      <c r="G17" s="79" t="s">
        <v>396</v>
      </c>
      <c r="H17" s="80" t="s">
        <v>1130</v>
      </c>
      <c r="I17" s="79" t="s">
        <v>401</v>
      </c>
      <c r="J17" s="80" t="s">
        <v>1334</v>
      </c>
      <c r="K17" s="79" t="s">
        <v>412</v>
      </c>
      <c r="L17" s="79"/>
      <c r="M17" s="70">
        <v>14</v>
      </c>
      <c r="N17" s="80" t="s">
        <v>339</v>
      </c>
      <c r="O17" s="79"/>
      <c r="P17" s="70"/>
      <c r="Q17" s="70"/>
      <c r="R17" s="70"/>
      <c r="S17" s="70"/>
      <c r="T17" s="70"/>
      <c r="U17" s="70"/>
      <c r="V17" s="70"/>
      <c r="W17" s="70"/>
      <c r="X17" s="70"/>
      <c r="Y17" s="70"/>
    </row>
    <row r="18" spans="1:25">
      <c r="A18" s="77">
        <v>15</v>
      </c>
      <c r="B18" s="80" t="s">
        <v>1155</v>
      </c>
      <c r="C18" s="79" t="s">
        <v>385</v>
      </c>
      <c r="D18" s="78" t="s">
        <v>1165</v>
      </c>
      <c r="E18" s="79" t="s">
        <v>404</v>
      </c>
      <c r="F18" s="78" t="s">
        <v>1248</v>
      </c>
      <c r="G18" s="79" t="s">
        <v>416</v>
      </c>
      <c r="H18" s="78" t="s">
        <v>1335</v>
      </c>
      <c r="I18" s="79" t="s">
        <v>404</v>
      </c>
      <c r="J18" s="80" t="s">
        <v>1336</v>
      </c>
      <c r="K18" s="79" t="s">
        <v>392</v>
      </c>
      <c r="L18" s="86"/>
      <c r="M18" s="70">
        <v>15</v>
      </c>
      <c r="N18" s="85" t="s">
        <v>338</v>
      </c>
      <c r="O18" s="86"/>
      <c r="P18" s="70"/>
      <c r="Q18" s="70"/>
      <c r="R18" s="70"/>
      <c r="S18" s="70"/>
      <c r="T18" s="70"/>
      <c r="U18" s="70"/>
      <c r="V18" s="70"/>
      <c r="W18" s="70"/>
      <c r="X18" s="70"/>
      <c r="Y18" s="70"/>
    </row>
    <row r="19" spans="1:25">
      <c r="A19" s="77">
        <v>16</v>
      </c>
      <c r="B19" s="78" t="s">
        <v>1337</v>
      </c>
      <c r="C19" s="79" t="s">
        <v>390</v>
      </c>
      <c r="D19" s="78" t="s">
        <v>1338</v>
      </c>
      <c r="E19" s="79" t="s">
        <v>1276</v>
      </c>
      <c r="F19" s="80" t="s">
        <v>1339</v>
      </c>
      <c r="G19" s="79" t="s">
        <v>415</v>
      </c>
      <c r="H19" s="78" t="s">
        <v>1249</v>
      </c>
      <c r="I19" s="79" t="s">
        <v>411</v>
      </c>
      <c r="J19" s="80"/>
      <c r="K19" s="79"/>
      <c r="L19" s="79"/>
      <c r="M19" s="70"/>
      <c r="N19" s="70"/>
      <c r="O19" s="70"/>
      <c r="P19" s="70"/>
      <c r="Q19" s="70"/>
      <c r="R19" s="70"/>
      <c r="S19" s="70"/>
      <c r="T19" s="70"/>
      <c r="U19" s="70"/>
      <c r="V19" s="70"/>
      <c r="W19" s="70"/>
      <c r="X19" s="70"/>
      <c r="Y19" s="70"/>
    </row>
    <row r="20" spans="1:25">
      <c r="A20" s="77">
        <v>17</v>
      </c>
      <c r="B20" s="80" t="s">
        <v>1340</v>
      </c>
      <c r="C20" s="79" t="s">
        <v>406</v>
      </c>
      <c r="D20" s="80" t="s">
        <v>1341</v>
      </c>
      <c r="E20" s="79" t="s">
        <v>391</v>
      </c>
      <c r="F20" s="80" t="s">
        <v>1342</v>
      </c>
      <c r="G20" s="79" t="s">
        <v>414</v>
      </c>
      <c r="H20" s="80" t="s">
        <v>1209</v>
      </c>
      <c r="I20" s="79" t="s">
        <v>403</v>
      </c>
      <c r="J20" s="80"/>
      <c r="K20" s="79"/>
      <c r="L20" s="79"/>
      <c r="M20" s="70"/>
      <c r="N20" s="70"/>
      <c r="O20" s="70"/>
      <c r="P20" s="70"/>
      <c r="Q20" s="70"/>
      <c r="R20" s="70"/>
      <c r="S20" s="70"/>
      <c r="T20" s="70"/>
      <c r="U20" s="70"/>
      <c r="V20" s="70"/>
      <c r="W20" s="70"/>
      <c r="X20" s="70"/>
      <c r="Y20" s="70"/>
    </row>
    <row r="21" spans="1:25">
      <c r="A21" s="77">
        <v>18</v>
      </c>
      <c r="B21" s="80" t="s">
        <v>1135</v>
      </c>
      <c r="C21" s="79" t="s">
        <v>389</v>
      </c>
      <c r="D21" s="80" t="s">
        <v>1137</v>
      </c>
      <c r="E21" s="79" t="s">
        <v>412</v>
      </c>
      <c r="F21" s="80" t="s">
        <v>1343</v>
      </c>
      <c r="G21" s="79" t="s">
        <v>411</v>
      </c>
      <c r="H21" s="78" t="s">
        <v>1177</v>
      </c>
      <c r="I21" s="79" t="s">
        <v>1276</v>
      </c>
      <c r="J21" s="80"/>
      <c r="K21" s="79"/>
      <c r="L21" s="79"/>
      <c r="M21" s="70"/>
      <c r="N21" s="70"/>
      <c r="O21" s="70"/>
      <c r="P21" s="70"/>
      <c r="Q21" s="70"/>
      <c r="R21" s="70"/>
      <c r="S21" s="70"/>
      <c r="T21" s="70"/>
      <c r="U21" s="70"/>
      <c r="V21" s="70"/>
      <c r="W21" s="70"/>
      <c r="X21" s="70"/>
      <c r="Y21" s="70"/>
    </row>
    <row r="22" spans="1:25">
      <c r="A22" s="77">
        <v>19</v>
      </c>
      <c r="B22" s="78" t="s">
        <v>1344</v>
      </c>
      <c r="C22" s="79" t="s">
        <v>405</v>
      </c>
      <c r="D22" s="80" t="s">
        <v>1148</v>
      </c>
      <c r="E22" s="79" t="s">
        <v>409</v>
      </c>
      <c r="F22" s="78" t="s">
        <v>1345</v>
      </c>
      <c r="G22" s="79" t="s">
        <v>412</v>
      </c>
      <c r="H22" s="78" t="s">
        <v>1183</v>
      </c>
      <c r="I22" s="79" t="s">
        <v>397</v>
      </c>
      <c r="J22" s="80"/>
      <c r="K22" s="79"/>
      <c r="L22" s="79"/>
      <c r="M22" s="70"/>
      <c r="N22" s="70"/>
      <c r="O22" s="70"/>
      <c r="P22" s="70"/>
      <c r="Q22" s="70"/>
      <c r="R22" s="70"/>
      <c r="S22" s="70"/>
      <c r="T22" s="70"/>
      <c r="U22" s="70"/>
      <c r="V22" s="70"/>
      <c r="W22" s="70"/>
      <c r="X22" s="70"/>
      <c r="Y22" s="70"/>
    </row>
    <row r="23" spans="1:25">
      <c r="A23" s="87">
        <v>20</v>
      </c>
      <c r="B23" s="103" t="s">
        <v>1346</v>
      </c>
      <c r="C23" s="86" t="s">
        <v>400</v>
      </c>
      <c r="D23" s="103" t="s">
        <v>1347</v>
      </c>
      <c r="E23" s="86" t="s">
        <v>410</v>
      </c>
      <c r="F23" s="103" t="s">
        <v>1348</v>
      </c>
      <c r="G23" s="86" t="s">
        <v>1276</v>
      </c>
      <c r="H23" s="103" t="s">
        <v>1140</v>
      </c>
      <c r="I23" s="86" t="s">
        <v>396</v>
      </c>
      <c r="J23" s="85"/>
      <c r="K23" s="86"/>
      <c r="L23" s="86"/>
      <c r="M23" s="70"/>
      <c r="N23" s="70"/>
      <c r="O23" s="70"/>
      <c r="P23" s="70"/>
      <c r="Q23" s="70"/>
      <c r="R23" s="70"/>
      <c r="S23" s="70"/>
      <c r="T23" s="70"/>
      <c r="U23" s="70"/>
      <c r="V23" s="70"/>
      <c r="W23" s="70"/>
      <c r="X23" s="70"/>
      <c r="Y23" s="70"/>
    </row>
    <row r="24" spans="1:25">
      <c r="A24" s="70"/>
      <c r="B24" s="70"/>
      <c r="C24" s="70"/>
      <c r="D24" s="70"/>
      <c r="E24" s="70"/>
      <c r="F24" s="70"/>
      <c r="G24" s="70"/>
      <c r="H24" s="70"/>
      <c r="I24" s="70"/>
      <c r="J24" s="70"/>
      <c r="K24" s="70"/>
      <c r="L24" s="70"/>
      <c r="M24" s="70"/>
      <c r="N24" s="70"/>
      <c r="O24" s="70"/>
      <c r="P24" s="70"/>
      <c r="Q24" s="70"/>
      <c r="R24" s="70"/>
      <c r="S24" s="70"/>
      <c r="T24" s="70"/>
      <c r="U24" s="70"/>
      <c r="V24" s="70"/>
      <c r="W24" s="70"/>
      <c r="X24" s="70"/>
      <c r="Y24" s="70"/>
    </row>
    <row r="25" spans="1:25">
      <c r="A25" s="70"/>
      <c r="B25" s="70"/>
      <c r="C25" s="70"/>
      <c r="D25" s="70"/>
      <c r="E25" s="70"/>
      <c r="F25" s="70"/>
      <c r="G25" s="70"/>
      <c r="H25" s="70"/>
      <c r="I25" s="70"/>
      <c r="J25" s="70"/>
      <c r="K25" s="70"/>
      <c r="L25" s="70"/>
      <c r="M25" s="70"/>
      <c r="N25" s="70"/>
      <c r="O25" s="70"/>
      <c r="P25" s="70"/>
      <c r="Q25" s="70"/>
      <c r="R25" s="70"/>
      <c r="S25" s="70"/>
      <c r="T25" s="70"/>
      <c r="U25" s="70"/>
      <c r="V25" s="70"/>
      <c r="W25" s="70"/>
      <c r="X25" s="70"/>
      <c r="Y25" s="70"/>
    </row>
    <row r="26" spans="1:25">
      <c r="A26" s="70"/>
      <c r="B26" s="70"/>
      <c r="C26" s="70"/>
      <c r="D26" s="70"/>
      <c r="E26" s="70"/>
      <c r="F26" s="70"/>
      <c r="G26" s="70"/>
      <c r="H26" s="70"/>
      <c r="I26" s="70"/>
      <c r="J26" s="70"/>
      <c r="K26" s="70"/>
      <c r="L26" s="118" t="s">
        <v>1349</v>
      </c>
      <c r="M26" s="119"/>
      <c r="N26" s="119"/>
      <c r="O26" s="120"/>
      <c r="P26" s="70"/>
      <c r="Q26" s="70"/>
      <c r="R26" s="70"/>
      <c r="S26" s="70"/>
      <c r="T26" s="70"/>
      <c r="U26" s="70"/>
      <c r="V26" s="70"/>
      <c r="W26" s="70"/>
      <c r="X26" s="70"/>
      <c r="Y26" s="70"/>
    </row>
    <row r="27" spans="1:25">
      <c r="A27" s="70"/>
      <c r="B27" s="70"/>
      <c r="C27" s="70"/>
      <c r="D27" s="70"/>
      <c r="E27" s="70"/>
      <c r="F27" s="70"/>
      <c r="G27" s="70"/>
      <c r="H27" s="70"/>
      <c r="I27" s="70"/>
      <c r="J27" s="70"/>
      <c r="K27" s="70"/>
      <c r="L27" s="121" t="s">
        <v>1350</v>
      </c>
      <c r="M27" s="122"/>
      <c r="N27" s="122"/>
      <c r="O27" s="123"/>
      <c r="P27" s="70"/>
      <c r="Q27" s="70"/>
      <c r="R27" s="70"/>
      <c r="S27" s="70"/>
      <c r="T27" s="70"/>
      <c r="U27" s="70"/>
      <c r="V27" s="70"/>
      <c r="W27" s="70"/>
      <c r="X27" s="70"/>
      <c r="Y27" s="70"/>
    </row>
    <row r="28" spans="1:25">
      <c r="A28" s="70"/>
      <c r="B28" s="70"/>
      <c r="C28" s="70"/>
      <c r="D28" s="70"/>
      <c r="E28" s="70"/>
      <c r="F28" s="70"/>
      <c r="G28" s="70"/>
      <c r="H28" s="70"/>
      <c r="I28" s="70"/>
      <c r="J28" s="70"/>
      <c r="K28" s="70"/>
      <c r="L28" s="70"/>
      <c r="M28" s="70"/>
      <c r="N28" s="70"/>
      <c r="O28" s="70"/>
      <c r="P28" s="70"/>
      <c r="Q28" s="70"/>
      <c r="R28" s="70"/>
      <c r="S28" s="70"/>
      <c r="T28" s="70"/>
      <c r="U28" s="70"/>
      <c r="V28" s="70"/>
      <c r="W28" s="70"/>
      <c r="X28" s="70"/>
      <c r="Y28" s="70"/>
    </row>
    <row r="29" spans="1:25">
      <c r="A29" s="70"/>
      <c r="B29" s="70"/>
      <c r="C29" s="70"/>
      <c r="D29" s="70"/>
      <c r="E29" s="70"/>
      <c r="F29" s="70"/>
      <c r="G29" s="70"/>
      <c r="H29" s="70"/>
      <c r="I29" s="70"/>
      <c r="J29" s="70"/>
      <c r="K29" s="70"/>
      <c r="L29" s="70"/>
      <c r="M29" s="70"/>
      <c r="N29" s="70"/>
      <c r="O29" s="70"/>
      <c r="P29" s="70"/>
      <c r="Q29" s="70"/>
      <c r="R29" s="70"/>
      <c r="S29" s="70"/>
      <c r="T29" s="70"/>
      <c r="U29" s="70"/>
      <c r="V29" s="70"/>
      <c r="W29" s="70"/>
      <c r="X29" s="70"/>
      <c r="Y29" s="70"/>
    </row>
    <row r="30" spans="1:25">
      <c r="A30" s="70"/>
      <c r="B30" s="70"/>
      <c r="C30" s="70"/>
      <c r="D30" s="70"/>
      <c r="E30" s="70"/>
      <c r="F30" s="70"/>
      <c r="G30" s="70"/>
      <c r="H30" s="70"/>
      <c r="I30" s="70"/>
      <c r="J30" s="70"/>
      <c r="K30" s="70"/>
      <c r="L30" s="70"/>
      <c r="M30" s="70"/>
      <c r="N30" s="70"/>
      <c r="O30" s="70"/>
      <c r="P30" s="70"/>
      <c r="Q30" s="70"/>
      <c r="R30" s="70"/>
      <c r="S30" s="70"/>
      <c r="T30" s="70"/>
      <c r="U30" s="70"/>
      <c r="V30" s="70"/>
      <c r="W30" s="70"/>
      <c r="X30" s="70"/>
      <c r="Y30" s="70"/>
    </row>
    <row r="31" spans="1:25">
      <c r="A31" s="88" t="s">
        <v>1112</v>
      </c>
      <c r="B31" s="89"/>
      <c r="C31" s="70"/>
      <c r="D31" s="70"/>
      <c r="E31" s="70"/>
      <c r="F31" s="70"/>
      <c r="G31" s="70"/>
      <c r="H31" s="70"/>
      <c r="I31" s="70"/>
      <c r="J31" s="70"/>
      <c r="K31" s="70"/>
      <c r="L31" s="70"/>
      <c r="M31" s="70"/>
      <c r="N31" s="70"/>
      <c r="O31" s="70"/>
      <c r="P31" s="70"/>
      <c r="Q31" s="70"/>
      <c r="R31" s="70"/>
      <c r="S31" s="70"/>
      <c r="T31" s="70"/>
      <c r="U31" s="70"/>
      <c r="V31" s="70"/>
      <c r="W31" s="70"/>
      <c r="X31" s="70"/>
      <c r="Y31" s="70"/>
    </row>
    <row r="32" spans="1:25">
      <c r="A32" s="90">
        <v>1</v>
      </c>
      <c r="B32" s="70"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2"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c r="V32" s="70"/>
      <c r="W32" s="70"/>
      <c r="X32" s="70"/>
      <c r="Y32" s="70"/>
    </row>
    <row r="33" spans="1:25">
      <c r="A33" s="90">
        <v>2</v>
      </c>
      <c r="B3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2"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c r="V33" s="70"/>
      <c r="W33" s="70"/>
      <c r="X33" s="70"/>
      <c r="Y33" s="70"/>
    </row>
    <row r="34" spans="1:25">
      <c r="A34" s="90">
        <v>3</v>
      </c>
      <c r="B3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2"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c r="V34" s="70"/>
      <c r="W34" s="70"/>
      <c r="X34" s="70"/>
      <c r="Y34" s="70"/>
    </row>
    <row r="35" spans="1:25">
      <c r="A35" s="90">
        <v>4</v>
      </c>
      <c r="B35" s="70"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2"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c r="V35" s="70"/>
      <c r="W35" s="70"/>
      <c r="X35" s="70"/>
      <c r="Y35" s="70"/>
    </row>
    <row r="36" spans="1:25">
      <c r="A36" s="90">
        <v>5</v>
      </c>
      <c r="B3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2"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c r="V36" s="70"/>
      <c r="W36" s="70"/>
      <c r="X36" s="70"/>
      <c r="Y36" s="70"/>
    </row>
    <row r="37" spans="1:25">
      <c r="A37" s="90">
        <v>6</v>
      </c>
      <c r="B3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2"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c r="V37" s="70"/>
      <c r="W37" s="70"/>
      <c r="X37" s="70"/>
      <c r="Y37" s="70"/>
    </row>
    <row r="38" spans="1:25">
      <c r="A38" s="90">
        <v>7</v>
      </c>
      <c r="B38" s="70"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2"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c r="V38" s="70"/>
      <c r="W38" s="70"/>
      <c r="X38" s="70"/>
      <c r="Y38" s="70"/>
    </row>
    <row r="39" spans="1:25">
      <c r="A39" s="90">
        <v>8</v>
      </c>
      <c r="B39" s="70"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2"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c r="V39" s="70"/>
      <c r="W39" s="70"/>
      <c r="X39" s="70"/>
      <c r="Y39" s="70"/>
    </row>
    <row r="40" spans="1:25">
      <c r="A40" s="90">
        <v>9</v>
      </c>
      <c r="B4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2"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c r="V40" s="70"/>
      <c r="W40" s="70"/>
      <c r="X40" s="70"/>
      <c r="Y40" s="70"/>
    </row>
    <row r="41" spans="1:25">
      <c r="A41" s="90">
        <v>10</v>
      </c>
      <c r="B41" s="70"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2"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c r="V41" s="70"/>
      <c r="W41" s="70"/>
      <c r="X41" s="70"/>
      <c r="Y41" s="70"/>
    </row>
    <row r="42" spans="1:25">
      <c r="A42" s="90">
        <v>11</v>
      </c>
      <c r="B4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2"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c r="V42" s="70"/>
      <c r="W42" s="70"/>
      <c r="X42" s="70"/>
      <c r="Y42" s="70"/>
    </row>
    <row r="43" spans="1:25">
      <c r="A43" s="90">
        <v>12</v>
      </c>
      <c r="B4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2"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c r="V43" s="70"/>
      <c r="W43" s="70"/>
      <c r="X43" s="70"/>
      <c r="Y43" s="70"/>
    </row>
    <row r="44" spans="1:25">
      <c r="A44" s="90">
        <v>13</v>
      </c>
      <c r="B44" s="70"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2"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c r="V44" s="70"/>
      <c r="W44" s="70"/>
      <c r="X44" s="70"/>
      <c r="Y44" s="70"/>
    </row>
    <row r="45" spans="1:25">
      <c r="A45" s="90">
        <v>14</v>
      </c>
      <c r="B4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2"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c r="V45" s="70"/>
      <c r="W45" s="70"/>
      <c r="X45" s="70"/>
      <c r="Y45" s="70"/>
    </row>
    <row r="46" spans="1:25">
      <c r="A46" s="90">
        <v>15</v>
      </c>
      <c r="B4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2"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c r="V46" s="70"/>
      <c r="W46" s="70"/>
      <c r="X46" s="70"/>
      <c r="Y46" s="70"/>
    </row>
    <row r="47" spans="1:25">
      <c r="A47" s="70"/>
      <c r="B47" s="124"/>
      <c r="C47" s="70"/>
      <c r="D47" s="70"/>
      <c r="E47" s="70"/>
      <c r="F47" s="70"/>
      <c r="G47" s="70"/>
      <c r="H47" s="70"/>
      <c r="I47" s="70"/>
      <c r="J47" s="70"/>
      <c r="K47" s="70"/>
      <c r="L47" s="70"/>
      <c r="M47" s="70"/>
      <c r="N47" s="70"/>
      <c r="O47" s="70"/>
      <c r="P47" s="70"/>
      <c r="Q47" s="70"/>
      <c r="R47" s="70"/>
      <c r="S47" s="70"/>
      <c r="T47" s="70"/>
      <c r="U47" s="70"/>
      <c r="V47" s="70"/>
      <c r="W47" s="70"/>
      <c r="X47" s="70"/>
      <c r="Y47" s="70"/>
    </row>
    <row r="48" spans="1:25">
      <c r="A48" s="70"/>
      <c r="B48" s="70"/>
      <c r="C48" s="70"/>
      <c r="D48" s="70"/>
      <c r="E48" s="70"/>
      <c r="F48" s="70"/>
      <c r="G48" s="70"/>
      <c r="H48" s="70"/>
      <c r="I48" s="70"/>
      <c r="J48" s="70"/>
      <c r="K48" s="70"/>
      <c r="L48" s="70"/>
      <c r="M48" s="70"/>
      <c r="N48" s="70"/>
      <c r="O48" s="70"/>
      <c r="P48" s="70"/>
      <c r="Q48" s="70"/>
      <c r="R48" s="70"/>
      <c r="S48" s="70"/>
      <c r="T48" s="70"/>
      <c r="U48" s="70"/>
      <c r="V48" s="70"/>
      <c r="W48" s="70"/>
      <c r="X48" s="70"/>
      <c r="Y48" s="70"/>
    </row>
    <row r="49" spans="1:25">
      <c r="A49" s="70"/>
      <c r="B49" s="70"/>
      <c r="C49" s="70"/>
      <c r="D49" s="70"/>
      <c r="E49" s="70"/>
      <c r="F49" s="70"/>
      <c r="G49" s="70"/>
      <c r="H49" s="70"/>
      <c r="I49" s="70"/>
      <c r="J49" s="70"/>
      <c r="K49" s="70"/>
      <c r="L49" s="70"/>
      <c r="M49" s="70"/>
      <c r="N49" s="70"/>
      <c r="O49" s="70"/>
      <c r="P49" s="70"/>
      <c r="Q49" s="70"/>
      <c r="R49" s="70"/>
      <c r="S49" s="70"/>
      <c r="T49" s="70"/>
      <c r="U49" s="70"/>
      <c r="V49" s="70"/>
      <c r="W49" s="70"/>
      <c r="X49" s="70"/>
      <c r="Y49" s="70"/>
    </row>
    <row r="50" spans="1:25">
      <c r="A50" s="70"/>
      <c r="B50" s="70"/>
      <c r="C50" s="70"/>
      <c r="D50" s="70"/>
      <c r="E50" s="70"/>
      <c r="F50" s="70"/>
      <c r="G50" s="70"/>
      <c r="H50" s="70"/>
      <c r="I50" s="70"/>
      <c r="J50" s="70"/>
      <c r="K50" s="70"/>
      <c r="L50" s="70"/>
      <c r="M50" s="70"/>
      <c r="N50" s="70"/>
      <c r="O50" s="70"/>
      <c r="P50" s="70"/>
      <c r="Q50" s="70"/>
      <c r="R50" s="70"/>
      <c r="S50" s="70"/>
      <c r="T50" s="70"/>
      <c r="U50" s="70"/>
      <c r="V50" s="70"/>
      <c r="W50" s="70"/>
      <c r="X50" s="70"/>
      <c r="Y50" s="70"/>
    </row>
    <row r="51" spans="1:25">
      <c r="A51" s="70"/>
      <c r="B51" s="70"/>
      <c r="C51" s="70"/>
      <c r="D51" s="70"/>
      <c r="E51" s="70"/>
      <c r="F51" s="70"/>
      <c r="G51" s="70"/>
      <c r="H51" s="70"/>
      <c r="I51" s="70"/>
      <c r="J51" s="70"/>
      <c r="K51" s="70"/>
      <c r="L51" s="70"/>
      <c r="M51" s="70"/>
      <c r="N51" s="70"/>
      <c r="O51" s="70"/>
      <c r="P51" s="70"/>
      <c r="Q51" s="70"/>
      <c r="R51" s="70"/>
      <c r="S51" s="70"/>
      <c r="T51" s="70"/>
      <c r="U51" s="70"/>
      <c r="V51" s="70"/>
      <c r="W51" s="70"/>
      <c r="X51" s="70"/>
      <c r="Y51" s="70"/>
    </row>
    <row r="52" spans="1:25">
      <c r="A52" s="70"/>
      <c r="B52" s="70"/>
      <c r="C52" s="70"/>
      <c r="D52" s="70"/>
      <c r="E52" s="70"/>
      <c r="F52" s="70"/>
      <c r="G52" s="70"/>
      <c r="H52" s="70"/>
      <c r="I52" s="70"/>
      <c r="J52" s="70"/>
      <c r="K52" s="70"/>
      <c r="L52" s="70"/>
      <c r="M52" s="70"/>
      <c r="N52" s="70"/>
      <c r="O52" s="70"/>
      <c r="P52" s="70"/>
      <c r="Q52" s="70"/>
      <c r="R52" s="70"/>
      <c r="S52" s="70"/>
      <c r="T52" s="70"/>
      <c r="U52" s="70"/>
      <c r="V52" s="70"/>
      <c r="W52" s="70"/>
      <c r="X52" s="70"/>
      <c r="Y52" s="70"/>
    </row>
    <row r="53" spans="1:25">
      <c r="A53" s="70"/>
      <c r="B53" s="70"/>
      <c r="C53" s="70"/>
      <c r="D53" s="70"/>
      <c r="E53" s="70"/>
      <c r="F53" s="70"/>
      <c r="G53" s="70"/>
      <c r="H53" s="70"/>
      <c r="I53" s="70"/>
      <c r="J53" s="70"/>
      <c r="K53" s="70"/>
      <c r="L53" s="70"/>
      <c r="M53" s="70"/>
      <c r="N53" s="70"/>
      <c r="O53" s="70"/>
      <c r="P53" s="70"/>
      <c r="Q53" s="70"/>
      <c r="R53" s="70"/>
      <c r="S53" s="70"/>
      <c r="T53" s="70"/>
      <c r="U53" s="70"/>
      <c r="V53" s="70"/>
      <c r="W53" s="70"/>
      <c r="X53" s="70"/>
      <c r="Y53" s="70"/>
    </row>
    <row r="54" spans="1:25">
      <c r="A54" s="70"/>
      <c r="B54" s="70"/>
      <c r="C54" s="70"/>
      <c r="D54" s="70"/>
      <c r="E54" s="70"/>
      <c r="F54" s="70"/>
      <c r="G54" s="70"/>
      <c r="H54" s="70"/>
      <c r="I54" s="70"/>
      <c r="J54" s="70"/>
      <c r="K54" s="70"/>
      <c r="L54" s="70"/>
      <c r="M54" s="70"/>
      <c r="N54" s="70"/>
      <c r="O54" s="70"/>
      <c r="P54" s="70"/>
      <c r="Q54" s="70"/>
      <c r="R54" s="70"/>
      <c r="S54" s="70"/>
      <c r="T54" s="70"/>
      <c r="U54" s="70"/>
      <c r="V54" s="70"/>
      <c r="W54" s="70"/>
      <c r="X54" s="70"/>
      <c r="Y54" s="70"/>
    </row>
    <row r="55" spans="1:25">
      <c r="A55" s="70"/>
      <c r="B55" s="70"/>
      <c r="C55" s="70"/>
      <c r="D55" s="70"/>
      <c r="E55" s="70"/>
      <c r="F55" s="70"/>
      <c r="G55" s="70"/>
      <c r="H55" s="70"/>
      <c r="I55" s="70"/>
      <c r="J55" s="70"/>
      <c r="K55" s="70"/>
      <c r="L55" s="70"/>
      <c r="M55" s="70"/>
      <c r="N55" s="70"/>
      <c r="O55" s="70"/>
      <c r="P55" s="70"/>
      <c r="Q55" s="70"/>
      <c r="R55" s="70"/>
      <c r="S55" s="70"/>
      <c r="T55" s="70"/>
      <c r="U55" s="70"/>
      <c r="V55" s="70"/>
      <c r="W55" s="70"/>
      <c r="X55" s="70"/>
      <c r="Y55" s="70"/>
    </row>
    <row r="56" spans="1:25">
      <c r="A56" s="70"/>
      <c r="B56" s="70"/>
      <c r="C56" s="70"/>
      <c r="D56" s="70"/>
      <c r="E56" s="70"/>
      <c r="F56" s="70"/>
      <c r="G56" s="70"/>
      <c r="H56" s="70"/>
      <c r="I56" s="70"/>
      <c r="J56" s="70"/>
      <c r="K56" s="70"/>
      <c r="L56" s="70"/>
      <c r="M56" s="70"/>
      <c r="N56" s="70"/>
      <c r="O56" s="70"/>
      <c r="P56" s="70"/>
      <c r="Q56" s="70"/>
      <c r="R56" s="70"/>
      <c r="S56" s="70"/>
      <c r="T56" s="70"/>
      <c r="U56" s="70"/>
      <c r="V56" s="70"/>
      <c r="W56" s="70"/>
      <c r="X56" s="70"/>
      <c r="Y56" s="70"/>
    </row>
    <row r="57" spans="1:25">
      <c r="A57" s="70"/>
      <c r="B57" s="70"/>
      <c r="C57" s="70"/>
      <c r="D57" s="70"/>
      <c r="E57" s="70"/>
      <c r="F57" s="70"/>
      <c r="G57" s="70"/>
      <c r="H57" s="70"/>
      <c r="I57" s="70"/>
      <c r="J57" s="70"/>
      <c r="K57" s="70"/>
      <c r="L57" s="70"/>
      <c r="M57" s="70"/>
      <c r="N57" s="70"/>
      <c r="O57" s="70"/>
      <c r="P57" s="70"/>
      <c r="Q57" s="70"/>
      <c r="R57" s="70"/>
      <c r="S57" s="70"/>
      <c r="T57" s="70"/>
      <c r="U57" s="70"/>
      <c r="V57" s="70"/>
      <c r="W57" s="70"/>
      <c r="X57" s="70"/>
      <c r="Y57" s="70"/>
    </row>
    <row r="58" spans="1:25">
      <c r="A58" s="70"/>
      <c r="B58" s="70"/>
      <c r="C58" s="70"/>
      <c r="D58" s="70"/>
      <c r="E58" s="70"/>
      <c r="F58" s="70"/>
      <c r="G58" s="70"/>
      <c r="H58" s="70"/>
      <c r="I58" s="70"/>
      <c r="J58" s="70"/>
      <c r="K58" s="70"/>
      <c r="L58" s="70"/>
      <c r="M58" s="70"/>
      <c r="N58" s="70"/>
      <c r="O58" s="70"/>
      <c r="P58" s="70"/>
      <c r="Q58" s="70"/>
      <c r="R58" s="70"/>
      <c r="S58" s="70"/>
      <c r="T58" s="70"/>
      <c r="U58" s="70"/>
      <c r="V58" s="70"/>
      <c r="W58" s="70"/>
      <c r="X58" s="70"/>
      <c r="Y58" s="70"/>
    </row>
    <row r="59" spans="1:25">
      <c r="A59" s="70"/>
      <c r="B59" s="70"/>
      <c r="C59" s="70"/>
      <c r="D59" s="70"/>
      <c r="E59" s="70"/>
      <c r="F59" s="70"/>
      <c r="G59" s="70"/>
      <c r="H59" s="70"/>
      <c r="I59" s="70"/>
      <c r="J59" s="70"/>
      <c r="K59" s="70"/>
      <c r="L59" s="70"/>
      <c r="M59" s="70"/>
      <c r="N59" s="70"/>
      <c r="O59" s="70"/>
      <c r="P59" s="70"/>
      <c r="Q59" s="70"/>
      <c r="R59" s="70"/>
      <c r="S59" s="70"/>
      <c r="T59" s="70"/>
      <c r="U59" s="70"/>
      <c r="V59" s="70"/>
      <c r="W59" s="70"/>
      <c r="X59" s="70"/>
      <c r="Y59" s="70"/>
    </row>
    <row r="60" spans="1:25">
      <c r="A60" s="70"/>
      <c r="B60" s="70"/>
      <c r="C60" s="70"/>
      <c r="D60" s="70"/>
      <c r="E60" s="70"/>
      <c r="F60" s="70"/>
      <c r="G60" s="70"/>
      <c r="H60" s="70"/>
      <c r="I60" s="70"/>
      <c r="J60" s="70"/>
      <c r="K60" s="70"/>
      <c r="L60" s="70"/>
      <c r="M60" s="70"/>
      <c r="N60" s="70"/>
      <c r="O60" s="70"/>
      <c r="P60" s="70"/>
      <c r="Q60" s="70"/>
      <c r="R60" s="70"/>
      <c r="S60" s="70"/>
      <c r="T60" s="70"/>
      <c r="U60" s="70"/>
      <c r="V60" s="70"/>
      <c r="W60" s="70"/>
      <c r="X60" s="70"/>
      <c r="Y60" s="70"/>
    </row>
    <row r="61" spans="1:25">
      <c r="A61" s="70"/>
      <c r="B61" s="70"/>
      <c r="C61" s="70"/>
      <c r="D61" s="70"/>
      <c r="E61" s="70"/>
      <c r="F61" s="70"/>
      <c r="G61" s="70"/>
      <c r="H61" s="70"/>
      <c r="I61" s="70"/>
      <c r="J61" s="70"/>
      <c r="K61" s="70"/>
      <c r="L61" s="70"/>
      <c r="M61" s="70"/>
      <c r="N61" s="70"/>
      <c r="O61" s="70"/>
      <c r="P61" s="70"/>
      <c r="Q61" s="70"/>
      <c r="R61" s="70"/>
      <c r="S61" s="70"/>
      <c r="T61" s="70"/>
      <c r="U61" s="70"/>
      <c r="V61" s="70"/>
      <c r="W61" s="70"/>
      <c r="X61" s="70"/>
      <c r="Y61" s="70"/>
    </row>
    <row r="62" spans="1:25">
      <c r="A62" s="70"/>
      <c r="B62" s="70"/>
      <c r="C62" s="70"/>
      <c r="D62" s="70"/>
      <c r="E62" s="70"/>
      <c r="F62" s="70"/>
      <c r="G62" s="70"/>
      <c r="H62" s="70"/>
      <c r="I62" s="70"/>
      <c r="J62" s="70"/>
      <c r="K62" s="70"/>
      <c r="L62" s="70"/>
      <c r="M62" s="70"/>
      <c r="N62" s="70"/>
      <c r="O62" s="70"/>
      <c r="P62" s="70"/>
      <c r="Q62" s="70"/>
      <c r="R62" s="70"/>
      <c r="S62" s="70"/>
      <c r="T62" s="70"/>
      <c r="U62" s="70"/>
      <c r="V62" s="70"/>
      <c r="W62" s="70"/>
      <c r="X62" s="70"/>
      <c r="Y62" s="70"/>
    </row>
    <row r="63" spans="1:25">
      <c r="A63" s="70"/>
      <c r="B63" s="70"/>
      <c r="C63" s="70"/>
      <c r="D63" s="70"/>
      <c r="E63" s="70"/>
      <c r="F63" s="70"/>
      <c r="G63" s="70"/>
      <c r="H63" s="70"/>
      <c r="I63" s="70"/>
      <c r="J63" s="70"/>
      <c r="K63" s="70"/>
      <c r="L63" s="70"/>
      <c r="M63" s="70"/>
      <c r="N63" s="70"/>
      <c r="O63" s="70"/>
      <c r="P63" s="70"/>
      <c r="Q63" s="70"/>
      <c r="R63" s="70"/>
      <c r="S63" s="70"/>
      <c r="T63" s="70"/>
      <c r="U63" s="70"/>
      <c r="V63" s="70"/>
      <c r="W63" s="70"/>
      <c r="X63" s="70"/>
      <c r="Y63" s="70"/>
    </row>
    <row r="64" spans="1:25">
      <c r="A64" s="70"/>
      <c r="B64" s="70"/>
      <c r="C64" s="70"/>
      <c r="D64" s="70"/>
      <c r="E64" s="70"/>
      <c r="F64" s="70"/>
      <c r="G64" s="70"/>
      <c r="H64" s="70"/>
      <c r="I64" s="70"/>
      <c r="J64" s="70"/>
      <c r="K64" s="70"/>
      <c r="L64" s="70"/>
      <c r="M64" s="70"/>
      <c r="N64" s="70"/>
      <c r="O64" s="70"/>
      <c r="P64" s="70"/>
      <c r="Q64" s="70"/>
      <c r="R64" s="70"/>
      <c r="S64" s="70"/>
      <c r="T64" s="70"/>
      <c r="U64" s="70"/>
      <c r="V64" s="70"/>
      <c r="W64" s="70"/>
      <c r="X64" s="70"/>
      <c r="Y64" s="70"/>
    </row>
    <row r="65" spans="1:25">
      <c r="A65" s="70"/>
      <c r="B65" s="70"/>
      <c r="C65" s="70"/>
      <c r="D65" s="70"/>
      <c r="E65" s="70"/>
      <c r="F65" s="70"/>
      <c r="G65" s="70"/>
      <c r="H65" s="70"/>
      <c r="I65" s="70"/>
      <c r="J65" s="70"/>
      <c r="K65" s="70"/>
      <c r="L65" s="70"/>
      <c r="M65" s="70"/>
      <c r="N65" s="70"/>
      <c r="O65" s="70"/>
      <c r="P65" s="70"/>
      <c r="Q65" s="70"/>
      <c r="R65" s="70"/>
      <c r="S65" s="70"/>
      <c r="T65" s="70"/>
      <c r="U65" s="70"/>
      <c r="V65" s="70"/>
      <c r="W65" s="70"/>
      <c r="X65" s="70"/>
      <c r="Y65" s="70"/>
    </row>
    <row r="66" spans="1:25">
      <c r="A66" s="70"/>
      <c r="B66" s="70"/>
      <c r="C66" s="70"/>
      <c r="D66" s="70"/>
      <c r="E66" s="70"/>
      <c r="F66" s="70"/>
      <c r="G66" s="70"/>
      <c r="H66" s="70"/>
      <c r="I66" s="70"/>
      <c r="J66" s="70"/>
      <c r="K66" s="70"/>
      <c r="L66" s="70"/>
      <c r="M66" s="70"/>
      <c r="N66" s="70"/>
      <c r="O66" s="70"/>
      <c r="P66" s="70"/>
      <c r="Q66" s="70"/>
      <c r="R66" s="70"/>
      <c r="S66" s="70"/>
      <c r="T66" s="70"/>
      <c r="U66" s="70"/>
      <c r="V66" s="70"/>
      <c r="W66" s="70"/>
      <c r="X66" s="70"/>
      <c r="Y66" s="70"/>
    </row>
    <row r="67" spans="1:25">
      <c r="A67" s="70"/>
      <c r="B67" s="70"/>
      <c r="C67" s="70"/>
      <c r="D67" s="70"/>
      <c r="E67" s="70"/>
      <c r="F67" s="70"/>
      <c r="G67" s="70"/>
      <c r="H67" s="70"/>
      <c r="I67" s="70"/>
      <c r="J67" s="70"/>
      <c r="K67" s="70"/>
      <c r="L67" s="70"/>
      <c r="M67" s="70"/>
      <c r="N67" s="70"/>
      <c r="O67" s="70"/>
      <c r="P67" s="70"/>
      <c r="Q67" s="70"/>
      <c r="R67" s="70"/>
      <c r="S67" s="70"/>
      <c r="T67" s="70"/>
      <c r="U67" s="70"/>
      <c r="V67" s="70"/>
      <c r="W67" s="70"/>
      <c r="X67" s="70"/>
      <c r="Y67" s="70"/>
    </row>
    <row r="68" spans="1:25">
      <c r="A68" s="70"/>
      <c r="B68" s="70"/>
      <c r="C68" s="70"/>
      <c r="D68" s="70"/>
      <c r="E68" s="70"/>
      <c r="F68" s="70"/>
      <c r="G68" s="70"/>
      <c r="H68" s="70"/>
      <c r="I68" s="70"/>
      <c r="J68" s="70"/>
      <c r="K68" s="70"/>
      <c r="L68" s="70"/>
      <c r="M68" s="70"/>
      <c r="N68" s="70"/>
      <c r="O68" s="70"/>
      <c r="P68" s="70"/>
      <c r="Q68" s="70"/>
      <c r="R68" s="70"/>
      <c r="S68" s="70"/>
      <c r="T68" s="70"/>
      <c r="U68" s="70"/>
      <c r="V68" s="70"/>
      <c r="W68" s="70"/>
      <c r="X68" s="70"/>
      <c r="Y68" s="70"/>
    </row>
    <row r="69" spans="1:25">
      <c r="A69" s="70"/>
      <c r="B69" s="70"/>
      <c r="C69" s="70"/>
      <c r="D69" s="70"/>
      <c r="E69" s="70"/>
      <c r="F69" s="70"/>
      <c r="G69" s="70"/>
      <c r="H69" s="70"/>
      <c r="I69" s="70"/>
      <c r="J69" s="70"/>
      <c r="K69" s="70"/>
      <c r="L69" s="70"/>
      <c r="M69" s="70"/>
      <c r="N69" s="70"/>
      <c r="O69" s="70"/>
      <c r="P69" s="70"/>
      <c r="Q69" s="70"/>
      <c r="R69" s="70"/>
      <c r="S69" s="70"/>
      <c r="T69" s="70"/>
      <c r="U69" s="70"/>
      <c r="V69" s="70"/>
      <c r="W69" s="70"/>
      <c r="X69" s="70"/>
      <c r="Y69" s="70"/>
    </row>
    <row r="70" spans="1:25">
      <c r="A70" s="70"/>
      <c r="B70" s="70"/>
      <c r="C70" s="70"/>
      <c r="D70" s="70"/>
      <c r="E70" s="70"/>
      <c r="F70" s="70"/>
      <c r="G70" s="70"/>
      <c r="H70" s="70"/>
      <c r="I70" s="70"/>
      <c r="J70" s="70"/>
      <c r="K70" s="70"/>
      <c r="L70" s="70"/>
      <c r="M70" s="70"/>
      <c r="N70" s="70"/>
      <c r="O70" s="70"/>
      <c r="P70" s="70"/>
      <c r="Q70" s="70"/>
      <c r="R70" s="70"/>
      <c r="S70" s="70"/>
      <c r="T70" s="70"/>
      <c r="U70" s="70"/>
      <c r="V70" s="70"/>
      <c r="W70" s="70"/>
      <c r="X70" s="70"/>
      <c r="Y70" s="70"/>
    </row>
    <row r="71" spans="1:25">
      <c r="A71" s="70"/>
      <c r="B71" s="70"/>
      <c r="C71" s="70"/>
      <c r="D71" s="70"/>
      <c r="E71" s="70"/>
      <c r="F71" s="70"/>
      <c r="G71" s="70"/>
      <c r="H71" s="70"/>
      <c r="I71" s="70"/>
      <c r="J71" s="70"/>
      <c r="K71" s="70"/>
      <c r="L71" s="70"/>
      <c r="M71" s="70"/>
      <c r="N71" s="70"/>
      <c r="O71" s="70"/>
      <c r="P71" s="70"/>
      <c r="Q71" s="70"/>
      <c r="R71" s="70"/>
      <c r="S71" s="70"/>
      <c r="T71" s="70"/>
      <c r="U71" s="70"/>
      <c r="V71" s="70"/>
      <c r="W71" s="70"/>
      <c r="X71" s="70"/>
      <c r="Y71" s="70"/>
    </row>
    <row r="72" spans="1:25">
      <c r="A72" s="70"/>
      <c r="B72" s="70"/>
      <c r="C72" s="70"/>
      <c r="D72" s="70"/>
      <c r="E72" s="70"/>
      <c r="F72" s="70"/>
      <c r="G72" s="70"/>
      <c r="H72" s="70"/>
      <c r="I72" s="70"/>
      <c r="J72" s="70"/>
      <c r="K72" s="70"/>
      <c r="L72" s="70"/>
      <c r="M72" s="70"/>
      <c r="N72" s="70"/>
      <c r="O72" s="70"/>
      <c r="P72" s="70"/>
      <c r="Q72" s="70"/>
      <c r="R72" s="70"/>
      <c r="S72" s="70"/>
      <c r="T72" s="70"/>
      <c r="U72" s="70"/>
      <c r="V72" s="70"/>
      <c r="W72" s="70"/>
      <c r="X72" s="70"/>
      <c r="Y72" s="70"/>
    </row>
    <row r="73" spans="1:25">
      <c r="A73" s="70"/>
      <c r="B73" s="70"/>
      <c r="C73" s="70"/>
      <c r="D73" s="70"/>
      <c r="E73" s="70"/>
      <c r="F73" s="70"/>
      <c r="G73" s="70"/>
      <c r="H73" s="70"/>
      <c r="I73" s="70"/>
      <c r="J73" s="70"/>
      <c r="K73" s="70"/>
      <c r="L73" s="70"/>
      <c r="M73" s="70"/>
      <c r="N73" s="70"/>
      <c r="O73" s="70"/>
      <c r="P73" s="70"/>
      <c r="Q73" s="70"/>
      <c r="R73" s="70"/>
      <c r="S73" s="70"/>
      <c r="T73" s="70"/>
      <c r="U73" s="70"/>
      <c r="V73" s="70"/>
      <c r="W73" s="70"/>
      <c r="X73" s="70"/>
      <c r="Y73" s="70"/>
    </row>
    <row r="74" spans="1:25">
      <c r="A74" s="70"/>
      <c r="B74" s="70"/>
      <c r="C74" s="70"/>
      <c r="D74" s="70"/>
      <c r="E74" s="70"/>
      <c r="F74" s="70"/>
      <c r="G74" s="70"/>
      <c r="H74" s="70"/>
      <c r="I74" s="70"/>
      <c r="J74" s="70"/>
      <c r="K74" s="70"/>
      <c r="L74" s="70"/>
      <c r="M74" s="70"/>
      <c r="N74" s="70"/>
      <c r="O74" s="70"/>
      <c r="P74" s="70"/>
      <c r="Q74" s="70"/>
      <c r="R74" s="70"/>
      <c r="S74" s="70"/>
      <c r="T74" s="70"/>
      <c r="U74" s="70"/>
      <c r="V74" s="70"/>
      <c r="W74" s="70"/>
      <c r="X74" s="70"/>
      <c r="Y74" s="70"/>
    </row>
    <row r="75" spans="1:25">
      <c r="A75" s="70"/>
      <c r="B75" s="70"/>
      <c r="C75" s="70"/>
      <c r="D75" s="70"/>
      <c r="E75" s="70"/>
      <c r="F75" s="70"/>
      <c r="G75" s="70"/>
      <c r="H75" s="70"/>
      <c r="I75" s="70"/>
      <c r="J75" s="70"/>
      <c r="K75" s="70"/>
      <c r="L75" s="70"/>
      <c r="M75" s="70"/>
      <c r="N75" s="70"/>
      <c r="O75" s="70"/>
      <c r="P75" s="70"/>
      <c r="Q75" s="70"/>
      <c r="R75" s="70"/>
      <c r="S75" s="70"/>
      <c r="T75" s="70"/>
      <c r="U75" s="70"/>
      <c r="V75" s="70"/>
      <c r="W75" s="70"/>
      <c r="X75" s="70"/>
      <c r="Y75" s="70"/>
    </row>
    <row r="76" spans="1:25">
      <c r="A76" s="70"/>
      <c r="B76" s="70"/>
      <c r="C76" s="70"/>
      <c r="D76" s="70"/>
      <c r="E76" s="70"/>
      <c r="F76" s="70"/>
      <c r="G76" s="70"/>
      <c r="H76" s="70"/>
      <c r="I76" s="70"/>
      <c r="J76" s="70"/>
      <c r="K76" s="70"/>
      <c r="L76" s="70"/>
      <c r="M76" s="70"/>
      <c r="N76" s="70"/>
      <c r="O76" s="70"/>
      <c r="P76" s="70"/>
      <c r="Q76" s="70"/>
      <c r="R76" s="70"/>
      <c r="S76" s="70"/>
      <c r="T76" s="70"/>
      <c r="U76" s="70"/>
      <c r="V76" s="70"/>
      <c r="W76" s="70"/>
      <c r="X76" s="70"/>
      <c r="Y76" s="70"/>
    </row>
    <row r="77" spans="1:25">
      <c r="A77" s="70"/>
      <c r="B77" s="70"/>
      <c r="C77" s="70"/>
      <c r="D77" s="70"/>
      <c r="E77" s="70"/>
      <c r="F77" s="70"/>
      <c r="G77" s="70"/>
      <c r="H77" s="70"/>
      <c r="I77" s="70"/>
      <c r="J77" s="70"/>
      <c r="K77" s="70"/>
      <c r="L77" s="70"/>
      <c r="M77" s="70"/>
      <c r="N77" s="70"/>
      <c r="O77" s="70"/>
      <c r="P77" s="70"/>
      <c r="Q77" s="70"/>
      <c r="R77" s="70"/>
      <c r="S77" s="70"/>
      <c r="T77" s="70"/>
      <c r="U77" s="70"/>
      <c r="V77" s="70"/>
      <c r="W77" s="70"/>
      <c r="X77" s="70"/>
      <c r="Y77" s="70"/>
    </row>
    <row r="78" spans="1:25">
      <c r="A78" s="70"/>
      <c r="B78" s="70"/>
      <c r="C78" s="70"/>
      <c r="D78" s="70"/>
      <c r="E78" s="70"/>
      <c r="F78" s="70"/>
      <c r="G78" s="70"/>
      <c r="H78" s="70"/>
      <c r="I78" s="70"/>
      <c r="J78" s="70"/>
      <c r="K78" s="70"/>
      <c r="L78" s="70"/>
      <c r="M78" s="70"/>
      <c r="N78" s="70"/>
      <c r="O78" s="70"/>
      <c r="P78" s="70"/>
      <c r="Q78" s="70"/>
      <c r="R78" s="70"/>
      <c r="S78" s="70"/>
      <c r="T78" s="70"/>
      <c r="U78" s="70"/>
      <c r="V78" s="70"/>
      <c r="W78" s="70"/>
      <c r="X78" s="70"/>
      <c r="Y78" s="70"/>
    </row>
    <row r="79" spans="1:25">
      <c r="A79" s="70"/>
      <c r="B79" s="70"/>
      <c r="C79" s="70"/>
      <c r="D79" s="70"/>
      <c r="E79" s="70"/>
      <c r="F79" s="70"/>
      <c r="G79" s="70"/>
      <c r="H79" s="70"/>
      <c r="I79" s="70"/>
      <c r="J79" s="70"/>
      <c r="K79" s="70"/>
      <c r="L79" s="70"/>
      <c r="M79" s="70"/>
      <c r="N79" s="70"/>
      <c r="O79" s="70"/>
      <c r="P79" s="70"/>
      <c r="Q79" s="70"/>
      <c r="R79" s="70"/>
      <c r="S79" s="70"/>
      <c r="T79" s="70"/>
      <c r="U79" s="70"/>
      <c r="V79" s="70"/>
      <c r="W79" s="70"/>
      <c r="X79" s="70"/>
      <c r="Y79" s="70"/>
    </row>
    <row r="80" spans="1:25">
      <c r="A80" s="70"/>
      <c r="B80" s="70"/>
      <c r="C80" s="70"/>
      <c r="D80" s="70"/>
      <c r="E80" s="70"/>
      <c r="F80" s="70"/>
      <c r="G80" s="70"/>
      <c r="H80" s="70"/>
      <c r="I80" s="70"/>
      <c r="J80" s="70"/>
      <c r="K80" s="70"/>
      <c r="L80" s="70"/>
      <c r="M80" s="70"/>
      <c r="N80" s="70"/>
      <c r="O80" s="70"/>
      <c r="P80" s="70"/>
      <c r="Q80" s="70"/>
      <c r="R80" s="70"/>
      <c r="S80" s="70"/>
      <c r="T80" s="70"/>
      <c r="U80" s="70"/>
      <c r="V80" s="70"/>
      <c r="W80" s="70"/>
      <c r="X80" s="70"/>
      <c r="Y80" s="70"/>
    </row>
    <row r="81" spans="1:25">
      <c r="A81" s="70"/>
      <c r="B81" s="70"/>
      <c r="C81" s="70"/>
      <c r="D81" s="70"/>
      <c r="E81" s="70"/>
      <c r="F81" s="70"/>
      <c r="G81" s="70"/>
      <c r="H81" s="70"/>
      <c r="I81" s="70"/>
      <c r="J81" s="70"/>
      <c r="K81" s="70"/>
      <c r="L81" s="70"/>
      <c r="M81" s="70"/>
      <c r="N81" s="70"/>
      <c r="O81" s="70"/>
      <c r="P81" s="70"/>
      <c r="Q81" s="70"/>
      <c r="R81" s="70"/>
      <c r="S81" s="70"/>
      <c r="T81" s="70"/>
      <c r="U81" s="70"/>
      <c r="V81" s="70"/>
      <c r="W81" s="70"/>
      <c r="X81" s="70"/>
      <c r="Y81" s="70"/>
    </row>
    <row r="82" spans="1:25">
      <c r="A82" s="70"/>
      <c r="B82" s="70"/>
      <c r="C82" s="70"/>
      <c r="D82" s="70"/>
      <c r="E82" s="70"/>
      <c r="F82" s="70"/>
      <c r="G82" s="70"/>
      <c r="H82" s="70"/>
      <c r="I82" s="70"/>
      <c r="J82" s="70"/>
      <c r="K82" s="70"/>
      <c r="L82" s="70"/>
      <c r="M82" s="70"/>
      <c r="N82" s="70"/>
      <c r="O82" s="70"/>
      <c r="P82" s="70"/>
      <c r="Q82" s="70"/>
      <c r="R82" s="70"/>
      <c r="S82" s="70"/>
      <c r="T82" s="70"/>
      <c r="U82" s="70"/>
      <c r="V82" s="70"/>
      <c r="W82" s="70"/>
      <c r="X82" s="70"/>
      <c r="Y82" s="70"/>
    </row>
    <row r="83" spans="1:25">
      <c r="A83" s="70"/>
      <c r="B83" s="70"/>
      <c r="C83" s="70"/>
      <c r="D83" s="70"/>
      <c r="E83" s="70"/>
      <c r="F83" s="70"/>
      <c r="G83" s="70"/>
      <c r="H83" s="70"/>
      <c r="I83" s="70"/>
      <c r="J83" s="70"/>
      <c r="K83" s="70"/>
      <c r="L83" s="70"/>
      <c r="M83" s="70"/>
      <c r="N83" s="70"/>
      <c r="O83" s="70"/>
      <c r="P83" s="70"/>
      <c r="Q83" s="70"/>
      <c r="R83" s="70"/>
      <c r="S83" s="70"/>
      <c r="T83" s="70"/>
      <c r="U83" s="70"/>
      <c r="V83" s="70"/>
      <c r="W83" s="70"/>
      <c r="X83" s="70"/>
      <c r="Y83" s="70"/>
    </row>
    <row r="84" spans="1:25">
      <c r="A84" s="70"/>
      <c r="B84" s="70"/>
      <c r="C84" s="70"/>
      <c r="D84" s="70"/>
      <c r="E84" s="70"/>
      <c r="F84" s="70"/>
      <c r="G84" s="70"/>
      <c r="H84" s="70"/>
      <c r="I84" s="70"/>
      <c r="J84" s="70"/>
      <c r="K84" s="70"/>
      <c r="L84" s="70"/>
      <c r="M84" s="70"/>
      <c r="N84" s="70"/>
      <c r="O84" s="70"/>
      <c r="P84" s="70"/>
      <c r="Q84" s="70"/>
      <c r="R84" s="70"/>
      <c r="S84" s="70"/>
      <c r="T84" s="70"/>
      <c r="U84" s="70"/>
      <c r="V84" s="70"/>
      <c r="W84" s="70"/>
      <c r="X84" s="70"/>
      <c r="Y84" s="70"/>
    </row>
    <row r="85" spans="1:25">
      <c r="A85" s="70"/>
      <c r="B85" s="70"/>
      <c r="C85" s="70"/>
      <c r="D85" s="70"/>
      <c r="E85" s="70"/>
      <c r="F85" s="70"/>
      <c r="G85" s="70"/>
      <c r="H85" s="70"/>
      <c r="I85" s="70"/>
      <c r="J85" s="70"/>
      <c r="K85" s="70"/>
      <c r="L85" s="70"/>
      <c r="M85" s="70"/>
      <c r="N85" s="70"/>
      <c r="O85" s="70"/>
      <c r="P85" s="70"/>
      <c r="Q85" s="70"/>
      <c r="R85" s="70"/>
      <c r="S85" s="70"/>
      <c r="T85" s="70"/>
      <c r="U85" s="70"/>
      <c r="V85" s="70"/>
      <c r="W85" s="70"/>
      <c r="X85" s="70"/>
      <c r="Y85" s="70"/>
    </row>
    <row r="86" spans="1:25">
      <c r="A86" s="70"/>
      <c r="B86" s="70"/>
      <c r="C86" s="70"/>
      <c r="D86" s="70"/>
      <c r="E86" s="70"/>
      <c r="F86" s="70"/>
      <c r="G86" s="70"/>
      <c r="H86" s="70"/>
      <c r="I86" s="70"/>
      <c r="J86" s="70"/>
      <c r="K86" s="70"/>
      <c r="L86" s="70"/>
      <c r="M86" s="70"/>
      <c r="N86" s="70"/>
      <c r="O86" s="70"/>
      <c r="P86" s="70"/>
      <c r="Q86" s="70"/>
      <c r="R86" s="70"/>
      <c r="S86" s="70"/>
      <c r="T86" s="70"/>
      <c r="U86" s="70"/>
      <c r="V86" s="70"/>
      <c r="W86" s="70"/>
      <c r="X86" s="70"/>
      <c r="Y86" s="70"/>
    </row>
    <row r="87" spans="1:25">
      <c r="A87" s="70"/>
      <c r="B87" s="70"/>
      <c r="C87" s="70"/>
      <c r="D87" s="70"/>
      <c r="E87" s="70"/>
      <c r="F87" s="70"/>
      <c r="G87" s="70"/>
      <c r="H87" s="70"/>
      <c r="I87" s="70"/>
      <c r="J87" s="70"/>
      <c r="K87" s="70"/>
      <c r="L87" s="70"/>
      <c r="M87" s="70"/>
      <c r="N87" s="70"/>
      <c r="O87" s="70"/>
      <c r="P87" s="70"/>
      <c r="Q87" s="70"/>
      <c r="R87" s="70"/>
      <c r="S87" s="70"/>
      <c r="T87" s="70"/>
      <c r="U87" s="70"/>
      <c r="V87" s="70"/>
      <c r="W87" s="70"/>
      <c r="X87" s="70"/>
      <c r="Y87" s="70"/>
    </row>
    <row r="88" spans="1:25">
      <c r="A88" s="70"/>
      <c r="B88" s="70"/>
      <c r="C88" s="70"/>
      <c r="D88" s="70"/>
      <c r="E88" s="70"/>
      <c r="F88" s="70"/>
      <c r="G88" s="70"/>
      <c r="H88" s="70"/>
      <c r="I88" s="70"/>
      <c r="J88" s="70"/>
      <c r="K88" s="70"/>
      <c r="L88" s="70"/>
      <c r="M88" s="70"/>
      <c r="N88" s="70"/>
      <c r="O88" s="70"/>
      <c r="P88" s="70"/>
      <c r="Q88" s="70"/>
      <c r="R88" s="70"/>
      <c r="S88" s="70"/>
      <c r="T88" s="70"/>
      <c r="U88" s="70"/>
      <c r="V88" s="70"/>
      <c r="W88" s="70"/>
      <c r="X88" s="70"/>
      <c r="Y88" s="70"/>
    </row>
    <row r="89" spans="1:25">
      <c r="A89" s="70"/>
      <c r="B89" s="70"/>
      <c r="C89" s="70"/>
      <c r="D89" s="70"/>
      <c r="E89" s="70"/>
      <c r="F89" s="70"/>
      <c r="G89" s="70"/>
      <c r="H89" s="70"/>
      <c r="I89" s="70"/>
      <c r="J89" s="70"/>
      <c r="K89" s="70"/>
      <c r="L89" s="70"/>
      <c r="M89" s="70"/>
      <c r="N89" s="70"/>
      <c r="O89" s="70"/>
      <c r="P89" s="70"/>
      <c r="Q89" s="70"/>
      <c r="R89" s="70"/>
      <c r="S89" s="70"/>
      <c r="T89" s="70"/>
      <c r="U89" s="70"/>
      <c r="V89" s="70"/>
      <c r="W89" s="70"/>
      <c r="X89" s="70"/>
      <c r="Y89" s="70"/>
    </row>
    <row r="90" spans="1:25">
      <c r="A90" s="70"/>
      <c r="B90" s="70"/>
      <c r="C90" s="70"/>
      <c r="D90" s="70"/>
      <c r="E90" s="70"/>
      <c r="F90" s="70"/>
      <c r="G90" s="70"/>
      <c r="H90" s="70"/>
      <c r="I90" s="70"/>
      <c r="J90" s="70"/>
      <c r="K90" s="70"/>
      <c r="L90" s="70"/>
      <c r="M90" s="70"/>
      <c r="N90" s="70"/>
      <c r="O90" s="70"/>
      <c r="P90" s="70"/>
      <c r="Q90" s="70"/>
      <c r="R90" s="70"/>
      <c r="S90" s="70"/>
      <c r="T90" s="70"/>
      <c r="U90" s="70"/>
      <c r="V90" s="70"/>
      <c r="W90" s="70"/>
      <c r="X90" s="70"/>
      <c r="Y90" s="70"/>
    </row>
    <row r="91" spans="1:25">
      <c r="A91" s="70"/>
      <c r="B91" s="70"/>
      <c r="C91" s="70"/>
      <c r="D91" s="70"/>
      <c r="E91" s="70"/>
      <c r="F91" s="70"/>
      <c r="G91" s="70"/>
      <c r="H91" s="70"/>
      <c r="I91" s="70"/>
      <c r="J91" s="70"/>
      <c r="K91" s="70"/>
      <c r="L91" s="70"/>
      <c r="M91" s="70"/>
      <c r="N91" s="70"/>
      <c r="O91" s="70"/>
      <c r="P91" s="70"/>
      <c r="Q91" s="70"/>
      <c r="R91" s="70"/>
      <c r="S91" s="70"/>
      <c r="T91" s="70"/>
      <c r="U91" s="70"/>
      <c r="V91" s="70"/>
      <c r="W91" s="70"/>
      <c r="X91" s="70"/>
      <c r="Y91" s="70"/>
    </row>
    <row r="92" spans="1:25">
      <c r="A92" s="70"/>
      <c r="B92" s="70"/>
      <c r="C92" s="70"/>
      <c r="D92" s="70"/>
      <c r="E92" s="70"/>
      <c r="F92" s="70"/>
      <c r="G92" s="70"/>
      <c r="H92" s="70"/>
      <c r="I92" s="70"/>
      <c r="J92" s="70"/>
      <c r="K92" s="70"/>
      <c r="L92" s="70"/>
      <c r="M92" s="70"/>
      <c r="N92" s="70"/>
      <c r="O92" s="70"/>
      <c r="P92" s="70"/>
      <c r="Q92" s="70"/>
      <c r="R92" s="70"/>
      <c r="S92" s="70"/>
      <c r="T92" s="70"/>
      <c r="U92" s="70"/>
      <c r="V92" s="70"/>
      <c r="W92" s="70"/>
      <c r="X92" s="70"/>
      <c r="Y92" s="70"/>
    </row>
    <row r="93" spans="1:25">
      <c r="A93" s="70"/>
      <c r="B93" s="70"/>
      <c r="C93" s="70"/>
      <c r="D93" s="70"/>
      <c r="E93" s="70"/>
      <c r="F93" s="70"/>
      <c r="G93" s="70"/>
      <c r="H93" s="70"/>
      <c r="I93" s="70"/>
      <c r="J93" s="70"/>
      <c r="K93" s="70"/>
      <c r="L93" s="70"/>
      <c r="M93" s="70"/>
      <c r="N93" s="70"/>
      <c r="O93" s="70"/>
      <c r="P93" s="70"/>
      <c r="Q93" s="70"/>
      <c r="R93" s="70"/>
      <c r="S93" s="70"/>
      <c r="T93" s="70"/>
      <c r="U93" s="70"/>
      <c r="V93" s="70"/>
      <c r="W93" s="70"/>
      <c r="X93" s="70"/>
      <c r="Y93" s="70"/>
    </row>
    <row r="94" spans="1:25">
      <c r="A94" s="70"/>
      <c r="B94" s="70"/>
      <c r="C94" s="70"/>
      <c r="D94" s="70"/>
      <c r="E94" s="70"/>
      <c r="F94" s="70"/>
      <c r="G94" s="70"/>
      <c r="H94" s="70"/>
      <c r="I94" s="70"/>
      <c r="J94" s="70"/>
      <c r="K94" s="70"/>
      <c r="L94" s="70"/>
      <c r="M94" s="70"/>
      <c r="N94" s="70"/>
      <c r="O94" s="70"/>
      <c r="P94" s="70"/>
      <c r="Q94" s="70"/>
      <c r="R94" s="70"/>
      <c r="S94" s="70"/>
      <c r="T94" s="70"/>
      <c r="U94" s="70"/>
      <c r="V94" s="70"/>
      <c r="W94" s="70"/>
      <c r="X94" s="70"/>
      <c r="Y94" s="70"/>
    </row>
    <row r="95" spans="1:25">
      <c r="A95" s="70"/>
      <c r="B95" s="70"/>
      <c r="C95" s="70"/>
      <c r="D95" s="70"/>
      <c r="E95" s="70"/>
      <c r="F95" s="70"/>
      <c r="G95" s="70"/>
      <c r="H95" s="70"/>
      <c r="I95" s="70"/>
      <c r="J95" s="70"/>
      <c r="K95" s="70"/>
      <c r="L95" s="70"/>
      <c r="M95" s="70"/>
      <c r="N95" s="70"/>
      <c r="O95" s="70"/>
      <c r="P95" s="70"/>
      <c r="Q95" s="70"/>
      <c r="R95" s="70"/>
      <c r="S95" s="70"/>
      <c r="T95" s="70"/>
      <c r="U95" s="70"/>
      <c r="V95" s="70"/>
      <c r="W95" s="70"/>
      <c r="X95" s="70"/>
      <c r="Y95" s="70"/>
    </row>
    <row r="96" spans="1:25">
      <c r="A96" s="70"/>
      <c r="B96" s="70"/>
      <c r="C96" s="70"/>
      <c r="D96" s="70"/>
      <c r="E96" s="70"/>
      <c r="F96" s="70"/>
      <c r="G96" s="70"/>
      <c r="H96" s="70"/>
      <c r="I96" s="70"/>
      <c r="J96" s="70"/>
      <c r="K96" s="70"/>
      <c r="L96" s="70"/>
      <c r="M96" s="70"/>
      <c r="N96" s="70"/>
      <c r="O96" s="70"/>
      <c r="P96" s="70"/>
      <c r="Q96" s="70"/>
      <c r="R96" s="70"/>
      <c r="S96" s="70"/>
      <c r="T96" s="70"/>
      <c r="U96" s="70"/>
      <c r="V96" s="70"/>
      <c r="W96" s="70"/>
      <c r="X96" s="70"/>
      <c r="Y96" s="70"/>
    </row>
    <row r="97" spans="1:25">
      <c r="A97" s="70"/>
      <c r="B97" s="70"/>
      <c r="C97" s="70"/>
      <c r="D97" s="70"/>
      <c r="E97" s="70"/>
      <c r="F97" s="70"/>
      <c r="G97" s="70"/>
      <c r="H97" s="70"/>
      <c r="I97" s="70"/>
      <c r="J97" s="70"/>
      <c r="K97" s="70"/>
      <c r="L97" s="70"/>
      <c r="M97" s="70"/>
      <c r="N97" s="70"/>
      <c r="O97" s="70"/>
      <c r="P97" s="70"/>
      <c r="Q97" s="70"/>
      <c r="R97" s="70"/>
      <c r="S97" s="70"/>
      <c r="T97" s="70"/>
      <c r="U97" s="70"/>
      <c r="V97" s="70"/>
      <c r="W97" s="70"/>
      <c r="X97" s="70"/>
      <c r="Y97" s="70"/>
    </row>
    <row r="98" spans="1:25">
      <c r="A98" s="70"/>
      <c r="B98" s="70"/>
      <c r="C98" s="70"/>
      <c r="D98" s="70"/>
      <c r="E98" s="70"/>
      <c r="F98" s="70"/>
      <c r="G98" s="70"/>
      <c r="H98" s="70"/>
      <c r="I98" s="70"/>
      <c r="J98" s="70"/>
      <c r="K98" s="70"/>
      <c r="L98" s="70"/>
      <c r="M98" s="70"/>
      <c r="N98" s="70"/>
      <c r="O98" s="70"/>
      <c r="P98" s="70"/>
      <c r="Q98" s="70"/>
      <c r="R98" s="70"/>
      <c r="S98" s="70"/>
      <c r="T98" s="70"/>
      <c r="U98" s="70"/>
      <c r="V98" s="70"/>
      <c r="W98" s="70"/>
      <c r="X98" s="70"/>
      <c r="Y98" s="70"/>
    </row>
    <row r="99" spans="1:25">
      <c r="A99" s="70"/>
      <c r="B99" s="70"/>
      <c r="C99" s="70"/>
      <c r="D99" s="70"/>
      <c r="E99" s="70"/>
      <c r="F99" s="70"/>
      <c r="G99" s="70"/>
      <c r="H99" s="70"/>
      <c r="I99" s="70"/>
      <c r="J99" s="70"/>
      <c r="K99" s="70"/>
      <c r="L99" s="70"/>
      <c r="M99" s="70"/>
      <c r="N99" s="70"/>
      <c r="O99" s="70"/>
      <c r="P99" s="70"/>
      <c r="Q99" s="70"/>
      <c r="R99" s="70"/>
      <c r="S99" s="70"/>
      <c r="T99" s="70"/>
      <c r="U99" s="70"/>
      <c r="V99" s="70"/>
      <c r="W99" s="70"/>
      <c r="X99" s="70"/>
      <c r="Y99" s="70"/>
    </row>
    <row r="100" spans="1:25">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row>
    <row r="101" spans="1:25">
      <c r="A101" s="70"/>
      <c r="B101" s="70"/>
      <c r="C101" s="70"/>
      <c r="D101" s="70"/>
      <c r="E101" s="70"/>
      <c r="F101" s="70"/>
      <c r="G101" s="70"/>
      <c r="H101" s="70"/>
      <c r="I101" s="70"/>
      <c r="J101" s="70"/>
      <c r="K101" s="70"/>
      <c r="L101" s="70"/>
      <c r="M101" s="70"/>
      <c r="N101" s="70"/>
      <c r="O101" s="70"/>
      <c r="P101" s="70"/>
      <c r="Q101" s="70"/>
      <c r="R101" s="70"/>
      <c r="S101" s="70"/>
      <c r="T101" s="70"/>
      <c r="U101" s="70"/>
      <c r="V101" s="70"/>
      <c r="W101" s="70"/>
      <c r="X101" s="70"/>
      <c r="Y101" s="70"/>
    </row>
    <row r="102" spans="1:25">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row>
    <row r="103" spans="1:25">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row>
    <row r="104" spans="1:25">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row>
    <row r="105" spans="1:25">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row>
    <row r="106" spans="1:25">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row>
    <row r="107" spans="1:25">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row>
    <row r="108" spans="1:25">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row>
    <row r="109" spans="1:25">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row>
    <row r="110" spans="1:25">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row>
    <row r="111" spans="1:25">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row>
    <row r="112" spans="1:25">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row>
    <row r="113" spans="1:25">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row>
    <row r="114" spans="1:25">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row>
    <row r="115" spans="1:25">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row>
    <row r="116" spans="1:25">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row>
    <row r="117" spans="1:25">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row>
    <row r="118" spans="1:25">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row>
    <row r="119" spans="1:25">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row>
    <row r="120" spans="1:25">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row>
    <row r="121" spans="1:25">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row>
    <row r="122" spans="1:25">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row>
    <row r="123" spans="1:25">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row>
    <row r="124" spans="1:25">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row>
    <row r="125" spans="1:25">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row>
    <row r="126" spans="1:25">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row>
    <row r="127" spans="1:25">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row>
    <row r="128" spans="1:25">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row>
    <row r="129" spans="1:25">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row>
    <row r="130" spans="1:25">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row>
    <row r="131" spans="1:25">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row>
    <row r="132" spans="1:25">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row>
    <row r="133" spans="1:25">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row>
    <row r="134" spans="1:25">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row>
    <row r="135" spans="1:25">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row>
    <row r="136" spans="1:25">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row>
    <row r="137" spans="1:25">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row>
    <row r="138" spans="1:25">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row>
    <row r="139" spans="1:25">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row>
    <row r="140" spans="1:25">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row>
    <row r="141" spans="1:25">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row>
    <row r="142" spans="1:25">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row>
    <row r="143" spans="1:25">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row>
    <row r="144" spans="1:25">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row>
    <row r="145" spans="1:25">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row>
    <row r="146" spans="1:25">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row>
    <row r="147" spans="1:25">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row>
    <row r="148" spans="1:25">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row>
    <row r="149" spans="1:25">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row>
    <row r="150" spans="1:25">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row>
    <row r="151" spans="1:25">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row>
    <row r="152" spans="1:25">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row>
    <row r="153" spans="1:25">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row>
    <row r="154" spans="1:25">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row>
    <row r="155" spans="1:25">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row>
    <row r="156" spans="1:25">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row>
    <row r="157" spans="1:25">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row>
    <row r="158" spans="1:25">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row>
    <row r="159" spans="1:25">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row>
    <row r="160" spans="1:25">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row>
    <row r="161" spans="1:25">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row>
    <row r="162" spans="1:25">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row>
    <row r="163" spans="1:25">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row>
    <row r="164" spans="1:25">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row>
    <row r="165" spans="1:25">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row>
    <row r="166" spans="1:25">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row>
    <row r="167" spans="1:25">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row>
    <row r="168" spans="1:25">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row>
    <row r="169" spans="1:25">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row>
    <row r="170" spans="1:25">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row>
    <row r="171" spans="1:25">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row>
    <row r="172" spans="1:25">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row>
    <row r="173" spans="1:25">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row>
    <row r="174" spans="1:25">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row>
    <row r="175" spans="1:25">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row>
    <row r="176" spans="1:25">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row>
    <row r="177" spans="1:25">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row>
    <row r="178" spans="1:25">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row>
    <row r="179" spans="1:25">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row>
    <row r="180" spans="1:25">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row>
    <row r="181" spans="1:25">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row>
    <row r="182" spans="1:25">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row>
    <row r="183" spans="1:25">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row>
    <row r="184" spans="1:25">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row>
    <row r="185" spans="1:25">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row>
    <row r="186" spans="1:25">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row>
    <row r="187" spans="1:25">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row>
    <row r="188" spans="1:25">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row>
    <row r="189" spans="1:25">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row>
    <row r="190" spans="1:25">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row>
    <row r="191" spans="1:25">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row>
    <row r="192" spans="1:25">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row>
    <row r="193" spans="1:25">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row>
    <row r="194" spans="1:25">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row>
    <row r="195" spans="1:25">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row>
    <row r="196" spans="1:25">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row>
    <row r="197" spans="1:25">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row>
    <row r="198" spans="1:25">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row>
    <row r="199" spans="1:25">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row>
    <row r="200" spans="1:25">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row>
    <row r="201" spans="1:25">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row>
    <row r="202" spans="1:25">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row>
    <row r="203" spans="1:25">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row>
    <row r="204" spans="1:25">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row>
    <row r="205" spans="1:25">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row>
    <row r="206" spans="1:25">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row>
    <row r="207" spans="1:25">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row>
    <row r="208" spans="1:25">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row>
    <row r="209" spans="1:25">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row>
    <row r="210" spans="1:25">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row>
    <row r="211" spans="1:25">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row>
    <row r="212" spans="1:25">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row>
    <row r="213" spans="1:25">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row>
    <row r="214" spans="1:25">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row>
    <row r="215" spans="1:25">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row>
    <row r="216" spans="1:25">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row>
    <row r="217" spans="1:25">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row>
    <row r="218" spans="1:25">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row>
    <row r="219" spans="1:25">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row>
    <row r="220" spans="1:25">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row>
    <row r="221" spans="1:25">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row>
    <row r="222" spans="1:25">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row>
    <row r="223" spans="1:25">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row>
    <row r="224" spans="1:25">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row>
    <row r="225" spans="1:25">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row>
    <row r="226" spans="1:25">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row>
    <row r="227" spans="1:25">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row>
    <row r="228" spans="1:25">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row>
    <row r="229" spans="1:25">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row>
    <row r="230" spans="1:25">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row>
    <row r="231" spans="1:25">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row>
    <row r="232" spans="1:25">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row>
    <row r="233" spans="1:25">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row>
    <row r="234" spans="1:25">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row>
    <row r="235" spans="1:25">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row>
    <row r="236" spans="1:25">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row>
    <row r="237" spans="1:25">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row>
    <row r="238" spans="1:25">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row>
    <row r="239" spans="1:25">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row>
    <row r="240" spans="1:25">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row>
    <row r="241" spans="1:25">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row>
    <row r="242" spans="1:25">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row>
    <row r="243" spans="1:25">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row>
    <row r="244" spans="1:25">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row>
    <row r="245" spans="1:25">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row>
    <row r="246" spans="1:25">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row>
    <row r="247" spans="1:25">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row>
    <row r="248" spans="1:25">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row>
    <row r="249" spans="1:25">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row>
    <row r="250" spans="1:25">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row>
    <row r="251" spans="1:25">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row>
    <row r="252" spans="1:25">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row>
    <row r="253" spans="1:25">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row>
    <row r="254" spans="1:25">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row>
    <row r="255" spans="1:25">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row>
    <row r="256" spans="1:25">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row>
    <row r="257" spans="1:25">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row>
    <row r="258" spans="1:25">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row>
    <row r="259" spans="1:25">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row>
    <row r="260" spans="1:25">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row>
    <row r="261" spans="1:25">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row>
    <row r="262" spans="1:25">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row>
    <row r="263" spans="1:25">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row>
    <row r="264" spans="1:25">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row>
    <row r="265" spans="1:25">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row>
    <row r="266" spans="1:25">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row>
    <row r="267" spans="1:25">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row>
    <row r="268" spans="1:25">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row>
    <row r="269" spans="1:25">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row>
    <row r="270" spans="1:25">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row>
    <row r="271" spans="1:25">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row>
    <row r="272" spans="1:25">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row>
    <row r="273" spans="1:25">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row>
    <row r="274" spans="1:25">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row>
    <row r="275" spans="1:25">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row>
    <row r="276" spans="1:25">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row>
    <row r="277" spans="1:25">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row>
    <row r="278" spans="1:25">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row>
    <row r="279" spans="1:25">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row>
    <row r="280" spans="1:25">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row>
    <row r="281" spans="1:25">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row>
    <row r="282" spans="1:25">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row>
    <row r="283" spans="1:25">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row>
    <row r="284" spans="1:25">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row>
    <row r="285" spans="1:25">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row>
    <row r="286" spans="1:25">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row>
    <row r="287" spans="1:25">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row>
    <row r="288" spans="1:25">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row>
    <row r="289" spans="1:25">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row>
    <row r="290" spans="1:25">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row>
    <row r="291" spans="1:25">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row>
    <row r="292" spans="1:25">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row>
    <row r="293" spans="1:25">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row>
    <row r="294" spans="1:25">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row>
    <row r="295" spans="1:25">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row>
    <row r="296" spans="1:25">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row>
    <row r="297" spans="1:25">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row>
    <row r="298" spans="1:25">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row>
    <row r="299" spans="1:25">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row>
    <row r="300" spans="1:25">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row>
    <row r="301" spans="1:25">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row>
    <row r="302" spans="1:25">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row>
    <row r="303" spans="1:25">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row>
    <row r="304" spans="1:25">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row>
    <row r="305" spans="1:25">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row>
    <row r="306" spans="1:25">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row>
    <row r="307" spans="1:25">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row>
    <row r="308" spans="1:25">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row>
    <row r="309" spans="1:25">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row>
    <row r="310" spans="1:25">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row>
    <row r="311" spans="1:25">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row>
    <row r="312" spans="1:25">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row>
    <row r="313" spans="1:25">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row>
    <row r="314" spans="1:25">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row>
    <row r="315" spans="1:25">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row>
    <row r="316" spans="1:25">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row>
    <row r="317" spans="1:25">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row>
    <row r="318" spans="1:25">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row>
    <row r="319" spans="1:25">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row>
    <row r="320" spans="1:25">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row>
    <row r="321" spans="1:25">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row>
    <row r="322" spans="1:25">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row>
    <row r="323" spans="1:25">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row>
    <row r="324" spans="1:25">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row>
    <row r="325" spans="1:25">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row>
    <row r="326" spans="1:25">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row>
    <row r="327" spans="1:25">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row>
    <row r="328" spans="1:25">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row>
    <row r="329" spans="1:25">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row>
    <row r="330" spans="1:25">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row>
    <row r="331" spans="1:25">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row>
    <row r="332" spans="1:25">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row>
    <row r="333" spans="1:25">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row>
    <row r="334" spans="1:25">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row>
    <row r="335" spans="1:25">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row>
    <row r="336" spans="1:25">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row>
    <row r="337" spans="1:25">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row>
    <row r="338" spans="1:25">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row>
    <row r="339" spans="1:25">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row>
    <row r="340" spans="1:25">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row>
    <row r="341" spans="1:25">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row>
    <row r="342" spans="1:25">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row>
    <row r="343" spans="1:25">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row>
    <row r="344" spans="1:25">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row>
    <row r="345" spans="1:25">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row>
    <row r="346" spans="1:25">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row>
    <row r="347" spans="1:25">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row>
    <row r="348" spans="1:25">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row>
    <row r="349" spans="1:25">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row>
    <row r="350" spans="1:25">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row>
    <row r="351" spans="1:25">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row>
    <row r="352" spans="1:25">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row>
    <row r="353" spans="1:25">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row>
    <row r="354" spans="1:25">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row>
    <row r="355" spans="1:25">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row>
    <row r="356" spans="1:25">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row>
    <row r="357" spans="1:25">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row>
    <row r="358" spans="1:25">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row>
    <row r="359" spans="1:25">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row>
    <row r="360" spans="1:25">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row>
    <row r="361" spans="1:25">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row>
    <row r="362" spans="1:25">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row>
    <row r="363" spans="1:25">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row>
    <row r="364" spans="1:25">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row>
    <row r="365" spans="1:25">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row>
    <row r="366" spans="1:25">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row>
    <row r="367" spans="1:25">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row>
    <row r="368" spans="1:25">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row>
    <row r="369" spans="1:25">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row>
    <row r="370" spans="1:25">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row>
    <row r="371" spans="1:25">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row>
    <row r="372" spans="1:25">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row>
    <row r="373" spans="1:25">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row>
    <row r="374" spans="1:25">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row>
    <row r="375" spans="1:25">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row>
    <row r="376" spans="1:25">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row>
    <row r="377" spans="1:25">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row>
    <row r="378" spans="1:25">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row>
    <row r="379" spans="1:25">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row>
    <row r="380" spans="1:25">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row>
    <row r="381" spans="1:25">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row>
    <row r="382" spans="1:25">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row>
    <row r="383" spans="1:25">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row>
    <row r="384" spans="1:25">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row>
    <row r="385" spans="1:25">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row>
    <row r="386" spans="1:25">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row>
    <row r="387" spans="1:25">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row>
    <row r="388" spans="1:25">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row>
    <row r="389" spans="1:25">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row>
    <row r="390" spans="1:25">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row>
    <row r="391" spans="1:25">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row>
    <row r="392" spans="1:25">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row>
    <row r="393" spans="1:25">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row>
    <row r="394" spans="1:25">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row>
    <row r="395" spans="1:25">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row>
    <row r="396" spans="1:25">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row>
    <row r="397" spans="1:25">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row>
    <row r="398" spans="1:25">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row>
    <row r="399" spans="1:25">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row>
    <row r="400" spans="1:25">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row>
    <row r="401" spans="1:25">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row>
    <row r="402" spans="1:25">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row>
    <row r="403" spans="1:25">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row>
    <row r="404" spans="1:25">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row>
    <row r="405" spans="1:25">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row>
    <row r="406" spans="1:25">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row>
    <row r="407" spans="1:25">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row>
    <row r="408" spans="1:25">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row>
    <row r="409" spans="1:25">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row>
    <row r="410" spans="1:25">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row>
    <row r="411" spans="1:25">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row>
    <row r="412" spans="1:25">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row>
    <row r="413" spans="1:25">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row>
    <row r="414" spans="1:25">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row>
    <row r="415" spans="1:25">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row>
    <row r="416" spans="1:25">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row>
    <row r="417" spans="1:25">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row>
    <row r="418" spans="1:25">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row>
    <row r="419" spans="1:25">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row>
    <row r="420" spans="1:25">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row>
    <row r="421" spans="1:25">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row>
    <row r="422" spans="1:25">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row>
    <row r="423" spans="1:25">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row>
    <row r="424" spans="1:25">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row>
    <row r="425" spans="1:25">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row>
    <row r="426" spans="1:25">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row>
    <row r="427" spans="1:25">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row>
    <row r="428" spans="1:25">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row>
    <row r="429" spans="1:25">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row>
    <row r="430" spans="1:25">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row>
    <row r="431" spans="1:25">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row>
    <row r="432" spans="1:25">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row>
    <row r="433" spans="1:25">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row>
    <row r="434" spans="1:25">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row>
    <row r="435" spans="1:25">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row>
    <row r="436" spans="1:25">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row>
    <row r="437" spans="1:25">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row>
    <row r="438" spans="1:25">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row>
    <row r="439" spans="1:25">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row>
    <row r="440" spans="1:25">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row>
    <row r="441" spans="1:25">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row>
    <row r="442" spans="1:25">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row>
    <row r="443" spans="1:25">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row>
    <row r="444" spans="1:25">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row>
    <row r="445" spans="1:25">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row>
    <row r="446" spans="1:25">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row>
    <row r="447" spans="1:25">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row>
    <row r="448" spans="1:25">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row>
    <row r="449" spans="1:25">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row>
    <row r="450" spans="1:25">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row>
    <row r="451" spans="1:25">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row>
    <row r="452" spans="1:25">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row>
    <row r="453" spans="1:25">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row>
    <row r="454" spans="1:25">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row>
    <row r="455" spans="1:25">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row>
    <row r="456" spans="1:25">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row>
    <row r="457" spans="1:25">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row>
    <row r="458" spans="1:25">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row>
    <row r="459" spans="1:25">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row>
    <row r="460" spans="1:25">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row>
    <row r="461" spans="1:25">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row>
    <row r="462" spans="1:25">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row>
    <row r="463" spans="1:25">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row>
    <row r="464" spans="1:25">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row>
    <row r="465" spans="1:25">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row>
    <row r="466" spans="1:25">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row>
    <row r="467" spans="1:25">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row>
    <row r="468" spans="1:25">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row>
    <row r="469" spans="1:25">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row>
    <row r="470" spans="1:25">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row>
    <row r="471" spans="1:25">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row>
    <row r="472" spans="1:25">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row>
    <row r="473" spans="1:25">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row>
    <row r="474" spans="1:25">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row>
    <row r="475" spans="1:25">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row>
    <row r="476" spans="1:25">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row>
    <row r="477" spans="1:25">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row>
    <row r="478" spans="1:25">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row>
    <row r="479" spans="1:25">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row>
    <row r="480" spans="1:25">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row>
    <row r="481" spans="1:25">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row>
    <row r="482" spans="1:25">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row>
    <row r="483" spans="1:25">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row>
    <row r="484" spans="1:25">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row>
    <row r="485" spans="1:25">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row>
    <row r="486" spans="1:25">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row>
    <row r="487" spans="1:25">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row>
    <row r="488" spans="1:25">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row>
    <row r="489" spans="1:25">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row>
    <row r="490" spans="1:25">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row>
    <row r="491" spans="1:25">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row>
    <row r="492" spans="1:25">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row>
    <row r="493" spans="1:25">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row>
    <row r="494" spans="1:25">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row>
    <row r="495" spans="1:25">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row>
    <row r="496" spans="1:25">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row>
    <row r="497" spans="1:25">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row>
    <row r="498" spans="1:25">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row>
    <row r="499" spans="1:25">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row>
    <row r="500" spans="1:25">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row>
    <row r="501" spans="1:25">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row>
    <row r="502" spans="1:25">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row>
    <row r="503" spans="1:25">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row>
    <row r="504" spans="1:25">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row>
    <row r="505" spans="1:25">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row>
    <row r="506" spans="1:25">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row>
    <row r="507" spans="1:25">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row>
    <row r="508" spans="1:25">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row>
    <row r="509" spans="1:25">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row>
    <row r="510" spans="1:25">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row>
    <row r="511" spans="1:25">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row>
    <row r="512" spans="1:25">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row>
    <row r="513" spans="1:25">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row>
    <row r="514" spans="1:25">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row>
    <row r="515" spans="1:25">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row>
    <row r="516" spans="1:25">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row>
    <row r="517" spans="1:25">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row>
    <row r="518" spans="1:25">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row>
    <row r="519" spans="1:25">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row>
    <row r="520" spans="1:25">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row>
    <row r="521" spans="1:25">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row>
    <row r="522" spans="1:25">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row>
    <row r="523" spans="1:25">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row>
    <row r="524" spans="1:25">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row>
    <row r="525" spans="1:25">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row>
    <row r="526" spans="1:25">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row>
    <row r="527" spans="1:25">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row>
    <row r="528" spans="1:25">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row>
    <row r="529" spans="1:25">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row>
    <row r="530" spans="1:25">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row>
    <row r="531" spans="1:25">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row>
    <row r="532" spans="1:25">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row>
    <row r="533" spans="1:25">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row>
    <row r="534" spans="1:25">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row>
    <row r="535" spans="1:25">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row>
    <row r="536" spans="1:25">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row>
    <row r="537" spans="1:25">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row>
    <row r="538" spans="1:25">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row>
    <row r="539" spans="1:25">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row>
    <row r="540" spans="1:25">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row>
    <row r="541" spans="1:25">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row>
    <row r="542" spans="1:25">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row>
    <row r="543" spans="1:25">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row>
    <row r="544" spans="1:25">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row>
    <row r="545" spans="1:25">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row>
    <row r="546" spans="1:25">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row>
    <row r="547" spans="1:25">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row>
    <row r="548" spans="1:25">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row>
    <row r="549" spans="1:25">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row>
    <row r="550" spans="1:25">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row>
    <row r="551" spans="1:25">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row>
    <row r="552" spans="1:25">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row>
    <row r="553" spans="1:25">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row>
    <row r="554" spans="1:25">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row>
    <row r="555" spans="1:25">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row>
    <row r="556" spans="1:25">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row>
    <row r="557" spans="1:25">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row>
    <row r="558" spans="1:25">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row>
    <row r="559" spans="1:25">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row>
    <row r="560" spans="1:25">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row>
    <row r="561" spans="1:25">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row>
    <row r="562" spans="1:25">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row>
    <row r="563" spans="1:25">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row>
    <row r="564" spans="1:25">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row>
    <row r="565" spans="1:25">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row>
    <row r="566" spans="1:25">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row>
    <row r="567" spans="1:25">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row>
    <row r="568" spans="1:25">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row>
    <row r="569" spans="1:25">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row>
    <row r="570" spans="1:25">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row>
    <row r="571" spans="1:25">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row>
    <row r="572" spans="1:25">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row>
    <row r="573" spans="1:25">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row>
    <row r="574" spans="1:25">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row>
    <row r="575" spans="1:25">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row>
    <row r="576" spans="1:25">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row>
    <row r="577" spans="1:25">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row>
    <row r="578" spans="1:25">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row>
    <row r="579" spans="1:25">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row>
    <row r="580" spans="1:25">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row>
    <row r="581" spans="1:25">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row>
    <row r="582" spans="1:25">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row>
    <row r="583" spans="1:25">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row>
    <row r="584" spans="1:25">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row>
    <row r="585" spans="1:25">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row>
    <row r="586" spans="1:25">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row>
    <row r="587" spans="1:25">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row>
    <row r="588" spans="1:25">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row>
    <row r="589" spans="1:25">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row>
    <row r="590" spans="1:25">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row>
    <row r="591" spans="1:25">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row>
    <row r="592" spans="1:25">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row>
    <row r="593" spans="1:25">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row>
    <row r="594" spans="1:25">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row>
    <row r="595" spans="1:25">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row>
    <row r="596" spans="1:25">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row>
    <row r="597" spans="1:25">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row>
    <row r="598" spans="1:25">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row>
    <row r="599" spans="1:25">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row>
    <row r="600" spans="1:25">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row>
    <row r="601" spans="1:25">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row>
    <row r="602" spans="1:25">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row>
    <row r="603" spans="1:25">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row>
    <row r="604" spans="1:25">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row>
    <row r="605" spans="1:25">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row>
    <row r="606" spans="1:25">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row>
    <row r="607" spans="1:25">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row>
    <row r="608" spans="1:25">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row>
    <row r="609" spans="1:25">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row>
    <row r="610" spans="1:25">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row>
    <row r="611" spans="1:25">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row>
    <row r="612" spans="1:25">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row>
    <row r="613" spans="1:25">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row>
    <row r="614" spans="1:25">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row>
    <row r="615" spans="1:25">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row>
    <row r="616" spans="1:25">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row>
    <row r="617" spans="1:25">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row>
    <row r="618" spans="1:25">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row>
    <row r="619" spans="1:25">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row>
    <row r="620" spans="1:25">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row>
    <row r="621" spans="1:25">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row>
    <row r="622" spans="1:25">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row>
    <row r="623" spans="1:25">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row>
    <row r="624" spans="1:25">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row>
    <row r="625" spans="1:25">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row>
    <row r="626" spans="1:25">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row>
    <row r="627" spans="1:25">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row>
    <row r="628" spans="1:25">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row>
    <row r="629" spans="1:25">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row>
    <row r="630" spans="1:25">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row>
    <row r="631" spans="1:25">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row>
    <row r="632" spans="1:25">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row>
    <row r="633" spans="1:25">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row>
    <row r="634" spans="1:25">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row>
    <row r="635" spans="1:25">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row>
    <row r="636" spans="1:25">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row>
    <row r="637" spans="1:25">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row>
    <row r="638" spans="1:25">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row>
    <row r="639" spans="1:25">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row>
    <row r="640" spans="1:25">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row>
    <row r="641" spans="1:25">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row>
    <row r="642" spans="1:25">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row>
    <row r="643" spans="1:25">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row>
    <row r="644" spans="1:25">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row>
    <row r="645" spans="1:25">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row>
    <row r="646" spans="1:25">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row>
    <row r="647" spans="1:25">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row>
    <row r="648" spans="1:25">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row>
    <row r="649" spans="1:25">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row>
    <row r="650" spans="1:25">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row>
    <row r="651" spans="1:25">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row>
    <row r="652" spans="1:25">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row>
    <row r="653" spans="1:25">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row>
    <row r="654" spans="1:25">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row>
    <row r="655" spans="1:25">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row>
    <row r="656" spans="1:25">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row>
    <row r="657" spans="1:25">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row>
    <row r="658" spans="1:25">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row>
    <row r="659" spans="1:25">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row>
    <row r="660" spans="1:25">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row>
    <row r="661" spans="1:25">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row>
    <row r="662" spans="1:25">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row>
    <row r="663" spans="1:25">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row>
    <row r="664" spans="1:25">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row>
    <row r="665" spans="1:25">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row>
    <row r="666" spans="1:25">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row>
    <row r="667" spans="1:25">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row>
    <row r="668" spans="1:25">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row>
    <row r="669" spans="1:25">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row>
    <row r="670" spans="1:25">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row>
    <row r="671" spans="1:25">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row>
    <row r="672" spans="1:25">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row>
    <row r="673" spans="1:25">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row>
    <row r="674" spans="1:25">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row>
    <row r="675" spans="1:25">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row>
    <row r="676" spans="1:25">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row>
    <row r="677" spans="1:25">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row>
    <row r="678" spans="1:25">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row>
    <row r="679" spans="1:25">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row>
    <row r="680" spans="1:25">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row>
    <row r="681" spans="1:25">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row>
    <row r="682" spans="1:25">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row>
    <row r="683" spans="1:25">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row>
    <row r="684" spans="1:25">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row>
    <row r="685" spans="1:25">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row>
    <row r="686" spans="1:25">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row>
    <row r="687" spans="1:25">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row>
    <row r="688" spans="1:25">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row>
    <row r="689" spans="1:25">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row>
    <row r="690" spans="1:25">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row>
    <row r="691" spans="1:25">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row>
    <row r="692" spans="1:25">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row>
    <row r="693" spans="1:25">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row>
    <row r="694" spans="1:25">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row>
    <row r="695" spans="1:25">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row>
    <row r="696" spans="1:25">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row>
    <row r="697" spans="1:25">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row>
    <row r="698" spans="1:25">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row>
    <row r="699" spans="1:25">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row>
    <row r="700" spans="1:25">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row>
    <row r="701" spans="1:25">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row>
    <row r="702" spans="1:25">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row>
    <row r="703" spans="1:25">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row>
    <row r="704" spans="1:25">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row>
    <row r="705" spans="1:25">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row>
    <row r="706" spans="1:25">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row>
    <row r="707" spans="1:25">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row>
    <row r="708" spans="1:25">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row>
    <row r="709" spans="1:25">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row>
    <row r="710" spans="1:25">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row>
    <row r="711" spans="1:25">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row>
    <row r="712" spans="1:25">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row>
    <row r="713" spans="1:25">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row>
    <row r="714" spans="1:25">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row>
    <row r="715" spans="1:25">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row>
    <row r="716" spans="1:25">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row>
    <row r="717" spans="1:25">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row>
    <row r="718" spans="1:25">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row>
    <row r="719" spans="1:25">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row>
    <row r="720" spans="1:25">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row>
    <row r="721" spans="1:25">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row>
    <row r="722" spans="1:25">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row>
    <row r="723" spans="1:25">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row>
    <row r="724" spans="1:25">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row>
    <row r="725" spans="1:25">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row>
    <row r="726" spans="1:25">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row>
    <row r="727" spans="1:25">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row>
    <row r="728" spans="1:25">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row>
    <row r="729" spans="1:25">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row>
    <row r="730" spans="1:25">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row>
    <row r="731" spans="1:25">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row>
    <row r="732" spans="1:25">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row>
    <row r="733" spans="1:25">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row>
    <row r="734" spans="1:25">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row>
    <row r="735" spans="1:25">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row>
    <row r="736" spans="1:25">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row>
    <row r="737" spans="1:25">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row>
    <row r="738" spans="1:25">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row>
    <row r="739" spans="1:25">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row>
    <row r="740" spans="1:25">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row>
    <row r="741" spans="1:25">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row>
    <row r="742" spans="1:25">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row>
    <row r="743" spans="1:25">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row>
    <row r="744" spans="1:25">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row>
    <row r="745" spans="1:25">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row>
    <row r="746" spans="1:25">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row>
    <row r="747" spans="1:25">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row>
    <row r="748" spans="1:25">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row>
    <row r="749" spans="1:25">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row>
    <row r="750" spans="1:25">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row>
    <row r="751" spans="1:25">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row>
    <row r="752" spans="1:25">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row>
    <row r="753" spans="1:25">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row>
    <row r="754" spans="1:25">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row>
    <row r="755" spans="1:25">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row>
    <row r="756" spans="1:25">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row>
    <row r="757" spans="1:25">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row>
    <row r="758" spans="1:25">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row>
    <row r="759" spans="1:25">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row>
    <row r="760" spans="1:25">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row>
    <row r="761" spans="1:25">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row>
    <row r="762" spans="1:25">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row>
    <row r="763" spans="1:25">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row>
    <row r="764" spans="1:25">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row>
    <row r="765" spans="1:25">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row>
    <row r="766" spans="1:25">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row>
    <row r="767" spans="1:25">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row>
    <row r="768" spans="1:25">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row>
    <row r="769" spans="1:25">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row>
    <row r="770" spans="1:25">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row>
    <row r="771" spans="1:25">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row>
    <row r="772" spans="1:25">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row>
    <row r="773" spans="1:25">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row>
    <row r="774" spans="1:25">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row>
    <row r="775" spans="1:25">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row>
    <row r="776" spans="1:25">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row>
    <row r="777" spans="1:25">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row>
    <row r="778" spans="1:25">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row>
    <row r="779" spans="1:25">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row>
    <row r="780" spans="1:25">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row>
    <row r="781" spans="1:25">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row>
    <row r="782" spans="1:25">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row>
    <row r="783" spans="1:25">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row>
    <row r="784" spans="1:25">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row>
    <row r="785" spans="1:25">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row>
    <row r="786" spans="1:25">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row>
    <row r="787" spans="1:25">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row>
    <row r="788" spans="1:25">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row>
    <row r="789" spans="1:25">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row>
    <row r="790" spans="1:25">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row>
    <row r="791" spans="1:25">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row>
    <row r="792" spans="1:25">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row>
    <row r="793" spans="1:25">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row>
    <row r="794" spans="1:25">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row>
    <row r="795" spans="1:25">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row>
    <row r="796" spans="1:25">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row>
    <row r="797" spans="1:25">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row>
    <row r="798" spans="1:25">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row>
    <row r="799" spans="1:25">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row>
    <row r="800" spans="1:25">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row>
    <row r="801" spans="1:25">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row>
    <row r="802" spans="1:25">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row>
    <row r="803" spans="1:25">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row>
    <row r="804" spans="1:25">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row>
    <row r="805" spans="1:25">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row>
    <row r="806" spans="1:25">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row>
    <row r="807" spans="1:25">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row>
    <row r="808" spans="1:25">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row>
    <row r="809" spans="1:25">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row>
    <row r="810" spans="1:25">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row>
    <row r="811" spans="1:25">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row>
    <row r="812" spans="1:25">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row>
    <row r="813" spans="1:25">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row>
    <row r="814" spans="1:25">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row>
    <row r="815" spans="1:25">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row>
    <row r="816" spans="1:25">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row>
    <row r="817" spans="1:25">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row>
    <row r="818" spans="1:25">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row>
    <row r="819" spans="1:25">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row>
    <row r="820" spans="1:25">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row>
    <row r="821" spans="1:25">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row>
    <row r="822" spans="1:25">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row>
    <row r="823" spans="1:25">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row>
    <row r="824" spans="1:25">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row>
    <row r="825" spans="1:25">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row>
    <row r="826" spans="1:25">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row>
    <row r="827" spans="1:25">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row>
    <row r="828" spans="1:25">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row>
    <row r="829" spans="1:25">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row>
    <row r="830" spans="1:25">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row>
    <row r="831" spans="1:25">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row>
    <row r="832" spans="1:25">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row>
    <row r="833" spans="1:25">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row>
    <row r="834" spans="1:25">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row>
    <row r="835" spans="1:25">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row>
    <row r="836" spans="1:25">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row>
    <row r="837" spans="1:25">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row>
    <row r="838" spans="1:25">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row>
    <row r="839" spans="1:25">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row>
    <row r="840" spans="1:25">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row>
    <row r="841" spans="1:25">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row>
    <row r="842" spans="1:25">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row>
    <row r="843" spans="1:25">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row>
    <row r="844" spans="1:25">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row>
    <row r="845" spans="1:25">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row>
    <row r="846" spans="1:25">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row>
    <row r="847" spans="1:25">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row>
    <row r="848" spans="1:25">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row>
    <row r="849" spans="1:25">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row>
    <row r="850" spans="1:25">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row>
    <row r="851" spans="1:25">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row>
    <row r="852" spans="1:25">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row>
    <row r="853" spans="1:25">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row>
    <row r="854" spans="1:25">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row>
    <row r="855" spans="1:25">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row>
    <row r="856" spans="1:25">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row>
    <row r="857" spans="1:25">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row>
    <row r="858" spans="1:25">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row>
    <row r="859" spans="1:25">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row>
    <row r="860" spans="1:25">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row>
    <row r="861" spans="1:25">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row>
    <row r="862" spans="1:25">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row>
    <row r="863" spans="1:25">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row>
    <row r="864" spans="1:25">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row>
    <row r="865" spans="1:25">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row>
    <row r="866" spans="1:25">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row>
    <row r="867" spans="1:25">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row>
    <row r="868" spans="1:25">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row>
    <row r="869" spans="1:25">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row>
    <row r="870" spans="1:25">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row>
    <row r="871" spans="1:25">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row>
    <row r="872" spans="1:25">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row>
    <row r="873" spans="1:25">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row>
    <row r="874" spans="1:25">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row>
    <row r="875" spans="1:25">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row>
    <row r="876" spans="1:25">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row>
    <row r="877" spans="1:25">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row>
    <row r="878" spans="1:25">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row>
    <row r="879" spans="1:25">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row>
    <row r="880" spans="1:25">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row>
    <row r="881" spans="1:25">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row>
    <row r="882" spans="1:25">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row>
    <row r="883" spans="1:25">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row>
    <row r="884" spans="1:25">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row>
    <row r="885" spans="1:25">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row>
    <row r="886" spans="1:25">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row>
    <row r="887" spans="1:25">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row>
    <row r="888" spans="1:25">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row>
    <row r="889" spans="1:25">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row>
    <row r="890" spans="1:25">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row>
    <row r="891" spans="1:25">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row>
    <row r="892" spans="1:25">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row>
    <row r="893" spans="1:25">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row>
    <row r="894" spans="1:25">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row>
    <row r="895" spans="1:25">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row>
    <row r="896" spans="1:25">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row>
    <row r="897" spans="1:25">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row>
    <row r="898" spans="1:25">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row>
    <row r="899" spans="1:25">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row>
    <row r="900" spans="1:25">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row>
    <row r="901" spans="1:25">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row>
    <row r="902" spans="1:25">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row>
    <row r="903" spans="1:25">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row>
    <row r="904" spans="1:25">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row>
    <row r="905" spans="1:25">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row>
    <row r="906" spans="1:25">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row>
    <row r="907" spans="1:25">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row>
    <row r="908" spans="1:25">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row>
    <row r="909" spans="1:25">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row>
    <row r="910" spans="1:25">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row>
    <row r="911" spans="1:25">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row>
    <row r="912" spans="1:25">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row>
    <row r="913" spans="1:25">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row>
    <row r="914" spans="1:25">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row>
    <row r="915" spans="1:25">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row>
    <row r="916" spans="1:25">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row>
    <row r="917" spans="1:25">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row>
    <row r="918" spans="1:25">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row>
    <row r="919" spans="1:25">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row>
    <row r="920" spans="1:25">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row>
    <row r="921" spans="1:25">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row>
    <row r="922" spans="1:25">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row>
    <row r="923" spans="1:25">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row>
    <row r="924" spans="1:25">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row>
    <row r="925" spans="1:25">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row>
    <row r="926" spans="1:25">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row>
    <row r="927" spans="1:25">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row>
    <row r="928" spans="1:25">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row>
    <row r="929" spans="1:25">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row>
    <row r="930" spans="1:25">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row>
    <row r="931" spans="1:25">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row>
    <row r="932" spans="1:25">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row>
    <row r="933" spans="1:25">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row>
    <row r="934" spans="1:25">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row>
    <row r="935" spans="1:25">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row>
    <row r="936" spans="1:25">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row>
    <row r="937" spans="1:25">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row>
    <row r="938" spans="1:25">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row>
    <row r="939" spans="1:25">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row>
    <row r="940" spans="1:25">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row>
    <row r="941" spans="1:25">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row>
    <row r="942" spans="1:25">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row>
    <row r="943" spans="1:25">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row>
    <row r="944" spans="1:25">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row>
    <row r="945" spans="1:25">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row>
    <row r="946" spans="1:25">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row>
    <row r="947" spans="1:25">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row>
    <row r="948" spans="1:25">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row>
    <row r="949" spans="1:25">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row>
    <row r="950" spans="1:25">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row>
    <row r="951" spans="1:25">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row>
    <row r="952" spans="1:25">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row>
    <row r="953" spans="1:25">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row>
    <row r="954" spans="1:25">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row>
    <row r="955" spans="1:25">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row>
    <row r="956" spans="1:25">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row>
    <row r="957" spans="1:25">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row>
    <row r="958" spans="1:25">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row>
    <row r="959" spans="1:25">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row>
    <row r="960" spans="1:25">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row>
    <row r="961" spans="1:25">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row>
    <row r="962" spans="1:25">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row>
    <row r="963" spans="1:25">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row>
    <row r="964" spans="1:25">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row>
    <row r="965" spans="1:25">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row>
    <row r="966" spans="1:25">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row>
    <row r="967" spans="1:25">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row>
    <row r="968" spans="1:25">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row>
    <row r="969" spans="1:25">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row>
    <row r="970" spans="1:25">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row>
    <row r="971" spans="1:25">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row>
    <row r="972" spans="1:25">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row>
    <row r="973" spans="1:25">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row>
    <row r="974" spans="1:25">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row>
    <row r="975" spans="1:25">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row>
    <row r="976" spans="1:25">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row>
    <row r="977" spans="1:25">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row>
    <row r="978" spans="1:25">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row>
    <row r="979" spans="1:25">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row>
    <row r="980" spans="1:25">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row>
    <row r="981" spans="1:25">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row>
    <row r="982" spans="1:25">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row>
    <row r="983" spans="1:25">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row>
    <row r="984" spans="1:25">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row>
    <row r="985" spans="1:25">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row>
    <row r="986" spans="1:25">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row>
    <row r="987" spans="1:25">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row>
    <row r="988" spans="1:25">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row>
    <row r="989" spans="1:25">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row>
    <row r="990" spans="1:25">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row>
    <row r="991" spans="1:25">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row>
    <row r="992" spans="1:25">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row>
    <row r="993" spans="1:25">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row>
    <row r="994" spans="1:25">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row>
    <row r="995" spans="1:25">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row>
    <row r="996" spans="1:25">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row>
    <row r="997" spans="1:25">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row>
    <row r="998" spans="1:25">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row>
    <row r="999" spans="1:25">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row>
    <row r="1000" spans="1:25">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row>
  </sheetData>
  <mergeCells count="2">
    <mergeCell ref="B1:C1"/>
    <mergeCell ref="N3:O3"/>
  </mergeCells>
  <conditionalFormatting sqref="L18">
    <cfRule type="expression" dxfId="17103" priority="1">
      <formula>COUNTIF($B$32:$U$46,"*"&amp;L18&amp;"*")&gt;0</formula>
    </cfRule>
  </conditionalFormatting>
  <conditionalFormatting sqref="L4:L13">
    <cfRule type="expression" dxfId="17102" priority="2">
      <formula>COUNTIF($B$32:$T$46,"*"&amp;L4&amp;"*")&gt;0</formula>
    </cfRule>
  </conditionalFormatting>
  <conditionalFormatting sqref="B4:B23 D4:D23 F4:F23 H4:H23 J4:J23">
    <cfRule type="expression" dxfId="17101" priority="3">
      <formula>COUNTIF($B$32:$T$46,"*"&amp;B4&amp;"*")&gt;0</formula>
    </cfRule>
  </conditionalFormatting>
  <conditionalFormatting sqref="E26">
    <cfRule type="notContainsBlanks" dxfId="17100" priority="4">
      <formula>LEN(TRIM(E26))&gt;0</formula>
    </cfRule>
  </conditionalFormatting>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0"/>
      <c r="B1" s="138" t="s">
        <v>1351</v>
      </c>
      <c r="C1" s="139"/>
      <c r="D1" s="70"/>
      <c r="E1" s="70"/>
      <c r="F1" s="70"/>
      <c r="G1" s="70"/>
      <c r="H1" s="70"/>
      <c r="I1" s="70"/>
      <c r="J1" s="70"/>
      <c r="K1" s="70"/>
      <c r="L1" s="70"/>
      <c r="M1" s="70"/>
      <c r="N1" s="70"/>
      <c r="O1" s="70"/>
      <c r="P1" s="70"/>
    </row>
    <row r="2" spans="1:16">
      <c r="A2" s="70"/>
      <c r="B2" s="70"/>
      <c r="C2" s="70"/>
      <c r="D2" s="70"/>
      <c r="E2" s="70"/>
      <c r="F2" s="70"/>
      <c r="G2" s="70"/>
      <c r="H2" s="70"/>
      <c r="I2" s="70"/>
      <c r="J2" s="70"/>
      <c r="K2" s="70"/>
      <c r="L2" s="70"/>
      <c r="M2" s="70"/>
      <c r="N2" s="71" t="s">
        <v>1095</v>
      </c>
      <c r="O2" s="72"/>
      <c r="P2" s="70"/>
    </row>
    <row r="3" spans="1:16">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row>
    <row r="4" spans="1:16">
      <c r="A4" s="77">
        <v>1</v>
      </c>
      <c r="B4" s="80"/>
      <c r="C4" s="79"/>
      <c r="D4" s="80"/>
      <c r="E4" s="79"/>
      <c r="F4" s="80"/>
      <c r="G4" s="79"/>
      <c r="H4" s="80"/>
      <c r="I4" s="79"/>
      <c r="J4" s="80"/>
      <c r="K4" s="79"/>
      <c r="L4" s="79"/>
      <c r="M4" s="70"/>
      <c r="N4" s="80" t="s">
        <v>21</v>
      </c>
      <c r="O4" s="79" t="s">
        <v>339</v>
      </c>
      <c r="P4" s="70"/>
    </row>
    <row r="5" spans="1:16">
      <c r="A5" s="77">
        <v>2</v>
      </c>
      <c r="B5" s="80"/>
      <c r="C5" s="79"/>
      <c r="D5" s="80"/>
      <c r="E5" s="79"/>
      <c r="F5" s="80"/>
      <c r="G5" s="79"/>
      <c r="H5" s="80"/>
      <c r="I5" s="79"/>
      <c r="J5" s="80"/>
      <c r="K5" s="79"/>
      <c r="L5" s="79"/>
      <c r="M5" s="70"/>
      <c r="N5" s="80" t="s">
        <v>43</v>
      </c>
      <c r="O5" s="79" t="s">
        <v>339</v>
      </c>
      <c r="P5" s="70"/>
    </row>
    <row r="6" spans="1:16">
      <c r="A6" s="77">
        <v>3</v>
      </c>
      <c r="B6" s="80"/>
      <c r="C6" s="79"/>
      <c r="D6" s="80"/>
      <c r="E6" s="79"/>
      <c r="F6" s="80"/>
      <c r="G6" s="79"/>
      <c r="H6" s="80"/>
      <c r="I6" s="79"/>
      <c r="J6" s="80"/>
      <c r="K6" s="79"/>
      <c r="L6" s="79"/>
      <c r="M6" s="70"/>
      <c r="N6" s="80" t="s">
        <v>64</v>
      </c>
      <c r="O6" s="79" t="s">
        <v>338</v>
      </c>
      <c r="P6" s="70"/>
    </row>
    <row r="7" spans="1:16">
      <c r="A7" s="77">
        <v>4</v>
      </c>
      <c r="B7" s="80"/>
      <c r="C7" s="79"/>
      <c r="D7" s="80"/>
      <c r="E7" s="79"/>
      <c r="F7" s="80"/>
      <c r="G7" s="79"/>
      <c r="H7" s="80"/>
      <c r="I7" s="79"/>
      <c r="J7" s="80"/>
      <c r="K7" s="79"/>
      <c r="L7" s="79"/>
      <c r="M7" s="70"/>
      <c r="N7" s="80" t="s">
        <v>85</v>
      </c>
      <c r="O7" s="79" t="s">
        <v>340</v>
      </c>
      <c r="P7" s="70"/>
    </row>
    <row r="8" spans="1:16">
      <c r="A8" s="77">
        <v>5</v>
      </c>
      <c r="B8" s="80"/>
      <c r="C8" s="79"/>
      <c r="D8" s="80"/>
      <c r="E8" s="79"/>
      <c r="F8" s="80"/>
      <c r="G8" s="79"/>
      <c r="H8" s="80"/>
      <c r="I8" s="79"/>
      <c r="J8" s="80"/>
      <c r="K8" s="79"/>
      <c r="L8" s="79"/>
      <c r="M8" s="70"/>
      <c r="N8" s="80" t="s">
        <v>106</v>
      </c>
      <c r="O8" s="79" t="s">
        <v>338</v>
      </c>
      <c r="P8" s="70"/>
    </row>
    <row r="9" spans="1:16">
      <c r="A9" s="77">
        <v>6</v>
      </c>
      <c r="B9" s="80"/>
      <c r="C9" s="79"/>
      <c r="D9" s="80"/>
      <c r="E9" s="79"/>
      <c r="F9" s="80"/>
      <c r="G9" s="79"/>
      <c r="H9" s="80"/>
      <c r="I9" s="79"/>
      <c r="J9" s="80"/>
      <c r="K9" s="79"/>
      <c r="L9" s="79"/>
      <c r="M9" s="70"/>
      <c r="N9" s="80" t="s">
        <v>127</v>
      </c>
      <c r="O9" s="79" t="s">
        <v>337</v>
      </c>
      <c r="P9" s="70"/>
    </row>
    <row r="10" spans="1:16">
      <c r="A10" s="77">
        <v>7</v>
      </c>
      <c r="B10" s="80"/>
      <c r="C10" s="79"/>
      <c r="D10" s="80"/>
      <c r="E10" s="79"/>
      <c r="F10" s="80"/>
      <c r="G10" s="79"/>
      <c r="H10" s="80"/>
      <c r="I10" s="79"/>
      <c r="J10" s="80"/>
      <c r="K10" s="79"/>
      <c r="L10" s="79"/>
      <c r="M10" s="70"/>
      <c r="N10" s="80" t="s">
        <v>148</v>
      </c>
      <c r="O10" s="79" t="s">
        <v>339</v>
      </c>
      <c r="P10" s="70"/>
    </row>
    <row r="11" spans="1:16">
      <c r="A11" s="77">
        <v>8</v>
      </c>
      <c r="B11" s="80"/>
      <c r="C11" s="79"/>
      <c r="D11" s="80"/>
      <c r="E11" s="79"/>
      <c r="F11" s="80"/>
      <c r="G11" s="79"/>
      <c r="H11" s="80"/>
      <c r="I11" s="79"/>
      <c r="J11" s="80"/>
      <c r="K11" s="79"/>
      <c r="L11" s="79"/>
      <c r="M11" s="70"/>
      <c r="N11" s="80" t="s">
        <v>169</v>
      </c>
      <c r="O11" s="79" t="s">
        <v>339</v>
      </c>
      <c r="P11" s="70"/>
    </row>
    <row r="12" spans="1:16">
      <c r="A12" s="77">
        <v>9</v>
      </c>
      <c r="B12" s="80"/>
      <c r="C12" s="79"/>
      <c r="D12" s="80"/>
      <c r="E12" s="79"/>
      <c r="F12" s="80"/>
      <c r="G12" s="79"/>
      <c r="H12" s="80"/>
      <c r="I12" s="79"/>
      <c r="J12" s="80"/>
      <c r="K12" s="79"/>
      <c r="L12" s="79"/>
      <c r="M12" s="70"/>
      <c r="N12" s="80" t="s">
        <v>190</v>
      </c>
      <c r="O12" s="79" t="s">
        <v>338</v>
      </c>
      <c r="P12" s="70"/>
    </row>
    <row r="13" spans="1:16">
      <c r="A13" s="77">
        <v>10</v>
      </c>
      <c r="B13" s="80"/>
      <c r="C13" s="79"/>
      <c r="D13" s="80"/>
      <c r="E13" s="79"/>
      <c r="F13" s="80"/>
      <c r="G13" s="79"/>
      <c r="H13" s="80"/>
      <c r="I13" s="79"/>
      <c r="J13" s="80"/>
      <c r="K13" s="79"/>
      <c r="L13" s="79"/>
      <c r="M13" s="70"/>
      <c r="N13" s="80" t="s">
        <v>211</v>
      </c>
      <c r="O13" s="79" t="s">
        <v>337</v>
      </c>
      <c r="P13" s="70"/>
    </row>
    <row r="14" spans="1:16">
      <c r="A14" s="77">
        <v>11</v>
      </c>
      <c r="B14" s="80"/>
      <c r="C14" s="79"/>
      <c r="D14" s="80"/>
      <c r="E14" s="79"/>
      <c r="F14" s="80"/>
      <c r="G14" s="79"/>
      <c r="H14" s="80"/>
      <c r="I14" s="79"/>
      <c r="J14" s="80"/>
      <c r="K14" s="79"/>
      <c r="L14" s="79"/>
      <c r="M14" s="70"/>
      <c r="N14" s="80" t="s">
        <v>232</v>
      </c>
      <c r="O14" s="79" t="s">
        <v>338</v>
      </c>
      <c r="P14" s="70"/>
    </row>
    <row r="15" spans="1:16">
      <c r="A15" s="77">
        <v>12</v>
      </c>
      <c r="B15" s="104"/>
      <c r="C15" s="84"/>
      <c r="D15" s="80"/>
      <c r="E15" s="79"/>
      <c r="F15" s="80"/>
      <c r="G15" s="79"/>
      <c r="H15" s="80"/>
      <c r="I15" s="79"/>
      <c r="J15" s="80"/>
      <c r="K15" s="79"/>
      <c r="L15" s="79"/>
      <c r="M15" s="70"/>
      <c r="N15" s="80" t="s">
        <v>253</v>
      </c>
      <c r="O15" s="79" t="s">
        <v>341</v>
      </c>
      <c r="P15" s="70"/>
    </row>
    <row r="16" spans="1:16">
      <c r="A16" s="77">
        <v>13</v>
      </c>
      <c r="B16" s="80"/>
      <c r="C16" s="79"/>
      <c r="D16" s="80"/>
      <c r="E16" s="79"/>
      <c r="F16" s="80"/>
      <c r="G16" s="79"/>
      <c r="H16" s="80"/>
      <c r="I16" s="79"/>
      <c r="J16" s="80"/>
      <c r="K16" s="79"/>
      <c r="L16" s="79"/>
      <c r="M16" s="70"/>
      <c r="N16" s="80" t="s">
        <v>274</v>
      </c>
      <c r="O16" s="79" t="s">
        <v>340</v>
      </c>
      <c r="P16" s="70"/>
    </row>
    <row r="17" spans="1:16">
      <c r="A17" s="77">
        <v>14</v>
      </c>
      <c r="B17" s="80"/>
      <c r="C17" s="79"/>
      <c r="D17" s="80"/>
      <c r="E17" s="79"/>
      <c r="F17" s="80"/>
      <c r="G17" s="79"/>
      <c r="H17" s="80"/>
      <c r="I17" s="79"/>
      <c r="J17" s="80"/>
      <c r="K17" s="79"/>
      <c r="L17" s="79"/>
      <c r="M17" s="70"/>
      <c r="N17" s="80" t="s">
        <v>295</v>
      </c>
      <c r="O17" s="79" t="s">
        <v>342</v>
      </c>
      <c r="P17" s="70"/>
    </row>
    <row r="18" spans="1:16">
      <c r="A18" s="77">
        <v>15</v>
      </c>
      <c r="B18" s="80"/>
      <c r="C18" s="79"/>
      <c r="D18" s="80"/>
      <c r="E18" s="79"/>
      <c r="F18" s="80"/>
      <c r="G18" s="79"/>
      <c r="H18" s="80"/>
      <c r="I18" s="79"/>
      <c r="J18" s="80"/>
      <c r="K18" s="79"/>
      <c r="L18" s="79"/>
      <c r="M18" s="70"/>
      <c r="N18" s="85" t="s">
        <v>316</v>
      </c>
      <c r="O18" s="86" t="s">
        <v>339</v>
      </c>
      <c r="P18" s="70"/>
    </row>
    <row r="19" spans="1:16">
      <c r="A19" s="77">
        <v>16</v>
      </c>
      <c r="B19" s="80"/>
      <c r="C19" s="79"/>
      <c r="D19" s="80"/>
      <c r="E19" s="79"/>
      <c r="F19" s="80"/>
      <c r="G19" s="79"/>
      <c r="H19" s="80"/>
      <c r="I19" s="79"/>
      <c r="J19" s="80"/>
      <c r="K19" s="79"/>
      <c r="L19" s="79"/>
      <c r="M19" s="70"/>
      <c r="N19" s="70"/>
      <c r="O19" s="70"/>
      <c r="P19" s="70"/>
    </row>
    <row r="20" spans="1:16">
      <c r="A20" s="77">
        <v>17</v>
      </c>
      <c r="B20" s="80"/>
      <c r="C20" s="79"/>
      <c r="D20" s="80"/>
      <c r="E20" s="79"/>
      <c r="F20" s="80"/>
      <c r="G20" s="79"/>
      <c r="H20" s="80"/>
      <c r="I20" s="79"/>
      <c r="J20" s="80"/>
      <c r="K20" s="79"/>
      <c r="L20" s="79"/>
      <c r="M20" s="70"/>
      <c r="N20" s="70"/>
      <c r="O20" s="70"/>
      <c r="P20" s="70"/>
    </row>
    <row r="21" spans="1:16">
      <c r="A21" s="77">
        <v>18</v>
      </c>
      <c r="B21" s="80"/>
      <c r="C21" s="79"/>
      <c r="D21" s="80"/>
      <c r="E21" s="79"/>
      <c r="F21" s="80"/>
      <c r="G21" s="79"/>
      <c r="H21" s="80"/>
      <c r="I21" s="79"/>
      <c r="J21" s="80"/>
      <c r="K21" s="79"/>
      <c r="L21" s="79"/>
      <c r="M21" s="70"/>
      <c r="N21" s="70"/>
      <c r="O21" s="70"/>
      <c r="P21" s="70"/>
    </row>
    <row r="22" spans="1:16">
      <c r="A22" s="77">
        <v>19</v>
      </c>
      <c r="B22" s="80"/>
      <c r="C22" s="79"/>
      <c r="D22" s="80"/>
      <c r="E22" s="79"/>
      <c r="F22" s="80"/>
      <c r="G22" s="79"/>
      <c r="H22" s="80"/>
      <c r="I22" s="79"/>
      <c r="J22" s="80"/>
      <c r="K22" s="79"/>
      <c r="L22" s="79"/>
      <c r="M22" s="70"/>
      <c r="N22" s="70"/>
      <c r="O22" s="70"/>
      <c r="P22" s="70"/>
    </row>
    <row r="23" spans="1:16">
      <c r="A23" s="87">
        <v>20</v>
      </c>
      <c r="B23" s="85"/>
      <c r="C23" s="86"/>
      <c r="D23" s="85"/>
      <c r="E23" s="86"/>
      <c r="F23" s="85"/>
      <c r="G23" s="86"/>
      <c r="H23" s="85"/>
      <c r="I23" s="86"/>
      <c r="J23" s="85"/>
      <c r="K23" s="86"/>
      <c r="L23" s="86"/>
      <c r="M23" s="70"/>
      <c r="N23" s="70"/>
      <c r="O23" s="70"/>
      <c r="P23" s="70"/>
    </row>
  </sheetData>
  <mergeCells count="2">
    <mergeCell ref="B1:C1"/>
    <mergeCell ref="N3:O3"/>
  </mergeCells>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0"/>
      <c r="B1" s="138" t="s">
        <v>1352</v>
      </c>
      <c r="C1" s="139"/>
      <c r="D1" s="70"/>
      <c r="E1" s="70"/>
      <c r="F1" s="70"/>
      <c r="G1" s="70"/>
      <c r="H1" s="70"/>
      <c r="I1" s="70"/>
      <c r="J1" s="70"/>
      <c r="K1" s="70"/>
      <c r="L1" s="70"/>
      <c r="M1" s="70"/>
      <c r="N1" s="70"/>
      <c r="O1" s="70"/>
      <c r="P1" s="70"/>
    </row>
    <row r="2" spans="1:16">
      <c r="A2" s="70"/>
      <c r="B2" s="70"/>
      <c r="C2" s="70"/>
      <c r="D2" s="70"/>
      <c r="E2" s="70"/>
      <c r="F2" s="70"/>
      <c r="G2" s="70"/>
      <c r="H2" s="70"/>
      <c r="I2" s="70"/>
      <c r="J2" s="70"/>
      <c r="K2" s="70"/>
      <c r="L2" s="70"/>
      <c r="M2" s="70"/>
      <c r="N2" s="71" t="s">
        <v>1095</v>
      </c>
      <c r="O2" s="72"/>
      <c r="P2" s="70"/>
    </row>
    <row r="3" spans="1:16">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row>
    <row r="4" spans="1:16">
      <c r="A4" s="77">
        <v>1</v>
      </c>
      <c r="B4" s="80"/>
      <c r="C4" s="79"/>
      <c r="D4" s="80"/>
      <c r="E4" s="79"/>
      <c r="F4" s="80"/>
      <c r="G4" s="79"/>
      <c r="H4" s="80"/>
      <c r="I4" s="79"/>
      <c r="J4" s="80"/>
      <c r="K4" s="79"/>
      <c r="L4" s="79"/>
      <c r="M4" s="70"/>
      <c r="N4" s="80" t="s">
        <v>21</v>
      </c>
      <c r="O4" s="79" t="s">
        <v>338</v>
      </c>
      <c r="P4" s="70"/>
    </row>
    <row r="5" spans="1:16">
      <c r="A5" s="77">
        <v>2</v>
      </c>
      <c r="B5" s="80"/>
      <c r="C5" s="79"/>
      <c r="D5" s="80"/>
      <c r="E5" s="79"/>
      <c r="F5" s="80"/>
      <c r="G5" s="79"/>
      <c r="H5" s="80"/>
      <c r="I5" s="79"/>
      <c r="J5" s="80"/>
      <c r="K5" s="79"/>
      <c r="L5" s="79"/>
      <c r="M5" s="70"/>
      <c r="N5" s="80" t="s">
        <v>43</v>
      </c>
      <c r="O5" s="79" t="s">
        <v>339</v>
      </c>
      <c r="P5" s="70"/>
    </row>
    <row r="6" spans="1:16">
      <c r="A6" s="77">
        <v>3</v>
      </c>
      <c r="B6" s="80"/>
      <c r="C6" s="79"/>
      <c r="D6" s="80"/>
      <c r="E6" s="79"/>
      <c r="F6" s="80"/>
      <c r="G6" s="79"/>
      <c r="H6" s="80"/>
      <c r="I6" s="79"/>
      <c r="J6" s="80"/>
      <c r="K6" s="79"/>
      <c r="L6" s="79"/>
      <c r="M6" s="70"/>
      <c r="N6" s="80" t="s">
        <v>64</v>
      </c>
      <c r="O6" s="79" t="s">
        <v>337</v>
      </c>
      <c r="P6" s="70"/>
    </row>
    <row r="7" spans="1:16">
      <c r="A7" s="77">
        <v>4</v>
      </c>
      <c r="B7" s="80"/>
      <c r="C7" s="79"/>
      <c r="D7" s="80"/>
      <c r="E7" s="79"/>
      <c r="F7" s="80"/>
      <c r="G7" s="79"/>
      <c r="H7" s="80"/>
      <c r="I7" s="79"/>
      <c r="J7" s="80"/>
      <c r="K7" s="79"/>
      <c r="L7" s="79"/>
      <c r="M7" s="70"/>
      <c r="N7" s="80" t="s">
        <v>85</v>
      </c>
      <c r="O7" s="79" t="s">
        <v>338</v>
      </c>
      <c r="P7" s="70"/>
    </row>
    <row r="8" spans="1:16">
      <c r="A8" s="77">
        <v>5</v>
      </c>
      <c r="B8" s="80"/>
      <c r="C8" s="79"/>
      <c r="D8" s="80"/>
      <c r="E8" s="79"/>
      <c r="F8" s="80"/>
      <c r="G8" s="79"/>
      <c r="H8" s="80"/>
      <c r="I8" s="79"/>
      <c r="J8" s="80"/>
      <c r="K8" s="79"/>
      <c r="L8" s="79"/>
      <c r="M8" s="70"/>
      <c r="N8" s="80" t="s">
        <v>106</v>
      </c>
      <c r="O8" s="79" t="s">
        <v>339</v>
      </c>
      <c r="P8" s="70"/>
    </row>
    <row r="9" spans="1:16">
      <c r="A9" s="77">
        <v>6</v>
      </c>
      <c r="B9" s="80"/>
      <c r="C9" s="79"/>
      <c r="D9" s="80"/>
      <c r="E9" s="79"/>
      <c r="F9" s="80"/>
      <c r="G9" s="79"/>
      <c r="H9" s="80"/>
      <c r="I9" s="79"/>
      <c r="J9" s="80"/>
      <c r="K9" s="79"/>
      <c r="L9" s="79"/>
      <c r="M9" s="70"/>
      <c r="N9" s="80" t="s">
        <v>127</v>
      </c>
      <c r="O9" s="79" t="s">
        <v>340</v>
      </c>
      <c r="P9" s="70"/>
    </row>
    <row r="10" spans="1:16">
      <c r="A10" s="77">
        <v>7</v>
      </c>
      <c r="B10" s="80"/>
      <c r="C10" s="79"/>
      <c r="D10" s="80"/>
      <c r="E10" s="79"/>
      <c r="F10" s="80"/>
      <c r="G10" s="79"/>
      <c r="H10" s="80"/>
      <c r="I10" s="79"/>
      <c r="J10" s="80"/>
      <c r="K10" s="79"/>
      <c r="L10" s="79"/>
      <c r="M10" s="70"/>
      <c r="N10" s="80" t="s">
        <v>148</v>
      </c>
      <c r="O10" s="79" t="s">
        <v>338</v>
      </c>
      <c r="P10" s="70"/>
    </row>
    <row r="11" spans="1:16">
      <c r="A11" s="77">
        <v>8</v>
      </c>
      <c r="B11" s="80"/>
      <c r="C11" s="79"/>
      <c r="D11" s="80"/>
      <c r="E11" s="79"/>
      <c r="F11" s="80"/>
      <c r="G11" s="79"/>
      <c r="H11" s="80"/>
      <c r="I11" s="79"/>
      <c r="J11" s="80"/>
      <c r="K11" s="79"/>
      <c r="L11" s="79"/>
      <c r="M11" s="70"/>
      <c r="N11" s="80" t="s">
        <v>169</v>
      </c>
      <c r="O11" s="79" t="s">
        <v>341</v>
      </c>
      <c r="P11" s="70"/>
    </row>
    <row r="12" spans="1:16">
      <c r="A12" s="77">
        <v>9</v>
      </c>
      <c r="B12" s="80"/>
      <c r="C12" s="79"/>
      <c r="D12" s="80"/>
      <c r="E12" s="79"/>
      <c r="F12" s="80"/>
      <c r="G12" s="79"/>
      <c r="H12" s="80"/>
      <c r="I12" s="79"/>
      <c r="J12" s="80"/>
      <c r="K12" s="79"/>
      <c r="L12" s="79"/>
      <c r="M12" s="70"/>
      <c r="N12" s="80" t="s">
        <v>190</v>
      </c>
      <c r="O12" s="79" t="s">
        <v>339</v>
      </c>
      <c r="P12" s="70"/>
    </row>
    <row r="13" spans="1:16">
      <c r="A13" s="77">
        <v>10</v>
      </c>
      <c r="B13" s="80"/>
      <c r="C13" s="79"/>
      <c r="D13" s="80"/>
      <c r="E13" s="79"/>
      <c r="F13" s="80"/>
      <c r="G13" s="79"/>
      <c r="H13" s="80"/>
      <c r="I13" s="79"/>
      <c r="J13" s="80"/>
      <c r="K13" s="79"/>
      <c r="L13" s="79"/>
      <c r="M13" s="70"/>
      <c r="N13" s="80" t="s">
        <v>211</v>
      </c>
      <c r="O13" s="79" t="s">
        <v>337</v>
      </c>
      <c r="P13" s="70"/>
    </row>
    <row r="14" spans="1:16">
      <c r="A14" s="77">
        <v>11</v>
      </c>
      <c r="B14" s="80"/>
      <c r="C14" s="79"/>
      <c r="D14" s="80"/>
      <c r="E14" s="79"/>
      <c r="F14" s="80"/>
      <c r="G14" s="79"/>
      <c r="H14" s="80"/>
      <c r="I14" s="79"/>
      <c r="J14" s="80"/>
      <c r="K14" s="79"/>
      <c r="L14" s="79"/>
      <c r="M14" s="70"/>
      <c r="N14" s="80" t="s">
        <v>232</v>
      </c>
      <c r="O14" s="79" t="s">
        <v>340</v>
      </c>
      <c r="P14" s="70"/>
    </row>
    <row r="15" spans="1:16">
      <c r="A15" s="77">
        <v>12</v>
      </c>
      <c r="B15" s="104"/>
      <c r="C15" s="84"/>
      <c r="D15" s="80"/>
      <c r="E15" s="79"/>
      <c r="F15" s="80"/>
      <c r="G15" s="79"/>
      <c r="H15" s="80"/>
      <c r="I15" s="79"/>
      <c r="J15" s="80"/>
      <c r="K15" s="79"/>
      <c r="L15" s="79"/>
      <c r="M15" s="70"/>
      <c r="N15" s="80" t="s">
        <v>253</v>
      </c>
      <c r="O15" s="79" t="s">
        <v>342</v>
      </c>
      <c r="P15" s="70"/>
    </row>
    <row r="16" spans="1:16">
      <c r="A16" s="77">
        <v>13</v>
      </c>
      <c r="B16" s="80"/>
      <c r="C16" s="79"/>
      <c r="D16" s="80"/>
      <c r="E16" s="79"/>
      <c r="F16" s="80"/>
      <c r="G16" s="79"/>
      <c r="H16" s="80"/>
      <c r="I16" s="79"/>
      <c r="J16" s="80"/>
      <c r="K16" s="79"/>
      <c r="L16" s="79"/>
      <c r="M16" s="70"/>
      <c r="N16" s="80" t="s">
        <v>274</v>
      </c>
      <c r="O16" s="79" t="s">
        <v>339</v>
      </c>
      <c r="P16" s="70"/>
    </row>
    <row r="17" spans="1:16">
      <c r="A17" s="77">
        <v>14</v>
      </c>
      <c r="B17" s="80"/>
      <c r="C17" s="79"/>
      <c r="D17" s="80"/>
      <c r="E17" s="79"/>
      <c r="F17" s="80"/>
      <c r="G17" s="79"/>
      <c r="H17" s="80"/>
      <c r="I17" s="79"/>
      <c r="J17" s="80"/>
      <c r="K17" s="79"/>
      <c r="L17" s="79"/>
      <c r="M17" s="70"/>
      <c r="N17" s="80" t="s">
        <v>295</v>
      </c>
      <c r="O17" s="79" t="s">
        <v>338</v>
      </c>
      <c r="P17" s="70"/>
    </row>
    <row r="18" spans="1:16">
      <c r="A18" s="77">
        <v>15</v>
      </c>
      <c r="B18" s="80"/>
      <c r="C18" s="79"/>
      <c r="D18" s="80"/>
      <c r="E18" s="79"/>
      <c r="F18" s="80"/>
      <c r="G18" s="79"/>
      <c r="H18" s="80"/>
      <c r="I18" s="79"/>
      <c r="J18" s="80"/>
      <c r="K18" s="79"/>
      <c r="L18" s="79"/>
      <c r="M18" s="70"/>
      <c r="N18" s="85" t="s">
        <v>316</v>
      </c>
      <c r="O18" s="86" t="s">
        <v>339</v>
      </c>
      <c r="P18" s="70"/>
    </row>
    <row r="19" spans="1:16">
      <c r="A19" s="77">
        <v>16</v>
      </c>
      <c r="B19" s="80"/>
      <c r="C19" s="79"/>
      <c r="D19" s="80"/>
      <c r="E19" s="79"/>
      <c r="F19" s="80"/>
      <c r="G19" s="79"/>
      <c r="H19" s="80"/>
      <c r="I19" s="79"/>
      <c r="J19" s="80"/>
      <c r="K19" s="79"/>
      <c r="L19" s="79"/>
      <c r="M19" s="70"/>
      <c r="N19" s="70"/>
      <c r="O19" s="70"/>
      <c r="P19" s="70"/>
    </row>
    <row r="20" spans="1:16">
      <c r="A20" s="77">
        <v>17</v>
      </c>
      <c r="B20" s="80"/>
      <c r="C20" s="79"/>
      <c r="D20" s="80"/>
      <c r="E20" s="79"/>
      <c r="F20" s="80"/>
      <c r="G20" s="79"/>
      <c r="H20" s="80"/>
      <c r="I20" s="79"/>
      <c r="J20" s="80"/>
      <c r="K20" s="79"/>
      <c r="L20" s="79"/>
      <c r="M20" s="70"/>
      <c r="N20" s="70"/>
      <c r="O20" s="70"/>
      <c r="P20" s="70"/>
    </row>
    <row r="21" spans="1:16">
      <c r="A21" s="77">
        <v>18</v>
      </c>
      <c r="B21" s="80"/>
      <c r="C21" s="79"/>
      <c r="D21" s="80"/>
      <c r="E21" s="79"/>
      <c r="F21" s="80"/>
      <c r="G21" s="79"/>
      <c r="H21" s="80"/>
      <c r="I21" s="79"/>
      <c r="J21" s="80"/>
      <c r="K21" s="79"/>
      <c r="L21" s="79"/>
      <c r="M21" s="70"/>
      <c r="N21" s="70"/>
      <c r="O21" s="70"/>
      <c r="P21" s="70"/>
    </row>
    <row r="22" spans="1:16">
      <c r="A22" s="77">
        <v>19</v>
      </c>
      <c r="B22" s="80"/>
      <c r="C22" s="79"/>
      <c r="D22" s="80"/>
      <c r="E22" s="79"/>
      <c r="F22" s="80"/>
      <c r="G22" s="79"/>
      <c r="H22" s="80"/>
      <c r="I22" s="79"/>
      <c r="J22" s="80"/>
      <c r="K22" s="79"/>
      <c r="L22" s="79"/>
      <c r="M22" s="70"/>
      <c r="N22" s="70"/>
      <c r="O22" s="70"/>
      <c r="P22" s="70"/>
    </row>
    <row r="23" spans="1:16">
      <c r="A23" s="87">
        <v>20</v>
      </c>
      <c r="B23" s="85"/>
      <c r="C23" s="86"/>
      <c r="D23" s="85"/>
      <c r="E23" s="86"/>
      <c r="F23" s="85"/>
      <c r="G23" s="86"/>
      <c r="H23" s="85"/>
      <c r="I23" s="86"/>
      <c r="J23" s="85"/>
      <c r="K23" s="86"/>
      <c r="L23" s="86"/>
      <c r="M23" s="70"/>
      <c r="N23" s="70"/>
      <c r="O23" s="70"/>
      <c r="P23" s="70"/>
    </row>
  </sheetData>
  <mergeCells count="2">
    <mergeCell ref="B1:C1"/>
    <mergeCell ref="N3:O3"/>
  </mergeCells>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0"/>
      <c r="B1" s="138" t="s">
        <v>1353</v>
      </c>
      <c r="C1" s="139"/>
      <c r="D1" s="70"/>
      <c r="E1" s="70"/>
      <c r="F1" s="70"/>
      <c r="G1" s="70"/>
      <c r="H1" s="70"/>
      <c r="I1" s="70"/>
      <c r="J1" s="70"/>
      <c r="K1" s="70"/>
      <c r="L1" s="70"/>
      <c r="M1" s="70"/>
      <c r="N1" s="70"/>
      <c r="O1" s="70"/>
      <c r="P1" s="70"/>
    </row>
    <row r="2" spans="1:16">
      <c r="A2" s="70"/>
      <c r="B2" s="70"/>
      <c r="C2" s="70"/>
      <c r="D2" s="70"/>
      <c r="E2" s="70"/>
      <c r="F2" s="70"/>
      <c r="G2" s="70"/>
      <c r="H2" s="70"/>
      <c r="I2" s="70"/>
      <c r="J2" s="70"/>
      <c r="K2" s="70"/>
      <c r="L2" s="70"/>
      <c r="M2" s="70"/>
      <c r="N2" s="71" t="s">
        <v>1095</v>
      </c>
      <c r="O2" s="72"/>
      <c r="P2" s="70"/>
    </row>
    <row r="3" spans="1:16">
      <c r="A3" s="73"/>
      <c r="B3" s="74" t="s">
        <v>1096</v>
      </c>
      <c r="C3" s="75" t="s">
        <v>1097</v>
      </c>
      <c r="D3" s="74" t="s">
        <v>1098</v>
      </c>
      <c r="E3" s="75" t="s">
        <v>1097</v>
      </c>
      <c r="F3" s="74" t="s">
        <v>1099</v>
      </c>
      <c r="G3" s="75" t="s">
        <v>1097</v>
      </c>
      <c r="H3" s="74" t="s">
        <v>1100</v>
      </c>
      <c r="I3" s="75" t="s">
        <v>1097</v>
      </c>
      <c r="J3" s="74" t="s">
        <v>1101</v>
      </c>
      <c r="K3" s="75" t="s">
        <v>1097</v>
      </c>
      <c r="L3" s="76" t="s">
        <v>1102</v>
      </c>
      <c r="M3" s="70"/>
      <c r="N3" s="140" t="s">
        <v>1103</v>
      </c>
      <c r="O3" s="141"/>
      <c r="P3" s="70"/>
    </row>
    <row r="4" spans="1:16">
      <c r="A4" s="77">
        <v>1</v>
      </c>
      <c r="B4" s="80"/>
      <c r="C4" s="79"/>
      <c r="D4" s="80"/>
      <c r="E4" s="79"/>
      <c r="F4" s="80"/>
      <c r="G4" s="79"/>
      <c r="H4" s="80"/>
      <c r="I4" s="79"/>
      <c r="J4" s="80"/>
      <c r="K4" s="79"/>
      <c r="L4" s="79"/>
      <c r="M4" s="70"/>
      <c r="N4" s="80" t="s">
        <v>21</v>
      </c>
      <c r="O4" s="79" t="s">
        <v>337</v>
      </c>
      <c r="P4" s="70"/>
    </row>
    <row r="5" spans="1:16">
      <c r="A5" s="77">
        <v>2</v>
      </c>
      <c r="B5" s="80"/>
      <c r="C5" s="79"/>
      <c r="D5" s="80"/>
      <c r="E5" s="79"/>
      <c r="F5" s="80"/>
      <c r="G5" s="79"/>
      <c r="H5" s="80"/>
      <c r="I5" s="79"/>
      <c r="J5" s="80"/>
      <c r="K5" s="79"/>
      <c r="L5" s="79"/>
      <c r="M5" s="70"/>
      <c r="N5" s="80" t="s">
        <v>43</v>
      </c>
      <c r="O5" s="79" t="s">
        <v>338</v>
      </c>
      <c r="P5" s="70"/>
    </row>
    <row r="6" spans="1:16">
      <c r="A6" s="77">
        <v>3</v>
      </c>
      <c r="B6" s="80"/>
      <c r="C6" s="79"/>
      <c r="D6" s="80"/>
      <c r="E6" s="79"/>
      <c r="F6" s="80"/>
      <c r="G6" s="79"/>
      <c r="H6" s="80"/>
      <c r="I6" s="79"/>
      <c r="J6" s="80"/>
      <c r="K6" s="79"/>
      <c r="L6" s="79"/>
      <c r="M6" s="70"/>
      <c r="N6" s="80" t="s">
        <v>64</v>
      </c>
      <c r="O6" s="79" t="s">
        <v>339</v>
      </c>
      <c r="P6" s="70"/>
    </row>
    <row r="7" spans="1:16">
      <c r="A7" s="77">
        <v>4</v>
      </c>
      <c r="B7" s="80"/>
      <c r="C7" s="79"/>
      <c r="D7" s="80"/>
      <c r="E7" s="79"/>
      <c r="F7" s="80"/>
      <c r="G7" s="79"/>
      <c r="H7" s="80"/>
      <c r="I7" s="79"/>
      <c r="J7" s="80"/>
      <c r="K7" s="79"/>
      <c r="L7" s="79"/>
      <c r="M7" s="70"/>
      <c r="N7" s="80" t="s">
        <v>85</v>
      </c>
      <c r="O7" s="79" t="s">
        <v>340</v>
      </c>
      <c r="P7" s="70"/>
    </row>
    <row r="8" spans="1:16">
      <c r="A8" s="77">
        <v>5</v>
      </c>
      <c r="B8" s="80"/>
      <c r="C8" s="79"/>
      <c r="D8" s="80"/>
      <c r="E8" s="79"/>
      <c r="F8" s="80"/>
      <c r="G8" s="79"/>
      <c r="H8" s="80"/>
      <c r="I8" s="79"/>
      <c r="J8" s="80"/>
      <c r="K8" s="79"/>
      <c r="L8" s="79"/>
      <c r="M8" s="70"/>
      <c r="N8" s="80" t="s">
        <v>106</v>
      </c>
      <c r="O8" s="79" t="s">
        <v>342</v>
      </c>
      <c r="P8" s="70"/>
    </row>
    <row r="9" spans="1:16">
      <c r="A9" s="77">
        <v>6</v>
      </c>
      <c r="B9" s="80"/>
      <c r="C9" s="79"/>
      <c r="D9" s="80"/>
      <c r="E9" s="79"/>
      <c r="F9" s="80"/>
      <c r="G9" s="79"/>
      <c r="H9" s="80"/>
      <c r="I9" s="79"/>
      <c r="J9" s="80"/>
      <c r="K9" s="79"/>
      <c r="L9" s="79"/>
      <c r="M9" s="70"/>
      <c r="N9" s="80" t="s">
        <v>127</v>
      </c>
      <c r="O9" s="79" t="s">
        <v>341</v>
      </c>
      <c r="P9" s="70"/>
    </row>
    <row r="10" spans="1:16">
      <c r="A10" s="77">
        <v>7</v>
      </c>
      <c r="B10" s="80"/>
      <c r="C10" s="79"/>
      <c r="D10" s="80"/>
      <c r="E10" s="79"/>
      <c r="F10" s="80"/>
      <c r="G10" s="79"/>
      <c r="H10" s="80"/>
      <c r="I10" s="79"/>
      <c r="J10" s="80"/>
      <c r="K10" s="79"/>
      <c r="L10" s="79"/>
      <c r="M10" s="70"/>
      <c r="N10" s="80" t="s">
        <v>148</v>
      </c>
      <c r="O10" s="79" t="s">
        <v>338</v>
      </c>
      <c r="P10" s="70"/>
    </row>
    <row r="11" spans="1:16">
      <c r="A11" s="77">
        <v>8</v>
      </c>
      <c r="B11" s="80"/>
      <c r="C11" s="79"/>
      <c r="D11" s="80"/>
      <c r="E11" s="79"/>
      <c r="F11" s="80"/>
      <c r="G11" s="79"/>
      <c r="H11" s="80"/>
      <c r="I11" s="79"/>
      <c r="J11" s="80"/>
      <c r="K11" s="79"/>
      <c r="L11" s="79"/>
      <c r="M11" s="70"/>
      <c r="N11" s="80" t="s">
        <v>169</v>
      </c>
      <c r="O11" s="79" t="s">
        <v>339</v>
      </c>
      <c r="P11" s="70"/>
    </row>
    <row r="12" spans="1:16">
      <c r="A12" s="77">
        <v>9</v>
      </c>
      <c r="B12" s="80"/>
      <c r="C12" s="79"/>
      <c r="D12" s="80"/>
      <c r="E12" s="79"/>
      <c r="F12" s="80"/>
      <c r="G12" s="79"/>
      <c r="H12" s="80"/>
      <c r="I12" s="79"/>
      <c r="J12" s="80"/>
      <c r="K12" s="79"/>
      <c r="L12" s="79"/>
      <c r="M12" s="70"/>
      <c r="N12" s="80" t="s">
        <v>190</v>
      </c>
      <c r="O12" s="79" t="s">
        <v>1354</v>
      </c>
      <c r="P12" s="70"/>
    </row>
    <row r="13" spans="1:16">
      <c r="A13" s="77">
        <v>10</v>
      </c>
      <c r="B13" s="80"/>
      <c r="C13" s="79"/>
      <c r="D13" s="80"/>
      <c r="E13" s="79"/>
      <c r="F13" s="80"/>
      <c r="G13" s="79"/>
      <c r="H13" s="80"/>
      <c r="I13" s="79"/>
      <c r="J13" s="80"/>
      <c r="K13" s="79"/>
      <c r="L13" s="79"/>
      <c r="M13" s="70"/>
      <c r="N13" s="80" t="s">
        <v>211</v>
      </c>
      <c r="O13" s="79" t="s">
        <v>337</v>
      </c>
      <c r="P13" s="70"/>
    </row>
    <row r="14" spans="1:16">
      <c r="A14" s="77">
        <v>11</v>
      </c>
      <c r="B14" s="80"/>
      <c r="C14" s="79"/>
      <c r="D14" s="80"/>
      <c r="E14" s="79"/>
      <c r="F14" s="80"/>
      <c r="G14" s="79"/>
      <c r="H14" s="80"/>
      <c r="I14" s="79"/>
      <c r="J14" s="80"/>
      <c r="K14" s="79"/>
      <c r="L14" s="79"/>
      <c r="M14" s="70"/>
      <c r="N14" s="80" t="s">
        <v>232</v>
      </c>
      <c r="O14" s="79" t="s">
        <v>338</v>
      </c>
      <c r="P14" s="70"/>
    </row>
    <row r="15" spans="1:16">
      <c r="A15" s="77">
        <v>12</v>
      </c>
      <c r="B15" s="104"/>
      <c r="C15" s="84"/>
      <c r="D15" s="80"/>
      <c r="E15" s="79"/>
      <c r="F15" s="80"/>
      <c r="G15" s="79"/>
      <c r="H15" s="80"/>
      <c r="I15" s="79"/>
      <c r="J15" s="80"/>
      <c r="K15" s="79"/>
      <c r="L15" s="79"/>
      <c r="M15" s="70"/>
      <c r="N15" s="80" t="s">
        <v>253</v>
      </c>
      <c r="O15" s="79" t="s">
        <v>339</v>
      </c>
      <c r="P15" s="70"/>
    </row>
    <row r="16" spans="1:16">
      <c r="A16" s="77">
        <v>13</v>
      </c>
      <c r="B16" s="80"/>
      <c r="C16" s="79"/>
      <c r="D16" s="80"/>
      <c r="E16" s="79"/>
      <c r="F16" s="80"/>
      <c r="G16" s="79"/>
      <c r="H16" s="80"/>
      <c r="I16" s="79"/>
      <c r="J16" s="80"/>
      <c r="K16" s="79"/>
      <c r="L16" s="79"/>
      <c r="M16" s="70"/>
      <c r="N16" s="80" t="s">
        <v>274</v>
      </c>
      <c r="O16" s="79" t="s">
        <v>340</v>
      </c>
      <c r="P16" s="70"/>
    </row>
    <row r="17" spans="1:16">
      <c r="A17" s="77">
        <v>14</v>
      </c>
      <c r="B17" s="80"/>
      <c r="C17" s="79"/>
      <c r="D17" s="80"/>
      <c r="E17" s="79"/>
      <c r="F17" s="80"/>
      <c r="G17" s="79"/>
      <c r="H17" s="80"/>
      <c r="I17" s="79"/>
      <c r="J17" s="80"/>
      <c r="K17" s="79"/>
      <c r="L17" s="79"/>
      <c r="M17" s="70"/>
      <c r="N17" s="80" t="s">
        <v>295</v>
      </c>
      <c r="O17" s="79" t="s">
        <v>342</v>
      </c>
      <c r="P17" s="70"/>
    </row>
    <row r="18" spans="1:16">
      <c r="A18" s="77">
        <v>15</v>
      </c>
      <c r="B18" s="80"/>
      <c r="C18" s="79"/>
      <c r="D18" s="80"/>
      <c r="E18" s="79"/>
      <c r="F18" s="80"/>
      <c r="G18" s="79"/>
      <c r="H18" s="80"/>
      <c r="I18" s="79"/>
      <c r="J18" s="80"/>
      <c r="K18" s="79"/>
      <c r="L18" s="79"/>
      <c r="M18" s="70"/>
      <c r="N18" s="85" t="s">
        <v>316</v>
      </c>
      <c r="O18" s="86" t="s">
        <v>338</v>
      </c>
      <c r="P18" s="70"/>
    </row>
    <row r="19" spans="1:16">
      <c r="A19" s="77">
        <v>16</v>
      </c>
      <c r="B19" s="80"/>
      <c r="C19" s="79"/>
      <c r="D19" s="80"/>
      <c r="E19" s="79"/>
      <c r="F19" s="80"/>
      <c r="G19" s="79"/>
      <c r="H19" s="80"/>
      <c r="I19" s="79"/>
      <c r="J19" s="80"/>
      <c r="K19" s="79"/>
      <c r="L19" s="79"/>
      <c r="M19" s="70"/>
      <c r="N19" s="70"/>
      <c r="O19" s="70"/>
      <c r="P19" s="70"/>
    </row>
    <row r="20" spans="1:16">
      <c r="A20" s="77">
        <v>17</v>
      </c>
      <c r="B20" s="80"/>
      <c r="C20" s="79"/>
      <c r="D20" s="80"/>
      <c r="E20" s="79"/>
      <c r="F20" s="80"/>
      <c r="G20" s="79"/>
      <c r="H20" s="80"/>
      <c r="I20" s="79"/>
      <c r="J20" s="80"/>
      <c r="K20" s="79"/>
      <c r="L20" s="79"/>
      <c r="M20" s="70"/>
      <c r="N20" s="70"/>
      <c r="O20" s="70"/>
      <c r="P20" s="70"/>
    </row>
    <row r="21" spans="1:16">
      <c r="A21" s="77">
        <v>18</v>
      </c>
      <c r="B21" s="80"/>
      <c r="C21" s="79"/>
      <c r="D21" s="80"/>
      <c r="E21" s="79"/>
      <c r="F21" s="80"/>
      <c r="G21" s="79"/>
      <c r="H21" s="80"/>
      <c r="I21" s="79"/>
      <c r="J21" s="80"/>
      <c r="K21" s="79"/>
      <c r="L21" s="79"/>
      <c r="M21" s="70"/>
      <c r="N21" s="70"/>
      <c r="O21" s="70"/>
      <c r="P21" s="70"/>
    </row>
    <row r="22" spans="1:16">
      <c r="A22" s="77">
        <v>19</v>
      </c>
      <c r="B22" s="80"/>
      <c r="C22" s="79"/>
      <c r="D22" s="80"/>
      <c r="E22" s="79"/>
      <c r="F22" s="80"/>
      <c r="G22" s="79"/>
      <c r="H22" s="80"/>
      <c r="I22" s="79"/>
      <c r="J22" s="80"/>
      <c r="K22" s="79"/>
      <c r="L22" s="79"/>
      <c r="M22" s="70"/>
      <c r="N22" s="70"/>
      <c r="O22" s="70"/>
      <c r="P22" s="70"/>
    </row>
    <row r="23" spans="1:16">
      <c r="A23" s="87">
        <v>20</v>
      </c>
      <c r="B23" s="85"/>
      <c r="C23" s="86"/>
      <c r="D23" s="85"/>
      <c r="E23" s="86"/>
      <c r="F23" s="85"/>
      <c r="G23" s="86"/>
      <c r="H23" s="85"/>
      <c r="I23" s="86"/>
      <c r="J23" s="85"/>
      <c r="K23" s="86"/>
      <c r="L23" s="86"/>
      <c r="M23" s="70"/>
      <c r="N23" s="70"/>
      <c r="O23" s="70"/>
      <c r="P23" s="70"/>
    </row>
  </sheetData>
  <mergeCells count="2">
    <mergeCell ref="B1:C1"/>
    <mergeCell ref="N3:O3"/>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18</vt:i4>
      </vt:variant>
    </vt:vector>
  </HeadingPairs>
  <TitlesOfParts>
    <vt:vector size="18" baseType="lpstr">
      <vt:lpstr>Draft Board</vt:lpstr>
      <vt:lpstr>Divisions &amp; Schedule</vt:lpstr>
      <vt:lpstr>Draft Statistics</vt:lpstr>
      <vt:lpstr>Team Statistics</vt:lpstr>
      <vt:lpstr>All Player</vt:lpstr>
      <vt:lpstr>1. Wiesbaden Phantoms</vt:lpstr>
      <vt:lpstr>2. theBoys</vt:lpstr>
      <vt:lpstr>4. 49vengers</vt:lpstr>
      <vt:lpstr>5. Brady Gaga</vt:lpstr>
      <vt:lpstr>6. Bishop Sycamore</vt:lpstr>
      <vt:lpstr>8. Fighting Farmers</vt:lpstr>
      <vt:lpstr>11. Thunder Ducks</vt:lpstr>
      <vt:lpstr>13. Zeugen Ray Lewis</vt:lpstr>
      <vt:lpstr>15. Foxboro Forever</vt:lpstr>
      <vt:lpstr>16. Steelersnation 7</vt:lpstr>
      <vt:lpstr>19. BearD</vt:lpstr>
      <vt:lpstr>20. Johnny Manziel</vt:lpstr>
      <vt:lpstr>Default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Ambros, Benjamin</cp:lastModifiedBy>
  <dcterms:modified xsi:type="dcterms:W3CDTF">2026-08-06T11:26:30Z</dcterms:modified>
</cp:coreProperties>
</file>